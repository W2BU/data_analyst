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Z:\riv_gosh\"/>
    </mc:Choice>
  </mc:AlternateContent>
  <xr:revisionPtr revIDLastSave="0" documentId="13_ncr:1_{B8910A19-3640-47F5-A360-20D128ABEEB2}" xr6:coauthVersionLast="47" xr6:coauthVersionMax="47" xr10:uidLastSave="{00000000-0000-0000-0000-000000000000}"/>
  <bookViews>
    <workbookView xWindow="780" yWindow="780" windowWidth="28800" windowHeight="15195" activeTab="2" xr2:uid="{00000000-000D-0000-FFFF-FFFF00000000}"/>
  </bookViews>
  <sheets>
    <sheet name="Задание 1" sheetId="1" r:id="rId1"/>
    <sheet name="Задание 2 (2)" sheetId="5" r:id="rId2"/>
    <sheet name="Сводная по продажам и прогнозам" sheetId="6" r:id="rId3"/>
  </sheets>
  <definedNames>
    <definedName name="_xlnm.Print_Area" localSheetId="0">'Задание 1'!$A$1:$Q$14</definedName>
  </definedNames>
  <calcPr calcId="191029" concurrentManualCount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C14" i="1"/>
  <c r="D14" i="1"/>
  <c r="E14" i="1"/>
  <c r="F14" i="1"/>
  <c r="G14" i="1"/>
  <c r="H14" i="1"/>
  <c r="I14" i="1"/>
  <c r="J14" i="1"/>
  <c r="K14" i="1"/>
  <c r="L14" i="1"/>
  <c r="M14" i="1"/>
  <c r="B14" i="1"/>
  <c r="F50" i="5" a="1"/>
  <c r="F50" i="5"/>
  <c r="F49" i="5" a="1"/>
  <c r="F49" i="5"/>
  <c r="A22" i="5"/>
  <c r="A34" i="5" s="1"/>
  <c r="A11" i="5"/>
  <c r="A23" i="5" s="1"/>
  <c r="C10" i="5"/>
  <c r="B10" i="5"/>
  <c r="D10" i="5" s="1"/>
  <c r="O19" i="1"/>
  <c r="N18" i="1"/>
  <c r="O18" i="1"/>
  <c r="N19" i="1"/>
  <c r="J19" i="1"/>
  <c r="K19" i="1"/>
  <c r="L19" i="1"/>
  <c r="M19" i="1"/>
  <c r="C19" i="1"/>
  <c r="B19" i="1"/>
  <c r="B18" i="1"/>
  <c r="H18" i="1"/>
  <c r="I18" i="1"/>
  <c r="J18" i="1"/>
  <c r="K18" i="1"/>
  <c r="L18" i="1"/>
  <c r="M18" i="1"/>
  <c r="C18" i="1"/>
  <c r="D18" i="1"/>
  <c r="E18" i="1"/>
  <c r="F18" i="1"/>
  <c r="G18" i="1"/>
  <c r="A35" i="5" l="1"/>
  <c r="C23" i="5"/>
  <c r="B23" i="5"/>
  <c r="D23" i="5" s="1"/>
  <c r="B11" i="5"/>
  <c r="C11" i="5"/>
  <c r="A12" i="5"/>
  <c r="C34" i="5"/>
  <c r="B34" i="5"/>
  <c r="D34" i="5" s="1"/>
  <c r="B22" i="5"/>
  <c r="C22" i="5"/>
  <c r="N14" i="1"/>
  <c r="N13" i="1"/>
  <c r="N12" i="1"/>
  <c r="N11" i="1"/>
  <c r="D22" i="5" l="1"/>
  <c r="A24" i="5"/>
  <c r="A13" i="5"/>
  <c r="C12" i="5"/>
  <c r="B12" i="5"/>
  <c r="D12" i="5" s="1"/>
  <c r="D11" i="5"/>
  <c r="C35" i="5"/>
  <c r="B35" i="5"/>
  <c r="D35" i="5" s="1"/>
  <c r="A25" i="5" l="1"/>
  <c r="A14" i="5"/>
  <c r="C13" i="5"/>
  <c r="B13" i="5"/>
  <c r="D13" i="5" s="1"/>
  <c r="A36" i="5"/>
  <c r="C24" i="5"/>
  <c r="B24" i="5"/>
  <c r="D24" i="5" s="1"/>
  <c r="C36" i="5" l="1"/>
  <c r="B36" i="5"/>
  <c r="D36" i="5" s="1"/>
  <c r="A26" i="5"/>
  <c r="A15" i="5"/>
  <c r="C14" i="5"/>
  <c r="B14" i="5"/>
  <c r="D14" i="5" s="1"/>
  <c r="A37" i="5"/>
  <c r="C25" i="5"/>
  <c r="B25" i="5"/>
  <c r="D25" i="5" s="1"/>
  <c r="C37" i="5" l="1"/>
  <c r="B37" i="5"/>
  <c r="D37" i="5" s="1"/>
  <c r="A27" i="5"/>
  <c r="A16" i="5"/>
  <c r="C15" i="5"/>
  <c r="B15" i="5"/>
  <c r="D15" i="5" s="1"/>
  <c r="A38" i="5"/>
  <c r="C26" i="5"/>
  <c r="B26" i="5"/>
  <c r="D26" i="5" s="1"/>
  <c r="C38" i="5" l="1"/>
  <c r="B38" i="5"/>
  <c r="D38" i="5" s="1"/>
  <c r="A28" i="5"/>
  <c r="A17" i="5"/>
  <c r="C16" i="5"/>
  <c r="B16" i="5"/>
  <c r="D16" i="5" s="1"/>
  <c r="A39" i="5"/>
  <c r="C27" i="5"/>
  <c r="B27" i="5"/>
  <c r="D27" i="5" s="1"/>
  <c r="C39" i="5" l="1"/>
  <c r="B39" i="5"/>
  <c r="D39" i="5" s="1"/>
  <c r="A29" i="5"/>
  <c r="A18" i="5"/>
  <c r="C17" i="5"/>
  <c r="B17" i="5"/>
  <c r="D17" i="5" s="1"/>
  <c r="A40" i="5"/>
  <c r="C28" i="5"/>
  <c r="B28" i="5"/>
  <c r="D28" i="5" s="1"/>
  <c r="C40" i="5" l="1"/>
  <c r="B40" i="5"/>
  <c r="D40" i="5" s="1"/>
  <c r="A30" i="5"/>
  <c r="A19" i="5"/>
  <c r="C18" i="5"/>
  <c r="B18" i="5"/>
  <c r="D18" i="5" s="1"/>
  <c r="A41" i="5"/>
  <c r="C29" i="5"/>
  <c r="B29" i="5"/>
  <c r="D29" i="5" s="1"/>
  <c r="C41" i="5" l="1"/>
  <c r="B41" i="5"/>
  <c r="D41" i="5" s="1"/>
  <c r="A31" i="5"/>
  <c r="A20" i="5"/>
  <c r="C19" i="5"/>
  <c r="B19" i="5"/>
  <c r="D19" i="5" s="1"/>
  <c r="A42" i="5"/>
  <c r="C30" i="5"/>
  <c r="B30" i="5"/>
  <c r="D30" i="5" s="1"/>
  <c r="C42" i="5" l="1"/>
  <c r="B42" i="5"/>
  <c r="D42" i="5" s="1"/>
  <c r="A32" i="5"/>
  <c r="A21" i="5"/>
  <c r="C20" i="5"/>
  <c r="B20" i="5"/>
  <c r="D20" i="5" s="1"/>
  <c r="A43" i="5"/>
  <c r="C31" i="5"/>
  <c r="B31" i="5"/>
  <c r="D31" i="5" s="1"/>
  <c r="C43" i="5" l="1"/>
  <c r="B43" i="5"/>
  <c r="D43" i="5" s="1"/>
  <c r="A33" i="5"/>
  <c r="C21" i="5"/>
  <c r="B21" i="5"/>
  <c r="D21" i="5" s="1"/>
  <c r="A44" i="5"/>
  <c r="C32" i="5"/>
  <c r="B32" i="5"/>
  <c r="D32" i="5" s="1"/>
  <c r="C44" i="5" l="1"/>
  <c r="B44" i="5"/>
  <c r="D44" i="5" s="1"/>
  <c r="A45" i="5"/>
  <c r="C33" i="5"/>
  <c r="B33" i="5"/>
  <c r="D33" i="5" s="1"/>
  <c r="I44" i="5"/>
  <c r="I42" i="5"/>
  <c r="I40" i="5"/>
  <c r="I41" i="5"/>
  <c r="I43" i="5"/>
  <c r="F44" i="5"/>
  <c r="F42" i="5"/>
  <c r="F40" i="5"/>
  <c r="F38" i="5"/>
  <c r="F36" i="5"/>
  <c r="F34" i="5"/>
  <c r="F35" i="5"/>
  <c r="F37" i="5"/>
  <c r="F39" i="5"/>
  <c r="F41" i="5"/>
  <c r="F43" i="5"/>
  <c r="C45" i="5" l="1"/>
  <c r="B45" i="5"/>
  <c r="D45" i="5" s="1"/>
  <c r="H43" i="5"/>
  <c r="G43" i="5"/>
  <c r="J43" i="5"/>
  <c r="K43" i="5"/>
  <c r="H41" i="5"/>
  <c r="G41" i="5"/>
  <c r="J41" i="5"/>
  <c r="K41" i="5"/>
  <c r="H39" i="5"/>
  <c r="G39" i="5"/>
  <c r="H37" i="5" l="1"/>
  <c r="G37" i="5"/>
  <c r="H35" i="5"/>
  <c r="G35" i="5"/>
  <c r="G34" i="5"/>
  <c r="H34" i="5"/>
  <c r="H36" i="5"/>
  <c r="G36" i="5"/>
  <c r="H38" i="5"/>
  <c r="G38" i="5"/>
  <c r="H40" i="5"/>
  <c r="G40" i="5"/>
  <c r="J40" i="5"/>
  <c r="K40" i="5"/>
  <c r="H42" i="5"/>
  <c r="G42" i="5"/>
  <c r="J42" i="5"/>
  <c r="K42" i="5"/>
  <c r="H44" i="5"/>
  <c r="G44" i="5"/>
  <c r="J44" i="5"/>
  <c r="K44" i="5"/>
  <c r="I45" i="5"/>
  <c r="F45" i="5"/>
  <c r="J45" i="5"/>
  <c r="K45" i="5"/>
  <c r="H45" i="5"/>
  <c r="G4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<sst xmlns="http://schemas.openxmlformats.org/spreadsheetml/2006/main" count="88" uniqueCount="66">
  <si>
    <t>Общий итог</t>
  </si>
  <si>
    <t>Статистика по Выручке, руб. без НДС</t>
  </si>
  <si>
    <t>Марка N</t>
  </si>
  <si>
    <r>
      <t>Также известно, что в период пандемии с 27 марта до июля 2020 года б</t>
    </r>
    <r>
      <rPr>
        <i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charset val="204"/>
        <scheme val="minor"/>
      </rPr>
      <t>льшая часть магазинов была закрыта</t>
    </r>
  </si>
  <si>
    <t>*прогноз не обязательно должен быть рассчитан по модели, допускается ручная корректировка</t>
  </si>
  <si>
    <r>
      <rPr>
        <b/>
        <sz val="11"/>
        <color theme="1"/>
        <rFont val="Calibri"/>
        <family val="2"/>
        <charset val="204"/>
        <scheme val="minor"/>
      </rPr>
      <t>Задание:</t>
    </r>
    <r>
      <rPr>
        <sz val="11"/>
        <color theme="1"/>
        <rFont val="Calibri"/>
        <family val="2"/>
        <charset val="204"/>
        <scheme val="minor"/>
      </rPr>
      <t xml:space="preserve"> сделать прогноз выручки по Марке N на 2021 по месяцам, построить график</t>
    </r>
  </si>
  <si>
    <t>Август, сентябрь , октябрь имеют примерно равный коэффициент сезонности. Отличие сентября в 2018, 2019 годах только в мотивации марки</t>
  </si>
  <si>
    <t>Желтой заливкой выделены месяца, в которых выплачивается премия за выполнение плана по марке персоналу магазина (марка в мотивации, в период мотивации марка всегда растет)</t>
  </si>
  <si>
    <t>Сделайте прогноз продаж на следующие полгода на основании имеющихся данных</t>
  </si>
  <si>
    <t>Год,месяц</t>
  </si>
  <si>
    <t>Продажи</t>
  </si>
  <si>
    <t>Комментарий</t>
  </si>
  <si>
    <t>Отношение выручки к предыдущему году</t>
  </si>
  <si>
    <t>2019/2018</t>
  </si>
  <si>
    <t>2020/2019</t>
  </si>
  <si>
    <t>Методика расчета</t>
  </si>
  <si>
    <t>Гарм. среднее</t>
  </si>
  <si>
    <t>Среднее</t>
  </si>
  <si>
    <t>1. В данных явно прослеживается сезонность, поэтому есть возможность для внедрения более сложных регрессивных моделей для предсказания временных рядов (например ARIMA). 
2. Неясно каким образом мы оцениваем точность прогноза. Нужны метрики и критерии оценки.
3. Данные за еще один календарный год без происшествий позволили бы использовать два года для "обучения" и еще один для тестирования методик предсказания
4. Данные за февраля-июль 2020 будем считать аномальными и нерепререзентативными. Нет модели, которая могла бы учесть и предсказать такой поворот. Февраль дополнительно исключен из-за резкого роста в предверии общего закрытия магазинов
5. Если бы за словами "большая часть магазинов" стояла цифра(то есть было бы известно, например, о закрытии 80% магазинов), можно было бы сделать предположение, что продажи пропорциональны количеству магазинов, на основе этого скорректировать данные за 2020 год и использовать их в прогнозе.
6. На мой взгляд ручная корректировка должна проводиться лишь для данных уже предсказанных по модели и в свете обстотельств, которые модель не способна учесть. Например, подбная корректировка могла быть проведена в феврале 2020 года, когда можно было предвидеть закрытие большей части магазинов и на основе этого внести поправки в прогноз.</t>
  </si>
  <si>
    <t>Row Labels</t>
  </si>
  <si>
    <t>2006</t>
  </si>
  <si>
    <t>2007</t>
  </si>
  <si>
    <t>2005</t>
  </si>
  <si>
    <t>Год</t>
  </si>
  <si>
    <t>Месяц</t>
  </si>
  <si>
    <t>Column Labels</t>
  </si>
  <si>
    <t>Sum of Продажи</t>
  </si>
  <si>
    <t>Проноз будет рассчитан как среднее арифметическое между одноименными месяцами за релеватные периоды с пессимистичной корректировкой на рост. 
Релеватные периоды:
* Весь 2018
* Весь 2019
* Январь + Август-Декабрь 2020
Пессимистичной корректировкой является надбавка в 6% сверх среднего. 
Откуда получено это число:
* Взято среднее гармоническое процентного роста продаж между соответсвующими месяцами за 2018/2019 (12%)
* Введена пессимистичная корректировка в 50% от этого значения из-за общего упадка в 2020 году (6%)
Обоснование:
* Необходимость предсказания на полный календарный год сильно ограничивает выбор подходов. Услоно выходит, что мы предсказываем по двум с половиной(2 полных года + половина) точкам предсказываем сразу четвертую.
* Среднее позволит исключить преувеличение или недооценку маловероятных факторов в долгосрочной перспективе
* Среднее - это легкое в реализации  и интерпретируемое решение. 
* Среднее является наивным в предсказании, что является единственной возможностью при отсутствии критериев. В худшем случае мы получим бенчмарк для оценки более сложных моделей.
* На графике ожидаем такую же по динамике линию как в 2018 и 2019 году, в которую вписан некий рост (так же по аналогии с 2018/2019)</t>
  </si>
  <si>
    <t>Дата</t>
  </si>
  <si>
    <t>Прогноз</t>
  </si>
  <si>
    <t>Upper bound</t>
  </si>
  <si>
    <t>Lower bound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</si>
  <si>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</si>
  <si>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</si>
  <si>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</si>
  <si>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</si>
  <si>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</si>
  <si>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</si>
  <si>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</si>
  <si>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</si>
  <si>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</si>
  <si>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</si>
  <si>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</si>
  <si>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</si>
  <si>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Прогноз</t>
  </si>
  <si>
    <t>Доверительный интервал</t>
  </si>
  <si>
    <t>Сезонность(мес)</t>
  </si>
  <si>
    <t>2007 Прогноз</t>
  </si>
  <si>
    <t>Прогноз из задания</t>
  </si>
  <si>
    <t>Sum of Прогноз из задания</t>
  </si>
  <si>
    <t>2007 Прогноз из задания</t>
  </si>
  <si>
    <t>Годовой прогноз
(данные для обучения)</t>
  </si>
  <si>
    <t>Годовой прогноз</t>
  </si>
  <si>
    <t>Полугодовой прогноз из задания
(данные для обучения)</t>
  </si>
  <si>
    <t>Полугодовой прогноз из задания</t>
  </si>
  <si>
    <t>Корректировка</t>
  </si>
  <si>
    <t>Lower bound задания</t>
  </si>
  <si>
    <t>Upper bound задания</t>
  </si>
  <si>
    <t>MAE</t>
  </si>
  <si>
    <t>Метрики в период с 2007/01 по 2007/06</t>
  </si>
  <si>
    <t>MAPE</t>
  </si>
  <si>
    <t>Grand Total</t>
  </si>
  <si>
    <t>Total Sum of Прогноз из задания</t>
  </si>
  <si>
    <t>Total Sum of Прогноз</t>
  </si>
  <si>
    <t>Total Sum of Продажи</t>
  </si>
  <si>
    <t>* Попробуем другой способ прогнозирования - экспоненциальное сглаживание через встроенную в Excel функцию
* В данном случае годовая сезонность
* Сводная таблица и частичная ее копия справа необходимы для красивого нижнего графика
* Данные за первые 6 месяцев 2005 года не соответствуют формой общей наблюдаемой динамике за аналогичный период 2006 и 2007 года, что ведет к заниженному прогнозу
* Как и в предыдущем задании не хватает критериев и метрик оценки
* Годовой(синий) прогноз сделан в попытке оценить предсказатеьлные способности модели. Рассчитаныне метрики в период с 2007/01 по 2007/06 показывают склонность к переоценке в среднем на 737 единиц(30%) от истинного значения. При этом если смотреть на второе полугодие 2007 года, то полугодовой прогноз(зеленый) меньше чем годовой(синий). На фоне спада в первом полугодии 2007го полугодовой прогноз(зеленый) выглядит правдоподобнее. Такое поведение обосновывается тем, что внутри модели недавние наблюдения рассматриваются с большим весом: общий рост с 2005 по 2006 ведет к прогнозированию пропорционального роста с 2007, в то время как спад в первом полугодии 2007 ведет к менее оптимистичному прогнозу во втором.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</si>
</sst>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rgb="FF0070C0"/>
      <name val="Arial Cyr"/>
      <charset val="204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8">
    <xf numFmtId="0" fontId="0" fillId="0" borderId="0"/>
    <xf numFmtId="0" fontId="9" fillId="0" borderId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1" fillId="12" borderId="0" applyNumberFormat="0" applyBorder="0" applyAlignment="0" applyProtection="0"/>
  </cellStyleXfs>
  <cellXfs count="35">
    <xf numFmtId="0" fontId="0" fillId="0" borderId="0" xfId="0"/>
    <xf numFmtId="0" fontId="5" fillId="2" borderId="0" xfId="0" applyFont="1" applyFill="1"/>
    <xf numFmtId="0" fontId="0" fillId="0" borderId="1" xfId="0" applyBorder="1" applyAlignment="1">
      <alignment horizontal="left"/>
    </xf>
    <xf numFmtId="3" fontId="0" fillId="0" borderId="1" xfId="0" applyNumberFormat="1" applyBorder="1"/>
    <xf numFmtId="3" fontId="0" fillId="3" borderId="1" xfId="0" applyNumberFormat="1" applyFill="1" applyBorder="1"/>
    <xf numFmtId="3" fontId="6" fillId="0" borderId="1" xfId="0" applyNumberFormat="1" applyFont="1" applyBorder="1"/>
    <xf numFmtId="0" fontId="8" fillId="0" borderId="0" xfId="0" applyFont="1"/>
    <xf numFmtId="0" fontId="10" fillId="0" borderId="0" xfId="1" applyFont="1"/>
    <xf numFmtId="0" fontId="9" fillId="0" borderId="0" xfId="1"/>
    <xf numFmtId="0" fontId="0" fillId="0" borderId="0" xfId="0" applyAlignment="1">
      <alignment vertical="top" wrapText="1"/>
    </xf>
    <xf numFmtId="0" fontId="3" fillId="5" borderId="0" xfId="2"/>
    <xf numFmtId="0" fontId="0" fillId="0" borderId="0" xfId="0" pivotButton="1"/>
    <xf numFmtId="0" fontId="0" fillId="0" borderId="0" xfId="0" applyAlignment="1">
      <alignment horizontal="left"/>
    </xf>
    <xf numFmtId="0" fontId="11" fillId="0" borderId="0" xfId="1" applyFont="1"/>
    <xf numFmtId="0" fontId="12" fillId="0" borderId="0" xfId="1" applyFont="1"/>
    <xf numFmtId="0" fontId="13" fillId="0" borderId="0" xfId="0" applyFont="1"/>
    <xf numFmtId="0" fontId="15" fillId="0" borderId="0" xfId="1" applyFont="1" applyAlignment="1">
      <alignment horizontal="left" vertical="top" wrapText="1"/>
    </xf>
    <xf numFmtId="0" fontId="3" fillId="0" borderId="0" xfId="0" applyFont="1"/>
    <xf numFmtId="14" fontId="11" fillId="0" borderId="0" xfId="1" applyNumberFormat="1" applyFont="1"/>
    <xf numFmtId="3" fontId="11" fillId="0" borderId="0" xfId="1" applyNumberFormat="1" applyFont="1"/>
    <xf numFmtId="0" fontId="11" fillId="4" borderId="0" xfId="1" applyFont="1" applyFill="1"/>
    <xf numFmtId="0" fontId="16" fillId="0" borderId="0" xfId="0" applyFont="1"/>
    <xf numFmtId="0" fontId="2" fillId="5" borderId="0" xfId="2" applyFont="1"/>
    <xf numFmtId="0" fontId="11" fillId="10" borderId="0" xfId="1" applyFont="1" applyFill="1"/>
    <xf numFmtId="0" fontId="11" fillId="11" borderId="0" xfId="1" applyFont="1" applyFill="1"/>
    <xf numFmtId="0" fontId="1" fillId="12" borderId="0" xfId="7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0" borderId="0" xfId="1" applyFont="1" applyAlignment="1">
      <alignment horizontal="left" vertical="top" wrapText="1"/>
    </xf>
    <xf numFmtId="0" fontId="2" fillId="7" borderId="0" xfId="4" applyAlignment="1">
      <alignment horizontal="center" vertical="center" textRotation="90"/>
    </xf>
    <xf numFmtId="0" fontId="2" fillId="6" borderId="0" xfId="3" applyAlignment="1">
      <alignment horizontal="center" vertical="center" textRotation="90" wrapText="1"/>
    </xf>
    <xf numFmtId="0" fontId="2" fillId="8" borderId="0" xfId="5" applyAlignment="1">
      <alignment horizontal="center" vertical="center" textRotation="90" wrapText="1"/>
    </xf>
    <xf numFmtId="0" fontId="2" fillId="8" borderId="0" xfId="5" applyAlignment="1">
      <alignment horizontal="center" vertical="center" textRotation="90"/>
    </xf>
    <xf numFmtId="0" fontId="2" fillId="9" borderId="0" xfId="6" applyAlignment="1">
      <alignment horizontal="center" vertical="center" textRotation="90" wrapText="1"/>
    </xf>
    <xf numFmtId="0" fontId="2" fillId="9" borderId="0" xfId="6" applyAlignment="1">
      <alignment horizontal="center" vertical="center" textRotation="90"/>
    </xf>
  </cellXfs>
  <cellStyles count="8">
    <cellStyle name="20% - Accent1" xfId="3" builtinId="30"/>
    <cellStyle name="20% - Accent2" xfId="2" builtinId="34"/>
    <cellStyle name="20% - Accent6" xfId="5" builtinId="50"/>
    <cellStyle name="40% - Accent1" xfId="4" builtinId="31"/>
    <cellStyle name="40% - Accent6" xfId="6" builtinId="51"/>
    <cellStyle name="60% - Accent3" xfId="7" builtinId="40"/>
    <cellStyle name="Normal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 месяцам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1'!$A$11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'Задание 1'!$B$10:$M$10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'Задание 1'!$B$11:$M$11</c:f>
              <c:numCache>
                <c:formatCode>#,##0</c:formatCode>
                <c:ptCount val="12"/>
                <c:pt idx="0">
                  <c:v>105054721.8</c:v>
                </c:pt>
                <c:pt idx="1">
                  <c:v>141410949.80000001</c:v>
                </c:pt>
                <c:pt idx="2">
                  <c:v>190820310.69999999</c:v>
                </c:pt>
                <c:pt idx="3">
                  <c:v>82885207.170000002</c:v>
                </c:pt>
                <c:pt idx="4">
                  <c:v>87000566.969999999</c:v>
                </c:pt>
                <c:pt idx="5">
                  <c:v>145885966.59999999</c:v>
                </c:pt>
                <c:pt idx="6">
                  <c:v>99190175.599999994</c:v>
                </c:pt>
                <c:pt idx="7">
                  <c:v>102957817.5</c:v>
                </c:pt>
                <c:pt idx="8">
                  <c:v>154643879.40000001</c:v>
                </c:pt>
                <c:pt idx="9">
                  <c:v>104365020</c:v>
                </c:pt>
                <c:pt idx="10">
                  <c:v>174873367.90000001</c:v>
                </c:pt>
                <c:pt idx="11">
                  <c:v>384935047.80000001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D-40DF-833C-5B6E72915BFD}"/>
            </c:ext>
          </c:extLst>
        </c:ser>
        <c:ser>
          <c:idx val="1"/>
          <c:order val="1"/>
          <c:tx>
            <c:strRef>
              <c:f>'Задание 1'!$A$12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'Задание 1'!$B$10:$M$10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'Задание 1'!$B$12:$M$12</c:f>
              <c:numCache>
                <c:formatCode>#,##0</c:formatCode>
                <c:ptCount val="12"/>
                <c:pt idx="0">
                  <c:v>113369738.8</c:v>
                </c:pt>
                <c:pt idx="1">
                  <c:v>155315980.80000001</c:v>
                </c:pt>
                <c:pt idx="2">
                  <c:v>226741310.59999999</c:v>
                </c:pt>
                <c:pt idx="3">
                  <c:v>104903727.90000001</c:v>
                </c:pt>
                <c:pt idx="4">
                  <c:v>98925317.510000005</c:v>
                </c:pt>
                <c:pt idx="5">
                  <c:v>166239182.80000001</c:v>
                </c:pt>
                <c:pt idx="6">
                  <c:v>114297476.59999999</c:v>
                </c:pt>
                <c:pt idx="7">
                  <c:v>116952138.5</c:v>
                </c:pt>
                <c:pt idx="8">
                  <c:v>149740931.30000001</c:v>
                </c:pt>
                <c:pt idx="9">
                  <c:v>120804539.7</c:v>
                </c:pt>
                <c:pt idx="10">
                  <c:v>224430796.80000001</c:v>
                </c:pt>
                <c:pt idx="11">
                  <c:v>360916418.39999998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D-40DF-833C-5B6E72915BFD}"/>
            </c:ext>
          </c:extLst>
        </c:ser>
        <c:ser>
          <c:idx val="2"/>
          <c:order val="2"/>
          <c:tx>
            <c:strRef>
              <c:f>'Задание 1'!$A$13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'Задание 1'!$B$10:$M$10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'Задание 1'!$B$13:$M$13</c:f>
              <c:numCache>
                <c:formatCode>#,##0</c:formatCode>
                <c:ptCount val="12"/>
                <c:pt idx="0">
                  <c:v>110506705.3</c:v>
                </c:pt>
                <c:pt idx="1">
                  <c:v>209062632.30000001</c:v>
                </c:pt>
                <c:pt idx="2">
                  <c:v>154143974.19999999</c:v>
                </c:pt>
                <c:pt idx="3">
                  <c:v>13443259.699999999</c:v>
                </c:pt>
                <c:pt idx="4">
                  <c:v>33558366.899999999</c:v>
                </c:pt>
                <c:pt idx="5">
                  <c:v>77156348.909999996</c:v>
                </c:pt>
                <c:pt idx="6">
                  <c:v>117978721.7</c:v>
                </c:pt>
                <c:pt idx="7">
                  <c:v>116895245.76999983</c:v>
                </c:pt>
                <c:pt idx="8">
                  <c:v>126831996.99999976</c:v>
                </c:pt>
                <c:pt idx="9">
                  <c:v>104329990.37999982</c:v>
                </c:pt>
                <c:pt idx="10">
                  <c:v>201995784.59999973</c:v>
                </c:pt>
                <c:pt idx="11">
                  <c:v>339042578.26000047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AD-40DF-833C-5B6E72915BFD}"/>
            </c:ext>
          </c:extLst>
        </c:ser>
        <c:ser>
          <c:idx val="3"/>
          <c:order val="3"/>
          <c:tx>
            <c:strRef>
              <c:f>'Задание 1'!$A$14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'Задание 1'!$B$10:$M$10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'Задание 1'!$B$14:$M$14</c:f>
              <c:numCache>
                <c:formatCode>#,##0</c:formatCode>
                <c:ptCount val="12"/>
                <c:pt idx="0">
                  <c:v>116222345.28466666</c:v>
                </c:pt>
                <c:pt idx="1">
                  <c:v>178712312.22466668</c:v>
                </c:pt>
                <c:pt idx="2">
                  <c:v>202002643.74333334</c:v>
                </c:pt>
                <c:pt idx="3">
                  <c:v>71102042.152066663</c:v>
                </c:pt>
                <c:pt idx="4">
                  <c:v>77551102.154266685</c:v>
                </c:pt>
                <c:pt idx="5">
                  <c:v>137546129.40286666</c:v>
                </c:pt>
                <c:pt idx="6">
                  <c:v>117118118.778</c:v>
                </c:pt>
                <c:pt idx="7">
                  <c:v>119004504.62539996</c:v>
                </c:pt>
                <c:pt idx="8">
                  <c:v>152363272.05399996</c:v>
                </c:pt>
                <c:pt idx="9">
                  <c:v>116423174.36159994</c:v>
                </c:pt>
                <c:pt idx="10">
                  <c:v>212459315.41933325</c:v>
                </c:pt>
                <c:pt idx="11">
                  <c:v>383329229.04253352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AD-40DF-833C-5B6E7291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551535"/>
        <c:axId val="668537615"/>
      </c:lineChart>
      <c:catAx>
        <c:axId val="6685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37615"/>
        <c:crosses val="autoZero"/>
        <c:auto val="1"/>
        <c:lblAlgn val="ctr"/>
        <c:lblOffset val="100"/>
        <c:noMultiLvlLbl val="0"/>
      </c:catAx>
      <c:valAx>
        <c:axId val="668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Отношение</a:t>
            </a:r>
            <a:r>
              <a:rPr lang="ru-RU" baseline="0"/>
              <a:t> выручки к предыдущему году</a:t>
            </a:r>
            <a:endParaRPr lang="en-US"/>
          </a:p>
        </c:rich>
      </c:tx>
      <c:layout>
        <c:manualLayout>
          <c:xMode val="edge"/>
          <c:yMode val="edge"/>
          <c:x val="0.145270778652668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1'!$A$18</c:f>
              <c:strCache>
                <c:ptCount val="1"/>
                <c:pt idx="0">
                  <c:v>2019/2018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1'!$B$18:$M$18</c:f>
              <c:numCache>
                <c:formatCode>General</c:formatCode>
                <c:ptCount val="12"/>
                <c:pt idx="0">
                  <c:v>1.0791493885998753</c:v>
                </c:pt>
                <c:pt idx="1">
                  <c:v>1.0983306527511916</c:v>
                </c:pt>
                <c:pt idx="2">
                  <c:v>1.1882451599005808</c:v>
                </c:pt>
                <c:pt idx="3">
                  <c:v>1.2656507895895026</c:v>
                </c:pt>
                <c:pt idx="4">
                  <c:v>1.1370652049211583</c:v>
                </c:pt>
                <c:pt idx="5">
                  <c:v>1.1395145583523181</c:v>
                </c:pt>
                <c:pt idx="6">
                  <c:v>1.1523064245890902</c:v>
                </c:pt>
                <c:pt idx="7">
                  <c:v>1.1359228598644295</c:v>
                </c:pt>
                <c:pt idx="8">
                  <c:v>0.96829523341613744</c:v>
                </c:pt>
                <c:pt idx="9">
                  <c:v>1.1575194418589678</c:v>
                </c:pt>
                <c:pt idx="10">
                  <c:v>1.2833903726743516</c:v>
                </c:pt>
                <c:pt idx="11">
                  <c:v>0.93760342287024134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9-4E82-AAB5-3240CE85AA35}"/>
            </c:ext>
          </c:extLst>
        </c:ser>
        <c:ser>
          <c:idx val="1"/>
          <c:order val="1"/>
          <c:tx>
            <c:strRef>
              <c:f>'Задание 1'!$A$19</c:f>
              <c:strCache>
                <c:ptCount val="1"/>
                <c:pt idx="0">
                  <c:v>2020/2019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1'!$B$19:$M$19</c:f>
              <c:numCache>
                <c:formatCode>General</c:formatCode>
                <c:ptCount val="12"/>
                <c:pt idx="0">
                  <c:v>0.97474605189793384</c:v>
                </c:pt>
                <c:pt idx="1">
                  <c:v>1.3460471435274224</c:v>
                </c:pt>
                <c:pt idx="8">
                  <c:v>0.84700953773218424</c:v>
                </c:pt>
                <c:pt idx="9">
                  <c:v>0.8636264054238999</c:v>
                </c:pt>
                <c:pt idx="10">
                  <c:v>0.90003594640358964</c:v>
                </c:pt>
                <c:pt idx="11">
                  <c:v>0.93939361296731883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9-4E82-AAB5-3240CE85A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408303"/>
        <c:axId val="1154430383"/>
      </c:lineChart>
      <c:catAx>
        <c:axId val="1154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30383"/>
        <c:crosses val="autoZero"/>
        <c:auto val="1"/>
        <c:lblAlgn val="ctr"/>
        <c:lblOffset val="100"/>
        <c:noMultiLvlLbl val="0"/>
      </c:catAx>
      <c:valAx>
        <c:axId val="11544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</a:t>
            </a:r>
            <a:endParaRPr lang="en-US"/>
          </a:p>
        </c:rich>
      </c:tx>
      <c:layout>
        <c:manualLayout>
          <c:xMode val="edge"/>
          <c:yMode val="edge"/>
          <c:x val="0.4359909155707306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 (2)'!$E$9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(2)'!$E$10:$E$45</c:f>
              <c:numCache>
                <c:formatCode>#,##0</c:formatCode>
                <c:ptCount val="36"/>
                <c:pt idx="0">
                  <c:v>607.0933349096747</c:v>
                </c:pt>
                <c:pt idx="1">
                  <c:v>1552.8626369053245</c:v>
                </c:pt>
                <c:pt idx="2">
                  <c:v>1900.7500841766737</c:v>
                </c:pt>
                <c:pt idx="3">
                  <c:v>1557.6447101106592</c:v>
                </c:pt>
                <c:pt idx="4">
                  <c:v>1302.6464721460322</c:v>
                </c:pt>
                <c:pt idx="5">
                  <c:v>1956.8852482739046</c:v>
                </c:pt>
                <c:pt idx="6">
                  <c:v>1171.6179920552347</c:v>
                </c:pt>
                <c:pt idx="7">
                  <c:v>777.48206185566892</c:v>
                </c:pt>
                <c:pt idx="8">
                  <c:v>3150.8978776127838</c:v>
                </c:pt>
                <c:pt idx="9">
                  <c:v>1205.562461931331</c:v>
                </c:pt>
                <c:pt idx="10">
                  <c:v>1192.7126700085093</c:v>
                </c:pt>
                <c:pt idx="11">
                  <c:v>3423.8389312399477</c:v>
                </c:pt>
                <c:pt idx="12">
                  <c:v>1290.9809597131855</c:v>
                </c:pt>
                <c:pt idx="13">
                  <c:v>3903.516905082422</c:v>
                </c:pt>
                <c:pt idx="14">
                  <c:v>2921.681360532767</c:v>
                </c:pt>
                <c:pt idx="15">
                  <c:v>1541.5164152015132</c:v>
                </c:pt>
                <c:pt idx="16">
                  <c:v>3314.113131357502</c:v>
                </c:pt>
                <c:pt idx="17">
                  <c:v>1821.6418327370936</c:v>
                </c:pt>
                <c:pt idx="18">
                  <c:v>1120.8557656672656</c:v>
                </c:pt>
                <c:pt idx="19">
                  <c:v>1412.8465810271427</c:v>
                </c:pt>
                <c:pt idx="20">
                  <c:v>3749.1021308748032</c:v>
                </c:pt>
                <c:pt idx="21">
                  <c:v>1696.1920244774406</c:v>
                </c:pt>
                <c:pt idx="22">
                  <c:v>1648.192383126828</c:v>
                </c:pt>
                <c:pt idx="23">
                  <c:v>5962.3199025952154</c:v>
                </c:pt>
                <c:pt idx="24">
                  <c:v>1789.2441838645573</c:v>
                </c:pt>
                <c:pt idx="25">
                  <c:v>3452.1131404993916</c:v>
                </c:pt>
                <c:pt idx="26">
                  <c:v>3031.1724712002278</c:v>
                </c:pt>
                <c:pt idx="27">
                  <c:v>2007.7278132507308</c:v>
                </c:pt>
                <c:pt idx="28">
                  <c:v>3012.1185222264216</c:v>
                </c:pt>
                <c:pt idx="29">
                  <c:v>2106.0344978719377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5-4636-8D01-4E46471A9A2D}"/>
            </c:ext>
          </c:extLst>
        </c:ser>
        <c:ser>
          <c:idx val="1"/>
          <c:order val="1"/>
          <c:tx>
            <c:strRef>
              <c:f>'Задание 2 (2)'!$F$9</c:f>
              <c:strCache>
                <c:ptCount val="1"/>
                <c:pt idx="0">
                  <c:v>Прогноз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(2)'!$F$10:$F$45</c:f>
              <c:numCache>
                <c:formatCode>General</c:formatCode>
                <c:ptCount val="36"/>
                <c:pt idx="23" formatCode="#,##0">
                  <c:v>5962.3199025952154</c:v>
                </c:pt>
                <c:pt idx="24">
                  <c:v>2266.896216843792</c:v>
                </c:pt>
                <c:pt idx="25">
                  <c:v>4564.1597248429916</c:v>
                </c:pt>
                <c:pt idx="26">
                  <c:v>3829.5613743166468</c:v>
                </c:pt>
                <c:pt idx="27">
                  <c:v>2641.5101442841933</c:v>
                </c:pt>
                <c:pt idx="28">
                  <c:v>4031.2917437082142</c:v>
                </c:pt>
                <c:pt idx="29">
                  <c:v>3225.4761119006675</c:v>
                </c:pt>
                <c:pt idx="30">
                  <c:v>2480.812562076323</c:v>
                </c:pt>
                <c:pt idx="31">
                  <c:v>2466.5417432731233</c:v>
                </c:pt>
                <c:pt idx="32">
                  <c:v>4820.0164086444502</c:v>
                </c:pt>
                <c:pt idx="33">
                  <c:v>2805.2736024456713</c:v>
                </c:pt>
                <c:pt idx="34">
                  <c:v>2785.3381979105407</c:v>
                </c:pt>
                <c:pt idx="35">
                  <c:v>5636.3840118999842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5-4636-8D01-4E46471A9A2D}"/>
            </c:ext>
          </c:extLst>
        </c:ser>
        <c:ser>
          <c:idx val="2"/>
          <c:order val="2"/>
          <c:tx>
            <c:strRef>
              <c:f>'Задание 2 (2)'!$G$9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(2)'!$G$10:$G$45</c:f>
              <c:numCache>
                <c:formatCode>General</c:formatCode>
                <c:ptCount val="36"/>
                <c:pt idx="23" formatCode="#,##0">
                  <c:v>5962.3199025952154</c:v>
                </c:pt>
                <c:pt idx="24">
                  <c:v>1029.5113344629412</c:v>
                </c:pt>
                <c:pt idx="25">
                  <c:v>3326.7692742426989</c:v>
                </c:pt>
                <c:pt idx="26">
                  <c:v>2592.1610247214358</c:v>
                </c:pt>
                <c:pt idx="27">
                  <c:v>1404.0943276679561</c:v>
                </c:pt>
                <c:pt idx="28">
                  <c:v>2793.8536549213341</c:v>
                </c:pt>
                <c:pt idx="29">
                  <c:v>1988.0077088589833</c:v>
                </c:pt>
                <c:pt idx="30">
                  <c:v>1243.3045660242758</c:v>
                </c:pt>
                <c:pt idx="31">
                  <c:v>1228.9836391334138</c:v>
                </c:pt>
                <c:pt idx="32">
                  <c:v>3582.396445466502</c:v>
                </c:pt>
                <c:pt idx="33">
                  <c:v>1567.5787939651675</c:v>
                </c:pt>
                <c:pt idx="34">
                  <c:v>1547.5543232322591</c:v>
                </c:pt>
                <c:pt idx="35">
                  <c:v>4398.4956163160987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5-4636-8D01-4E46471A9A2D}"/>
            </c:ext>
          </c:extLst>
        </c:ser>
        <c:ser>
          <c:idx val="3"/>
          <c:order val="3"/>
          <c:tx>
            <c:strRef>
              <c:f>'Задание 2 (2)'!$H$9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(2)'!$H$10:$H$45</c:f>
              <c:numCache>
                <c:formatCode>General</c:formatCode>
                <c:ptCount val="36"/>
                <c:pt idx="23" formatCode="#,##0">
                  <c:v>5962.3199025952154</c:v>
                </c:pt>
                <c:pt idx="24">
                  <c:v>3504.2810992246427</c:v>
                </c:pt>
                <c:pt idx="25">
                  <c:v>5801.5501754432844</c:v>
                </c:pt>
                <c:pt idx="26">
                  <c:v>5066.9617239118579</c:v>
                </c:pt>
                <c:pt idx="27">
                  <c:v>3878.9259609004303</c:v>
                </c:pt>
                <c:pt idx="28">
                  <c:v>5268.7298324950943</c:v>
                </c:pt>
                <c:pt idx="29">
                  <c:v>4462.9445149423518</c:v>
                </c:pt>
                <c:pt idx="30">
                  <c:v>3718.3205581283701</c:v>
                </c:pt>
                <c:pt idx="31">
                  <c:v>3704.0998474128328</c:v>
                </c:pt>
                <c:pt idx="32">
                  <c:v>6057.6363718223984</c:v>
                </c:pt>
                <c:pt idx="33">
                  <c:v>4042.9684109261752</c:v>
                </c:pt>
                <c:pt idx="34">
                  <c:v>4023.1220725888224</c:v>
                </c:pt>
                <c:pt idx="35">
                  <c:v>6874.2724074838698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15-4636-8D01-4E46471A9A2D}"/>
            </c:ext>
          </c:extLst>
        </c:ser>
        <c:ser>
          <c:idx val="4"/>
          <c:order val="4"/>
          <c:tx>
            <c:strRef>
              <c:f>'Задание 2 (2)'!$I$9</c:f>
              <c:strCache>
                <c:ptCount val="1"/>
                <c:pt idx="0">
                  <c:v>Прогноз из задания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(2)'!$I$10:$I$45</c:f>
              <c:numCache>
                <c:formatCode>General</c:formatCode>
                <c:ptCount val="36"/>
                <c:pt idx="29" formatCode="#,##0">
                  <c:v>2106.0344978719377</c:v>
                </c:pt>
                <c:pt idx="30">
                  <c:v>2009.03209967715</c:v>
                </c:pt>
                <c:pt idx="31">
                  <c:v>1990.0357148676119</c:v>
                </c:pt>
                <c:pt idx="32">
                  <c:v>4347.6716179805062</c:v>
                </c:pt>
                <c:pt idx="33">
                  <c:v>2344.9553934076202</c:v>
                </c:pt>
                <c:pt idx="34">
                  <c:v>2322.2002478465743</c:v>
                </c:pt>
                <c:pt idx="35">
                  <c:v>5110.8108102761835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15-4636-8D01-4E46471A9A2D}"/>
            </c:ext>
          </c:extLst>
        </c:ser>
        <c:ser>
          <c:idx val="5"/>
          <c:order val="5"/>
          <c:tx>
            <c:strRef>
              <c:f>'Задание 2 (2)'!$J$9</c:f>
              <c:strCache>
                <c:ptCount val="1"/>
                <c:pt idx="0">
                  <c:v>Lower bound задания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(2)'!$J$10:$J$45</c:f>
              <c:numCache>
                <c:formatCode>General</c:formatCode>
                <c:ptCount val="36"/>
                <c:pt idx="29" formatCode="#,##0">
                  <c:v>2106.0344978719377</c:v>
                </c:pt>
                <c:pt idx="30">
                  <c:v>1255.6899198479555</c:v>
                </c:pt>
                <c:pt idx="31">
                  <c:v>1241.4135880052702</c:v>
                </c:pt>
                <c:pt idx="32">
                  <c:v>3594.8784524787661</c:v>
                </c:pt>
                <c:pt idx="33">
                  <c:v>1580.1203325340891</c:v>
                </c:pt>
                <c:pt idx="34">
                  <c:v>1560.1628765411344</c:v>
                </c:pt>
                <c:pt idx="35">
                  <c:v>4411.1786766840605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15-4636-8D01-4E46471A9A2D}"/>
            </c:ext>
          </c:extLst>
        </c:ser>
        <c:ser>
          <c:idx val="6"/>
          <c:order val="6"/>
          <c:tx>
            <c:strRef>
              <c:f>'Задание 2 (2)'!$K$9</c:f>
              <c:strCache>
                <c:ptCount val="1"/>
                <c:pt idx="0">
                  <c:v>Upper bound задания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'Задание 2 (2)'!$D$10:$D$45</c:f>
              <c:numCache>
                <c:formatCode>m/d/yyyy</c:formatCode>
                <c:ptCount val="36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</c:numCache>
            </c:numRef>
          </c:cat>
          <c:val>
            <c:numRef>
              <c:f>'Задание 2 (2)'!$K$10:$K$45</c:f>
              <c:numCache>
                <c:formatCode>General</c:formatCode>
                <c:ptCount val="36"/>
                <c:pt idx="29" formatCode="#,##0">
                  <c:v>2106.0344978719377</c:v>
                </c:pt>
                <c:pt idx="30">
                  <c:v>3705.9352043046906</c:v>
                </c:pt>
                <c:pt idx="31">
                  <c:v>3691.6698985409766</c:v>
                </c:pt>
                <c:pt idx="32">
                  <c:v>6045.1543648101342</c:v>
                </c:pt>
                <c:pt idx="33">
                  <c:v>4030.4268723572532</c:v>
                </c:pt>
                <c:pt idx="34">
                  <c:v>4010.5135192799471</c:v>
                </c:pt>
                <c:pt idx="35">
                  <c:v>6861.5893471159079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15-4636-8D01-4E46471A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689935"/>
        <c:axId val="1553681775"/>
      </c:lineChart>
      <c:dateAx>
        <c:axId val="15536899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81775"/>
        <c:crosses val="autoZero"/>
        <c:auto val="1"/>
        <c:lblOffset val="100"/>
        <c:baseTimeUnit val="months"/>
      </c:dateAx>
      <c:valAx>
        <c:axId val="15536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8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за месяцам по годам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 (2)'!$AG$8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'Задание 2 (2)'!$AF$9:$AF$20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'Задание 2 (2)'!$AG$9:$AG$20</c:f>
              <c:numCache>
                <c:formatCode>General</c:formatCode>
                <c:ptCount val="12"/>
                <c:pt idx="0">
                  <c:v>607.0933349096747</c:v>
                </c:pt>
                <c:pt idx="1">
                  <c:v>1552.8626369053245</c:v>
                </c:pt>
                <c:pt idx="2">
                  <c:v>1900.7500841766737</c:v>
                </c:pt>
                <c:pt idx="3">
                  <c:v>1557.6447101106592</c:v>
                </c:pt>
                <c:pt idx="4">
                  <c:v>1302.6464721460322</c:v>
                </c:pt>
                <c:pt idx="5">
                  <c:v>1956.8852482739046</c:v>
                </c:pt>
                <c:pt idx="6">
                  <c:v>1171.6179920552347</c:v>
                </c:pt>
                <c:pt idx="7">
                  <c:v>777.48206185566892</c:v>
                </c:pt>
                <c:pt idx="8">
                  <c:v>3150.8978776127838</c:v>
                </c:pt>
                <c:pt idx="9">
                  <c:v>1205.562461931331</c:v>
                </c:pt>
                <c:pt idx="10">
                  <c:v>1192.7126700085093</c:v>
                </c:pt>
                <c:pt idx="11">
                  <c:v>3423.8389312399477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5-4001-89FE-799C0F6150CC}"/>
            </c:ext>
          </c:extLst>
        </c:ser>
        <c:ser>
          <c:idx val="1"/>
          <c:order val="1"/>
          <c:tx>
            <c:strRef>
              <c:f>'Задание 2 (2)'!$AH$8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'Задание 2 (2)'!$AF$9:$AF$20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'Задание 2 (2)'!$AH$9:$AH$20</c:f>
              <c:numCache>
                <c:formatCode>General</c:formatCode>
                <c:ptCount val="12"/>
                <c:pt idx="0">
                  <c:v>1290.9809597131855</c:v>
                </c:pt>
                <c:pt idx="1">
                  <c:v>3903.516905082422</c:v>
                </c:pt>
                <c:pt idx="2">
                  <c:v>2921.681360532767</c:v>
                </c:pt>
                <c:pt idx="3">
                  <c:v>1541.5164152015132</c:v>
                </c:pt>
                <c:pt idx="4">
                  <c:v>3314.113131357502</c:v>
                </c:pt>
                <c:pt idx="5">
                  <c:v>1821.6418327370936</c:v>
                </c:pt>
                <c:pt idx="6">
                  <c:v>1120.8557656672656</c:v>
                </c:pt>
                <c:pt idx="7">
                  <c:v>1412.8465810271427</c:v>
                </c:pt>
                <c:pt idx="8">
                  <c:v>3749.1021308748032</c:v>
                </c:pt>
                <c:pt idx="9">
                  <c:v>1696.1920244774406</c:v>
                </c:pt>
                <c:pt idx="10">
                  <c:v>1648.192383126828</c:v>
                </c:pt>
                <c:pt idx="11">
                  <c:v>5962.3199025952154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5-4001-89FE-799C0F6150CC}"/>
            </c:ext>
          </c:extLst>
        </c:ser>
        <c:ser>
          <c:idx val="2"/>
          <c:order val="2"/>
          <c:tx>
            <c:strRef>
              <c:f>'Задание 2 (2)'!$AI$8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'Задание 2 (2)'!$AF$9:$AF$20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'Задание 2 (2)'!$AI$9:$AI$20</c:f>
              <c:numCache>
                <c:formatCode>General</c:formatCode>
                <c:ptCount val="12"/>
                <c:pt idx="0">
                  <c:v>1789.2441838645573</c:v>
                </c:pt>
                <c:pt idx="1">
                  <c:v>3452.1131404993916</c:v>
                </c:pt>
                <c:pt idx="2">
                  <c:v>3031.1724712002278</c:v>
                </c:pt>
                <c:pt idx="3">
                  <c:v>2007.7278132507308</c:v>
                </c:pt>
                <c:pt idx="4">
                  <c:v>3012.1185222264216</c:v>
                </c:pt>
                <c:pt idx="5">
                  <c:v>2106.0344978719377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5-4001-89FE-799C0F6150CC}"/>
            </c:ext>
          </c:extLst>
        </c:ser>
        <c:ser>
          <c:idx val="3"/>
          <c:order val="3"/>
          <c:tx>
            <c:strRef>
              <c:f>'Задание 2 (2)'!$AJ$8</c:f>
              <c:strCache>
                <c:ptCount val="1"/>
                <c:pt idx="0">
                  <c:v>2007 Прогноз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f>'Задание 2 (2)'!$AF$9:$AF$20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'Задание 2 (2)'!$AJ$9:$AJ$20</c:f>
              <c:numCache>
                <c:formatCode>General</c:formatCode>
                <c:ptCount val="12"/>
                <c:pt idx="0">
                  <c:v>2266.896216843792</c:v>
                </c:pt>
                <c:pt idx="1">
                  <c:v>4564.1597248429916</c:v>
                </c:pt>
                <c:pt idx="2">
                  <c:v>3829.5613743166468</c:v>
                </c:pt>
                <c:pt idx="3">
                  <c:v>2641.5101442841933</c:v>
                </c:pt>
                <c:pt idx="4">
                  <c:v>4031.2917437082142</c:v>
                </c:pt>
                <c:pt idx="5">
                  <c:v>3225.4761119006675</c:v>
                </c:pt>
                <c:pt idx="6">
                  <c:v>2480.812562076323</c:v>
                </c:pt>
                <c:pt idx="7">
                  <c:v>2466.5417432731233</c:v>
                </c:pt>
                <c:pt idx="8">
                  <c:v>4820.0164086444502</c:v>
                </c:pt>
                <c:pt idx="9">
                  <c:v>2805.2736024456713</c:v>
                </c:pt>
                <c:pt idx="10">
                  <c:v>2785.3381979105407</c:v>
                </c:pt>
                <c:pt idx="11">
                  <c:v>5636.3840118999842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5-4001-89FE-799C0F6150CC}"/>
            </c:ext>
          </c:extLst>
        </c:ser>
        <c:ser>
          <c:idx val="4"/>
          <c:order val="4"/>
          <c:tx>
            <c:strRef>
              <c:f>'Задание 2 (2)'!$AK$8</c:f>
              <c:strCache>
                <c:ptCount val="1"/>
                <c:pt idx="0">
                  <c:v>2007 Прогноз из задания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'Задание 2 (2)'!$AF$9:$AF$20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'Задание 2 (2)'!$AK$9:$AK$20</c:f>
              <c:numCache>
                <c:formatCode>General</c:formatCode>
                <c:ptCount val="12"/>
                <c:pt idx="5">
                  <c:v>2106.0344978719377</c:v>
                </c:pt>
                <c:pt idx="6">
                  <c:v>2009.03209967715</c:v>
                </c:pt>
                <c:pt idx="7">
                  <c:v>1990.0357148676119</c:v>
                </c:pt>
                <c:pt idx="8">
                  <c:v>4347.6716179805062</c:v>
                </c:pt>
                <c:pt idx="9">
                  <c:v>2344.9553934076202</c:v>
                </c:pt>
                <c:pt idx="10">
                  <c:v>2322.2002478465743</c:v>
                </c:pt>
                <c:pt idx="11">
                  <c:v>5110.8108102761835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5-4001-89FE-799C0F61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262751"/>
        <c:axId val="1431263231"/>
      </c:lineChart>
      <c:catAx>
        <c:axId val="14312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63231"/>
        <c:crosses val="autoZero"/>
        <c:auto val="1"/>
        <c:lblAlgn val="ctr"/>
        <c:lblOffset val="100"/>
        <c:noMultiLvlLbl val="0"/>
      </c:catAx>
      <c:valAx>
        <c:axId val="143126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6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137948</xdr:colOff>
      <xdr:row>20</xdr:row>
      <xdr:rowOff>13138</xdr:rowOff>
    </xdr:from>
    <xdr:to>
      <xdr:col>9</xdr:col>
      <xdr:colOff>676603</xdr:colOff>
      <xdr:row>34</xdr:row>
      <xdr:rowOff>131380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FB32B-7BF4-8DCC-3E60-87259260F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9854</xdr:colOff>
      <xdr:row>19</xdr:row>
      <xdr:rowOff>181960</xdr:rowOff>
    </xdr:from>
    <xdr:to>
      <xdr:col>16</xdr:col>
      <xdr:colOff>0</xdr:colOff>
      <xdr:row>34</xdr:row>
      <xdr:rowOff>164223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44E7D7-C55B-385B-40A8-78257E024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292553</xdr:colOff>
      <xdr:row>6</xdr:row>
      <xdr:rowOff>128587</xdr:rowOff>
    </xdr:from>
    <xdr:to>
      <xdr:col>30</xdr:col>
      <xdr:colOff>129267</xdr:colOff>
      <xdr:row>26</xdr:row>
      <xdr:rowOff>88446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E8904-3A22-4E4F-99D5-F3B582F23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360589</xdr:colOff>
      <xdr:row>27</xdr:row>
      <xdr:rowOff>13607</xdr:rowOff>
    </xdr:from>
    <xdr:to>
      <xdr:col>30</xdr:col>
      <xdr:colOff>204107</xdr:colOff>
      <xdr:row>50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14D62-15D7-4EA9-0C66-46230F8C4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" refreshedDate="45984.693825115741" createdVersion="8" refreshedVersion="8" minRefreshableVersion="3" recordCount="36" xr:uid="{6DE52D19-B012-48A4-8FB0-67F50966756B}">
  <cacheSource type="worksheet">
    <worksheetSource ref="D9:K45" sheet="Задание 2 (2)"/>
  </cacheSource>
  <cacheFields count="11">
    <cacheField name="Дата" numFmtId="14">
      <sharedItems containsSemiMixedTypes="0" containsNonDate="0" containsDate="1" containsString="0" minDate="2005-01-01T00:00:00" maxDate="2007-12-02T00:00:00" count="36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</sharedItems>
      <fieldGroup par="10"/>
    </cacheField>
    <cacheField name="Продажи" numFmtId="0">
      <sharedItems containsString="0" containsBlank="1" containsNumber="1" minValue="607.0933349096747" maxValue="5962.3199025952154"/>
    </cacheField>
    <cacheField name="Прогноз" numFmtId="0">
      <sharedItems containsString="0" containsBlank="1" containsNumber="1" minValue="2266.896216843792" maxValue="5962.3199025952154"/>
    </cacheField>
    <cacheField name="Lower bound" numFmtId="0">
      <sharedItems containsString="0" containsBlank="1" containsNumber="1" minValue="1029.5113344629412" maxValue="5962.3199025952154"/>
    </cacheField>
    <cacheField name="Upper bound" numFmtId="0">
      <sharedItems containsString="0" containsBlank="1" containsNumber="1" minValue="3504.2810992246427" maxValue="6874.2724074838698"/>
    </cacheField>
    <cacheField name="Прогноз из задания" numFmtId="0">
      <sharedItems containsString="0" containsBlank="1" containsNumber="1" minValue="1990.0357148676119" maxValue="5110.8108102761835"/>
    </cacheField>
    <cacheField name="Lower bound задания" numFmtId="0">
      <sharedItems containsString="0" containsBlank="1" containsNumber="1" minValue="1241.4135880052702" maxValue="4411.1786766840605"/>
    </cacheField>
    <cacheField name="Upper bound задания" numFmtId="0">
      <sharedItems containsString="0" containsBlank="1" containsNumber="1" minValue="2106.0344978719377" maxValue="6861.5893471159079"/>
    </cacheField>
    <cacheField name="Months (Дата)" numFmtId="0" databaseField="0">
      <fieldGroup base="0">
        <rangePr groupBy="months" startDate="2005-01-01T00:00:00" endDate="2007-12-02T00:00:00"/>
        <groupItems count="14">
          <s v="&lt;1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07"/>
        </groupItems>
      </fieldGroup>
    </cacheField>
    <cacheField name="Quarters (Дата)" numFmtId="0" databaseField="0">
      <fieldGroup base="0">
        <rangePr groupBy="quarters" startDate="2005-01-01T00:00:00" endDate="2007-12-02T00:00:00"/>
        <groupItems count="6">
          <s v="&lt;1/1/2005"/>
          <s v="Qtr1"/>
          <s v="Qtr2"/>
          <s v="Qtr3"/>
          <s v="Qtr4"/>
          <s v="&gt;12/2/2007"/>
        </groupItems>
      </fieldGroup>
    </cacheField>
    <cacheField name="Years (Дата)" numFmtId="0" databaseField="0">
      <fieldGroup base="0">
        <rangePr groupBy="years" startDate="2005-01-01T00:00:00" endDate="2007-12-02T00:00:00"/>
        <groupItems count="5">
          <s v="&lt;1/1/2005"/>
          <s v="2005"/>
          <s v="2006"/>
          <s v="2007"/>
          <s v="&gt;12/2/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607.0933349096747"/>
    <m/>
    <m/>
    <m/>
    <m/>
    <m/>
    <m/>
  </r>
  <r>
    <x v="1"/>
    <n v="1552.8626369053245"/>
    <m/>
    <m/>
    <m/>
    <m/>
    <m/>
    <m/>
  </r>
  <r>
    <x v="2"/>
    <n v="1900.7500841766737"/>
    <m/>
    <m/>
    <m/>
    <m/>
    <m/>
    <m/>
  </r>
  <r>
    <x v="3"/>
    <n v="1557.6447101106592"/>
    <m/>
    <m/>
    <m/>
    <m/>
    <m/>
    <m/>
  </r>
  <r>
    <x v="4"/>
    <n v="1302.6464721460322"/>
    <m/>
    <m/>
    <m/>
    <m/>
    <m/>
    <m/>
  </r>
  <r>
    <x v="5"/>
    <n v="1956.8852482739046"/>
    <m/>
    <m/>
    <m/>
    <m/>
    <m/>
    <m/>
  </r>
  <r>
    <x v="6"/>
    <n v="1171.6179920552347"/>
    <m/>
    <m/>
    <m/>
    <m/>
    <m/>
    <m/>
  </r>
  <r>
    <x v="7"/>
    <n v="777.48206185566892"/>
    <m/>
    <m/>
    <m/>
    <m/>
    <m/>
    <m/>
  </r>
  <r>
    <x v="8"/>
    <n v="3150.8978776127838"/>
    <m/>
    <m/>
    <m/>
    <m/>
    <m/>
    <m/>
  </r>
  <r>
    <x v="9"/>
    <n v="1205.562461931331"/>
    <m/>
    <m/>
    <m/>
    <m/>
    <m/>
    <m/>
  </r>
  <r>
    <x v="10"/>
    <n v="1192.7126700085093"/>
    <m/>
    <m/>
    <m/>
    <m/>
    <m/>
    <m/>
  </r>
  <r>
    <x v="11"/>
    <n v="3423.8389312399477"/>
    <m/>
    <m/>
    <m/>
    <m/>
    <m/>
    <m/>
  </r>
  <r>
    <x v="12"/>
    <n v="1290.9809597131855"/>
    <m/>
    <m/>
    <m/>
    <m/>
    <m/>
    <m/>
  </r>
  <r>
    <x v="13"/>
    <n v="3903.516905082422"/>
    <m/>
    <m/>
    <m/>
    <m/>
    <m/>
    <m/>
  </r>
  <r>
    <x v="14"/>
    <n v="2921.681360532767"/>
    <m/>
    <m/>
    <m/>
    <m/>
    <m/>
    <m/>
  </r>
  <r>
    <x v="15"/>
    <n v="1541.5164152015132"/>
    <m/>
    <m/>
    <m/>
    <m/>
    <m/>
    <m/>
  </r>
  <r>
    <x v="16"/>
    <n v="3314.113131357502"/>
    <m/>
    <m/>
    <m/>
    <m/>
    <m/>
    <m/>
  </r>
  <r>
    <x v="17"/>
    <n v="1821.6418327370936"/>
    <m/>
    <m/>
    <m/>
    <m/>
    <m/>
    <m/>
  </r>
  <r>
    <x v="18"/>
    <n v="1120.8557656672656"/>
    <m/>
    <m/>
    <m/>
    <m/>
    <m/>
    <m/>
  </r>
  <r>
    <x v="19"/>
    <n v="1412.8465810271427"/>
    <m/>
    <m/>
    <m/>
    <m/>
    <m/>
    <m/>
  </r>
  <r>
    <x v="20"/>
    <n v="3749.1021308748032"/>
    <m/>
    <m/>
    <m/>
    <m/>
    <m/>
    <m/>
  </r>
  <r>
    <x v="21"/>
    <n v="1696.1920244774406"/>
    <m/>
    <m/>
    <m/>
    <m/>
    <m/>
    <m/>
  </r>
  <r>
    <x v="22"/>
    <n v="1648.192383126828"/>
    <m/>
    <m/>
    <m/>
    <m/>
    <m/>
    <m/>
  </r>
  <r>
    <x v="23"/>
    <n v="5962.3199025952154"/>
    <n v="5962.3199025952154"/>
    <n v="5962.3199025952154"/>
    <n v="5962.3199025952154"/>
    <m/>
    <m/>
    <m/>
  </r>
  <r>
    <x v="24"/>
    <n v="1789.2441838645573"/>
    <n v="2266.896216843792"/>
    <n v="1029.5113344629412"/>
    <n v="3504.2810992246427"/>
    <m/>
    <m/>
    <m/>
  </r>
  <r>
    <x v="25"/>
    <n v="3452.1131404993916"/>
    <n v="4564.1597248429916"/>
    <n v="3326.7692742426989"/>
    <n v="5801.5501754432844"/>
    <m/>
    <m/>
    <m/>
  </r>
  <r>
    <x v="26"/>
    <n v="3031.1724712002278"/>
    <n v="3829.5613743166468"/>
    <n v="2592.1610247214358"/>
    <n v="5066.9617239118579"/>
    <m/>
    <m/>
    <m/>
  </r>
  <r>
    <x v="27"/>
    <n v="2007.7278132507308"/>
    <n v="2641.5101442841933"/>
    <n v="1404.0943276679561"/>
    <n v="3878.9259609004303"/>
    <m/>
    <m/>
    <m/>
  </r>
  <r>
    <x v="28"/>
    <n v="3012.1185222264216"/>
    <n v="4031.2917437082142"/>
    <n v="2793.8536549213341"/>
    <n v="5268.7298324950943"/>
    <m/>
    <m/>
    <m/>
  </r>
  <r>
    <x v="29"/>
    <n v="2106.0344978719377"/>
    <n v="3225.4761119006675"/>
    <n v="1988.0077088589833"/>
    <n v="4462.9445149423518"/>
    <n v="2106.0344978719377"/>
    <n v="2106.0344978719377"/>
    <n v="2106.0344978719377"/>
  </r>
  <r>
    <x v="30"/>
    <m/>
    <n v="2480.812562076323"/>
    <n v="1243.3045660242758"/>
    <n v="3718.3205581283701"/>
    <n v="2009.03209967715"/>
    <n v="1255.6899198479555"/>
    <n v="3705.9352043046906"/>
  </r>
  <r>
    <x v="31"/>
    <m/>
    <n v="2466.5417432731233"/>
    <n v="1228.9836391334138"/>
    <n v="3704.0998474128328"/>
    <n v="1990.0357148676119"/>
    <n v="1241.4135880052702"/>
    <n v="3691.6698985409766"/>
  </r>
  <r>
    <x v="32"/>
    <m/>
    <n v="4820.0164086444502"/>
    <n v="3582.396445466502"/>
    <n v="6057.6363718223984"/>
    <n v="4347.6716179805062"/>
    <n v="3594.8784524787661"/>
    <n v="6045.1543648101342"/>
  </r>
  <r>
    <x v="33"/>
    <m/>
    <n v="2805.2736024456713"/>
    <n v="1567.5787939651675"/>
    <n v="4042.9684109261752"/>
    <n v="2344.9553934076202"/>
    <n v="1580.1203325340891"/>
    <n v="4030.4268723572532"/>
  </r>
  <r>
    <x v="34"/>
    <m/>
    <n v="2785.3381979105407"/>
    <n v="1547.5543232322591"/>
    <n v="4023.1220725888224"/>
    <n v="2322.2002478465743"/>
    <n v="1560.1628765411344"/>
    <n v="4010.5135192799471"/>
  </r>
  <r>
    <x v="35"/>
    <m/>
    <n v="5636.3840118999842"/>
    <n v="4398.4956163160987"/>
    <n v="6874.2724074838698"/>
    <n v="5110.8108102761835"/>
    <n v="4411.1786766840605"/>
    <n v="6861.5893471159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2308A-AC53-4023-A6AF-BEB6E9A144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8" firstHeaderRow="1" firstDataRow="3" firstDataCol="1"/>
  <pivotFields count="11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0"/>
    <field x="-2"/>
  </colFields>
  <colItems count="12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Продажи" fld="1" baseField="0" baseItem="0"/>
    <dataField name="Sum of Прогноз" fld="2" baseField="0" baseItem="0"/>
    <dataField name="Sum of Прогноз из задания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opLeftCell="A39" zoomScale="145" zoomScaleNormal="145" workbookViewId="0">
      <selection activeCell="P18" sqref="P18"/>
    </sheetView>
  </sheetViews>
  <sheetFormatPr defaultRowHeight="15" x14ac:dyDescent="0.25"/>
  <cols>
    <col min="1" max="1" width="10.28515625" customWidth="1"/>
    <col min="2" max="5" width="11.7109375" bestFit="1" customWidth="1"/>
    <col min="6" max="6" width="10.85546875" bestFit="1" customWidth="1"/>
    <col min="7" max="13" width="11.7109375" bestFit="1" customWidth="1"/>
    <col min="14" max="14" width="13.28515625" bestFit="1" customWidth="1"/>
    <col min="15" max="15" width="11.140625" customWidth="1"/>
    <col min="16" max="16" width="13.28515625" customWidth="1"/>
  </cols>
  <sheetData>
    <row r="1" spans="1:14" x14ac:dyDescent="0.25">
      <c r="A1" t="s">
        <v>5</v>
      </c>
    </row>
    <row r="3" spans="1:14" x14ac:dyDescent="0.25">
      <c r="A3" t="s">
        <v>7</v>
      </c>
    </row>
    <row r="4" spans="1:14" x14ac:dyDescent="0.25">
      <c r="A4" t="s">
        <v>6</v>
      </c>
    </row>
    <row r="5" spans="1:14" x14ac:dyDescent="0.25">
      <c r="A5" t="s">
        <v>3</v>
      </c>
    </row>
    <row r="6" spans="1:14" x14ac:dyDescent="0.25">
      <c r="A6" s="6" t="s">
        <v>4</v>
      </c>
    </row>
    <row r="8" spans="1:14" x14ac:dyDescent="0.25">
      <c r="A8" t="s">
        <v>2</v>
      </c>
    </row>
    <row r="9" spans="1:14" x14ac:dyDescent="0.25">
      <c r="A9" t="s">
        <v>1</v>
      </c>
    </row>
    <row r="10" spans="1:14" ht="14.25" customHeight="1" x14ac:dyDescent="0.25">
      <c r="A10" s="1"/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 t="s">
        <v>0</v>
      </c>
    </row>
    <row r="11" spans="1:14" x14ac:dyDescent="0.25">
      <c r="A11" s="2">
        <v>2018</v>
      </c>
      <c r="B11" s="3">
        <v>105054721.8</v>
      </c>
      <c r="C11" s="3">
        <v>141410949.80000001</v>
      </c>
      <c r="D11" s="4">
        <v>190820310.69999999</v>
      </c>
      <c r="E11" s="3">
        <v>82885207.170000002</v>
      </c>
      <c r="F11" s="3">
        <v>87000566.969999999</v>
      </c>
      <c r="G11" s="4">
        <v>145885966.59999999</v>
      </c>
      <c r="H11" s="3">
        <v>99190175.599999994</v>
      </c>
      <c r="I11" s="3">
        <v>102957817.5</v>
      </c>
      <c r="J11" s="4">
        <v>154643879.40000001</v>
      </c>
      <c r="K11" s="3">
        <v>104365020</v>
      </c>
      <c r="L11" s="4">
        <v>174873367.90000001</v>
      </c>
      <c r="M11" s="4">
        <v>384935047.80000001</v>
      </c>
      <c r="N11" s="5">
        <f>SUM(B11:M11)</f>
        <v>1774023031.2400002</v>
      </c>
    </row>
    <row r="12" spans="1:14" x14ac:dyDescent="0.25">
      <c r="A12" s="2">
        <v>2019</v>
      </c>
      <c r="B12" s="3">
        <v>113369738.8</v>
      </c>
      <c r="C12" s="3">
        <v>155315980.80000001</v>
      </c>
      <c r="D12" s="4">
        <v>226741310.59999999</v>
      </c>
      <c r="E12" s="3">
        <v>104903727.90000001</v>
      </c>
      <c r="F12" s="3">
        <v>98925317.510000005</v>
      </c>
      <c r="G12" s="4">
        <v>166239182.80000001</v>
      </c>
      <c r="H12" s="3">
        <v>114297476.59999999</v>
      </c>
      <c r="I12" s="3">
        <v>116952138.5</v>
      </c>
      <c r="J12" s="4">
        <v>149740931.30000001</v>
      </c>
      <c r="K12" s="3">
        <v>120804539.7</v>
      </c>
      <c r="L12" s="4">
        <v>224430796.80000001</v>
      </c>
      <c r="M12" s="4">
        <v>360916418.39999998</v>
      </c>
      <c r="N12" s="5">
        <f>SUM(B12:M12)</f>
        <v>1952637559.71</v>
      </c>
    </row>
    <row r="13" spans="1:14" x14ac:dyDescent="0.25">
      <c r="A13" s="2">
        <v>2020</v>
      </c>
      <c r="B13" s="3">
        <v>110506705.3</v>
      </c>
      <c r="C13" s="4">
        <v>209062632.30000001</v>
      </c>
      <c r="D13" s="4">
        <v>154143974.19999999</v>
      </c>
      <c r="E13" s="3">
        <v>13443259.699999999</v>
      </c>
      <c r="F13" s="3">
        <v>33558366.899999999</v>
      </c>
      <c r="G13" s="3">
        <v>77156348.909999996</v>
      </c>
      <c r="H13" s="3">
        <v>117978721.7</v>
      </c>
      <c r="I13" s="3">
        <v>116895245.76999983</v>
      </c>
      <c r="J13" s="3">
        <v>126831996.99999976</v>
      </c>
      <c r="K13" s="3">
        <v>104329990.37999982</v>
      </c>
      <c r="L13" s="4">
        <v>201995784.59999973</v>
      </c>
      <c r="M13" s="4">
        <v>339042578.26000047</v>
      </c>
      <c r="N13" s="5">
        <f>SUM(B13:M13)</f>
        <v>1604945605.0199995</v>
      </c>
    </row>
    <row r="14" spans="1:14" x14ac:dyDescent="0.25">
      <c r="A14" s="2">
        <v>2021</v>
      </c>
      <c r="B14" s="3">
        <f>AVERAGE(B11:B13) * (1 +$P$18)</f>
        <v>116222345.28466666</v>
      </c>
      <c r="C14" s="3">
        <f t="shared" ref="C14:M14" si="0">AVERAGE(C11:C13) * (1 +$P$18)</f>
        <v>178712312.22466668</v>
      </c>
      <c r="D14" s="3">
        <f t="shared" si="0"/>
        <v>202002643.74333334</v>
      </c>
      <c r="E14" s="3">
        <f t="shared" si="0"/>
        <v>71102042.152066663</v>
      </c>
      <c r="F14" s="3">
        <f t="shared" si="0"/>
        <v>77551102.154266685</v>
      </c>
      <c r="G14" s="3">
        <f t="shared" si="0"/>
        <v>137546129.40286666</v>
      </c>
      <c r="H14" s="3">
        <f t="shared" si="0"/>
        <v>117118118.778</v>
      </c>
      <c r="I14" s="3">
        <f t="shared" si="0"/>
        <v>119004504.62539996</v>
      </c>
      <c r="J14" s="3">
        <f t="shared" si="0"/>
        <v>152363272.05399996</v>
      </c>
      <c r="K14" s="3">
        <f t="shared" si="0"/>
        <v>116423174.36159994</v>
      </c>
      <c r="L14" s="3">
        <f t="shared" si="0"/>
        <v>212459315.41933325</v>
      </c>
      <c r="M14" s="3">
        <f t="shared" si="0"/>
        <v>383329229.04253352</v>
      </c>
      <c r="N14" s="5">
        <f>SUM(B14:M14)</f>
        <v>1883834189.2427335</v>
      </c>
    </row>
    <row r="16" spans="1:14" x14ac:dyDescent="0.25">
      <c r="A16" t="s">
        <v>12</v>
      </c>
    </row>
    <row r="17" spans="1:1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 t="s">
        <v>16</v>
      </c>
      <c r="O17" s="10" t="s">
        <v>17</v>
      </c>
      <c r="P17" s="22" t="s">
        <v>55</v>
      </c>
    </row>
    <row r="18" spans="1:16" ht="15" customHeight="1" x14ac:dyDescent="0.25">
      <c r="A18" t="s">
        <v>13</v>
      </c>
      <c r="B18">
        <f t="shared" ref="B18:M18" si="1">B12/B11</f>
        <v>1.0791493885998753</v>
      </c>
      <c r="C18">
        <f t="shared" si="1"/>
        <v>1.0983306527511916</v>
      </c>
      <c r="D18">
        <f t="shared" si="1"/>
        <v>1.1882451599005808</v>
      </c>
      <c r="E18">
        <f t="shared" si="1"/>
        <v>1.2656507895895026</v>
      </c>
      <c r="F18">
        <f t="shared" si="1"/>
        <v>1.1370652049211583</v>
      </c>
      <c r="G18">
        <f t="shared" si="1"/>
        <v>1.1395145583523181</v>
      </c>
      <c r="H18">
        <f t="shared" si="1"/>
        <v>1.1523064245890902</v>
      </c>
      <c r="I18">
        <f t="shared" si="1"/>
        <v>1.1359228598644295</v>
      </c>
      <c r="J18">
        <f t="shared" si="1"/>
        <v>0.96829523341613744</v>
      </c>
      <c r="K18">
        <f t="shared" si="1"/>
        <v>1.1575194418589678</v>
      </c>
      <c r="L18">
        <f t="shared" si="1"/>
        <v>1.2833903726743516</v>
      </c>
      <c r="M18">
        <f t="shared" si="1"/>
        <v>0.93760342287024134</v>
      </c>
      <c r="N18">
        <f>HARMEAN(B18:M18)</f>
        <v>1.1197793200393094</v>
      </c>
      <c r="O18">
        <f>AVERAGE(B18:M18)</f>
        <v>1.1285827924489868</v>
      </c>
      <c r="P18">
        <f>ROUND(((N18 - 1) * 0.5), 2)</f>
        <v>0.06</v>
      </c>
    </row>
    <row r="19" spans="1:16" x14ac:dyDescent="0.25">
      <c r="A19" t="s">
        <v>14</v>
      </c>
      <c r="B19">
        <f>B13/B12</f>
        <v>0.97474605189793384</v>
      </c>
      <c r="C19">
        <f>C13/C12</f>
        <v>1.3460471435274224</v>
      </c>
      <c r="J19">
        <f>J13/J12</f>
        <v>0.84700953773218424</v>
      </c>
      <c r="K19">
        <f>K13/K12</f>
        <v>0.8636264054238999</v>
      </c>
      <c r="L19">
        <f>L13/L12</f>
        <v>0.90003594640358964</v>
      </c>
      <c r="M19">
        <f>M13/M12</f>
        <v>0.93939361296731883</v>
      </c>
      <c r="N19">
        <f>HARMEAN(C19:M19)</f>
        <v>0.9511070845886177</v>
      </c>
      <c r="O19">
        <f>AVERAGE(B19:M19)</f>
        <v>0.97847644965872471</v>
      </c>
    </row>
    <row r="20" spans="1:16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6" x14ac:dyDescent="0.25">
      <c r="K21" s="9"/>
      <c r="L21" s="9"/>
      <c r="M21" s="9"/>
      <c r="N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6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38" spans="1:10" ht="21" x14ac:dyDescent="0.35">
      <c r="A38" s="15" t="s">
        <v>11</v>
      </c>
    </row>
    <row r="39" spans="1:10" ht="288.75" customHeight="1" x14ac:dyDescent="0.25">
      <c r="A39" s="26" t="s">
        <v>18</v>
      </c>
      <c r="B39" s="26"/>
      <c r="C39" s="26"/>
      <c r="D39" s="26"/>
      <c r="E39" s="26"/>
      <c r="F39" s="26"/>
      <c r="G39" s="26"/>
      <c r="H39" s="26"/>
      <c r="I39" s="26"/>
      <c r="J39" s="26"/>
    </row>
    <row r="41" spans="1:10" ht="21" x14ac:dyDescent="0.35">
      <c r="A41" s="15" t="s">
        <v>15</v>
      </c>
    </row>
    <row r="42" spans="1:10" ht="378" customHeight="1" x14ac:dyDescent="0.25">
      <c r="A42" s="26" t="s">
        <v>27</v>
      </c>
      <c r="B42" s="27"/>
      <c r="C42" s="27"/>
      <c r="D42" s="27"/>
      <c r="E42" s="27"/>
      <c r="F42" s="27"/>
      <c r="G42" s="27"/>
      <c r="H42" s="27"/>
      <c r="I42" s="27"/>
      <c r="J42" s="27"/>
    </row>
  </sheetData>
  <mergeCells count="2">
    <mergeCell ref="A39:J39"/>
    <mergeCell ref="A42:J42"/>
  </mergeCells>
  <phoneticPr fontId="7" type="noConversion"/>
  <pageMargins left="0.25" right="0.25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0362-DD5D-4E09-813D-396B5522BE77}">
  <dimension ref="A1:AY51"/>
  <sheetViews>
    <sheetView topLeftCell="A3" zoomScale="85" zoomScaleNormal="85" workbookViewId="0">
      <selection activeCell="A4" sqref="A4:N4"/>
    </sheetView>
  </sheetViews>
  <sheetFormatPr defaultRowHeight="12.75" x14ac:dyDescent="0.2"/>
  <cols>
    <col min="1" max="1" width="11.42578125" style="8" customWidth="1"/>
    <col min="2" max="2" width="10.140625" style="8" customWidth="1"/>
    <col min="3" max="4" width="11.42578125" style="8" customWidth="1"/>
    <col min="5" max="6" width="9.140625" style="8"/>
    <col min="7" max="7" width="16.42578125" style="8" bestFit="1" customWidth="1"/>
    <col min="8" max="8" width="16.28515625" style="8" bestFit="1" customWidth="1"/>
    <col min="9" max="11" width="16.28515625" style="8" customWidth="1"/>
    <col min="12" max="12" width="12.85546875" style="8" customWidth="1"/>
    <col min="13" max="13" width="12.42578125" style="8" customWidth="1"/>
    <col min="14" max="14" width="11.28515625" style="8" bestFit="1" customWidth="1"/>
    <col min="15" max="22" width="6" style="8" bestFit="1" customWidth="1"/>
    <col min="23" max="23" width="11.28515625" style="8" bestFit="1" customWidth="1"/>
    <col min="24" max="25" width="8.140625" style="8" bestFit="1" customWidth="1"/>
    <col min="26" max="27" width="8.140625" style="8" customWidth="1"/>
    <col min="28" max="28" width="8.140625" style="8" bestFit="1" customWidth="1"/>
    <col min="29" max="31" width="8.140625" style="8" customWidth="1"/>
    <col min="32" max="33" width="13.140625" style="8" bestFit="1" customWidth="1"/>
    <col min="34" max="34" width="16.42578125" style="8" bestFit="1" customWidth="1"/>
    <col min="35" max="35" width="15.28515625" style="8" bestFit="1" customWidth="1"/>
    <col min="36" max="36" width="26.140625" style="8" bestFit="1" customWidth="1"/>
    <col min="37" max="37" width="16.42578125" style="8" bestFit="1" customWidth="1"/>
    <col min="38" max="38" width="15.28515625" style="8" bestFit="1" customWidth="1"/>
    <col min="39" max="39" width="26.140625" style="8" bestFit="1" customWidth="1"/>
    <col min="40" max="40" width="16.42578125" style="8" bestFit="1" customWidth="1"/>
    <col min="41" max="41" width="15.28515625" style="8" bestFit="1" customWidth="1"/>
    <col min="42" max="42" width="26.140625" style="8" bestFit="1" customWidth="1"/>
    <col min="43" max="43" width="21.42578125" style="8" bestFit="1" customWidth="1"/>
    <col min="44" max="44" width="31.140625" style="8" customWidth="1"/>
    <col min="45" max="45" width="20.28515625" style="8" bestFit="1" customWidth="1"/>
    <col min="46" max="46" width="13.28515625" style="8" bestFit="1" customWidth="1"/>
    <col min="47" max="47" width="20.28515625" style="8" bestFit="1" customWidth="1"/>
    <col min="48" max="48" width="11.5703125" style="8" customWidth="1"/>
    <col min="49" max="49" width="13.85546875" style="8" customWidth="1"/>
    <col min="50" max="50" width="11.28515625" style="8" bestFit="1" customWidth="1"/>
    <col min="51" max="269" width="9.140625" style="8"/>
    <col min="270" max="270" width="11.5703125" style="8" customWidth="1"/>
    <col min="271" max="525" width="9.140625" style="8"/>
    <col min="526" max="526" width="11.5703125" style="8" customWidth="1"/>
    <col min="527" max="781" width="9.140625" style="8"/>
    <col min="782" max="782" width="11.5703125" style="8" customWidth="1"/>
    <col min="783" max="1037" width="9.140625" style="8"/>
    <col min="1038" max="1038" width="11.5703125" style="8" customWidth="1"/>
    <col min="1039" max="1293" width="9.140625" style="8"/>
    <col min="1294" max="1294" width="11.5703125" style="8" customWidth="1"/>
    <col min="1295" max="1549" width="9.140625" style="8"/>
    <col min="1550" max="1550" width="11.5703125" style="8" customWidth="1"/>
    <col min="1551" max="1805" width="9.140625" style="8"/>
    <col min="1806" max="1806" width="11.5703125" style="8" customWidth="1"/>
    <col min="1807" max="2061" width="9.140625" style="8"/>
    <col min="2062" max="2062" width="11.5703125" style="8" customWidth="1"/>
    <col min="2063" max="2317" width="9.140625" style="8"/>
    <col min="2318" max="2318" width="11.5703125" style="8" customWidth="1"/>
    <col min="2319" max="2573" width="9.140625" style="8"/>
    <col min="2574" max="2574" width="11.5703125" style="8" customWidth="1"/>
    <col min="2575" max="2829" width="9.140625" style="8"/>
    <col min="2830" max="2830" width="11.5703125" style="8" customWidth="1"/>
    <col min="2831" max="3085" width="9.140625" style="8"/>
    <col min="3086" max="3086" width="11.5703125" style="8" customWidth="1"/>
    <col min="3087" max="3341" width="9.140625" style="8"/>
    <col min="3342" max="3342" width="11.5703125" style="8" customWidth="1"/>
    <col min="3343" max="3597" width="9.140625" style="8"/>
    <col min="3598" max="3598" width="11.5703125" style="8" customWidth="1"/>
    <col min="3599" max="3853" width="9.140625" style="8"/>
    <col min="3854" max="3854" width="11.5703125" style="8" customWidth="1"/>
    <col min="3855" max="4109" width="9.140625" style="8"/>
    <col min="4110" max="4110" width="11.5703125" style="8" customWidth="1"/>
    <col min="4111" max="4365" width="9.140625" style="8"/>
    <col min="4366" max="4366" width="11.5703125" style="8" customWidth="1"/>
    <col min="4367" max="4621" width="9.140625" style="8"/>
    <col min="4622" max="4622" width="11.5703125" style="8" customWidth="1"/>
    <col min="4623" max="4877" width="9.140625" style="8"/>
    <col min="4878" max="4878" width="11.5703125" style="8" customWidth="1"/>
    <col min="4879" max="5133" width="9.140625" style="8"/>
    <col min="5134" max="5134" width="11.5703125" style="8" customWidth="1"/>
    <col min="5135" max="5389" width="9.140625" style="8"/>
    <col min="5390" max="5390" width="11.5703125" style="8" customWidth="1"/>
    <col min="5391" max="5645" width="9.140625" style="8"/>
    <col min="5646" max="5646" width="11.5703125" style="8" customWidth="1"/>
    <col min="5647" max="5901" width="9.140625" style="8"/>
    <col min="5902" max="5902" width="11.5703125" style="8" customWidth="1"/>
    <col min="5903" max="6157" width="9.140625" style="8"/>
    <col min="6158" max="6158" width="11.5703125" style="8" customWidth="1"/>
    <col min="6159" max="6413" width="9.140625" style="8"/>
    <col min="6414" max="6414" width="11.5703125" style="8" customWidth="1"/>
    <col min="6415" max="6669" width="9.140625" style="8"/>
    <col min="6670" max="6670" width="11.5703125" style="8" customWidth="1"/>
    <col min="6671" max="6925" width="9.140625" style="8"/>
    <col min="6926" max="6926" width="11.5703125" style="8" customWidth="1"/>
    <col min="6927" max="7181" width="9.140625" style="8"/>
    <col min="7182" max="7182" width="11.5703125" style="8" customWidth="1"/>
    <col min="7183" max="7437" width="9.140625" style="8"/>
    <col min="7438" max="7438" width="11.5703125" style="8" customWidth="1"/>
    <col min="7439" max="7693" width="9.140625" style="8"/>
    <col min="7694" max="7694" width="11.5703125" style="8" customWidth="1"/>
    <col min="7695" max="7949" width="9.140625" style="8"/>
    <col min="7950" max="7950" width="11.5703125" style="8" customWidth="1"/>
    <col min="7951" max="8205" width="9.140625" style="8"/>
    <col min="8206" max="8206" width="11.5703125" style="8" customWidth="1"/>
    <col min="8207" max="8461" width="9.140625" style="8"/>
    <col min="8462" max="8462" width="11.5703125" style="8" customWidth="1"/>
    <col min="8463" max="8717" width="9.140625" style="8"/>
    <col min="8718" max="8718" width="11.5703125" style="8" customWidth="1"/>
    <col min="8719" max="8973" width="9.140625" style="8"/>
    <col min="8974" max="8974" width="11.5703125" style="8" customWidth="1"/>
    <col min="8975" max="9229" width="9.140625" style="8"/>
    <col min="9230" max="9230" width="11.5703125" style="8" customWidth="1"/>
    <col min="9231" max="9485" width="9.140625" style="8"/>
    <col min="9486" max="9486" width="11.5703125" style="8" customWidth="1"/>
    <col min="9487" max="9741" width="9.140625" style="8"/>
    <col min="9742" max="9742" width="11.5703125" style="8" customWidth="1"/>
    <col min="9743" max="9997" width="9.140625" style="8"/>
    <col min="9998" max="9998" width="11.5703125" style="8" customWidth="1"/>
    <col min="9999" max="10253" width="9.140625" style="8"/>
    <col min="10254" max="10254" width="11.5703125" style="8" customWidth="1"/>
    <col min="10255" max="10509" width="9.140625" style="8"/>
    <col min="10510" max="10510" width="11.5703125" style="8" customWidth="1"/>
    <col min="10511" max="10765" width="9.140625" style="8"/>
    <col min="10766" max="10766" width="11.5703125" style="8" customWidth="1"/>
    <col min="10767" max="11021" width="9.140625" style="8"/>
    <col min="11022" max="11022" width="11.5703125" style="8" customWidth="1"/>
    <col min="11023" max="11277" width="9.140625" style="8"/>
    <col min="11278" max="11278" width="11.5703125" style="8" customWidth="1"/>
    <col min="11279" max="11533" width="9.140625" style="8"/>
    <col min="11534" max="11534" width="11.5703125" style="8" customWidth="1"/>
    <col min="11535" max="11789" width="9.140625" style="8"/>
    <col min="11790" max="11790" width="11.5703125" style="8" customWidth="1"/>
    <col min="11791" max="12045" width="9.140625" style="8"/>
    <col min="12046" max="12046" width="11.5703125" style="8" customWidth="1"/>
    <col min="12047" max="12301" width="9.140625" style="8"/>
    <col min="12302" max="12302" width="11.5703125" style="8" customWidth="1"/>
    <col min="12303" max="12557" width="9.140625" style="8"/>
    <col min="12558" max="12558" width="11.5703125" style="8" customWidth="1"/>
    <col min="12559" max="12813" width="9.140625" style="8"/>
    <col min="12814" max="12814" width="11.5703125" style="8" customWidth="1"/>
    <col min="12815" max="13069" width="9.140625" style="8"/>
    <col min="13070" max="13070" width="11.5703125" style="8" customWidth="1"/>
    <col min="13071" max="13325" width="9.140625" style="8"/>
    <col min="13326" max="13326" width="11.5703125" style="8" customWidth="1"/>
    <col min="13327" max="13581" width="9.140625" style="8"/>
    <col min="13582" max="13582" width="11.5703125" style="8" customWidth="1"/>
    <col min="13583" max="13837" width="9.140625" style="8"/>
    <col min="13838" max="13838" width="11.5703125" style="8" customWidth="1"/>
    <col min="13839" max="14093" width="9.140625" style="8"/>
    <col min="14094" max="14094" width="11.5703125" style="8" customWidth="1"/>
    <col min="14095" max="14349" width="9.140625" style="8"/>
    <col min="14350" max="14350" width="11.5703125" style="8" customWidth="1"/>
    <col min="14351" max="14605" width="9.140625" style="8"/>
    <col min="14606" max="14606" width="11.5703125" style="8" customWidth="1"/>
    <col min="14607" max="14861" width="9.140625" style="8"/>
    <col min="14862" max="14862" width="11.5703125" style="8" customWidth="1"/>
    <col min="14863" max="15117" width="9.140625" style="8"/>
    <col min="15118" max="15118" width="11.5703125" style="8" customWidth="1"/>
    <col min="15119" max="15373" width="9.140625" style="8"/>
    <col min="15374" max="15374" width="11.5703125" style="8" customWidth="1"/>
    <col min="15375" max="15629" width="9.140625" style="8"/>
    <col min="15630" max="15630" width="11.5703125" style="8" customWidth="1"/>
    <col min="15631" max="15885" width="9.140625" style="8"/>
    <col min="15886" max="15886" width="11.5703125" style="8" customWidth="1"/>
    <col min="15887" max="16141" width="9.140625" style="8"/>
    <col min="16142" max="16142" width="11.5703125" style="8" customWidth="1"/>
    <col min="16143" max="16384" width="9.140625" style="8"/>
  </cols>
  <sheetData>
    <row r="1" spans="1:51" x14ac:dyDescent="0.2">
      <c r="A1" s="7" t="s">
        <v>8</v>
      </c>
      <c r="B1" s="7"/>
      <c r="C1" s="7"/>
      <c r="D1" s="7"/>
    </row>
    <row r="3" spans="1:51" ht="21" x14ac:dyDescent="0.35">
      <c r="A3" s="14" t="s">
        <v>11</v>
      </c>
    </row>
    <row r="4" spans="1:51" ht="180.75" customHeight="1" x14ac:dyDescent="0.2">
      <c r="A4" s="28" t="s">
        <v>65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51" ht="15.7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51" ht="15.75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51" x14ac:dyDescent="0.2">
      <c r="A7" s="13" t="s">
        <v>45</v>
      </c>
      <c r="B7" s="13">
        <v>0.95</v>
      </c>
    </row>
    <row r="8" spans="1:51" ht="15" x14ac:dyDescent="0.25">
      <c r="A8" s="21" t="s">
        <v>46</v>
      </c>
      <c r="B8" s="13">
        <v>12</v>
      </c>
      <c r="C8" s="13"/>
      <c r="D8" s="13"/>
      <c r="E8" s="13"/>
      <c r="F8" s="13"/>
      <c r="G8" s="13"/>
      <c r="H8" s="13"/>
      <c r="I8" s="13"/>
      <c r="J8" s="13"/>
      <c r="K8" s="13"/>
      <c r="L8" s="17"/>
      <c r="M8" s="13"/>
      <c r="AF8" s="17"/>
      <c r="AG8" s="17" t="s">
        <v>22</v>
      </c>
      <c r="AH8" s="17" t="s">
        <v>20</v>
      </c>
      <c r="AI8" s="17" t="s">
        <v>21</v>
      </c>
      <c r="AJ8" s="17" t="s">
        <v>47</v>
      </c>
      <c r="AK8" s="17" t="s">
        <v>50</v>
      </c>
      <c r="AL8"/>
      <c r="AM8"/>
      <c r="AN8"/>
      <c r="AO8"/>
      <c r="AP8"/>
      <c r="AQ8"/>
      <c r="AR8"/>
      <c r="AS8"/>
      <c r="AT8"/>
      <c r="AU8"/>
    </row>
    <row r="9" spans="1:51" ht="15" x14ac:dyDescent="0.25">
      <c r="A9" s="13" t="s">
        <v>9</v>
      </c>
      <c r="B9" s="13" t="s">
        <v>23</v>
      </c>
      <c r="C9" s="13" t="s">
        <v>24</v>
      </c>
      <c r="D9" s="13" t="s">
        <v>28</v>
      </c>
      <c r="E9" s="13" t="s">
        <v>10</v>
      </c>
      <c r="F9" s="13" t="s">
        <v>29</v>
      </c>
      <c r="G9" s="13" t="s">
        <v>31</v>
      </c>
      <c r="H9" s="13" t="s">
        <v>30</v>
      </c>
      <c r="I9" s="13" t="s">
        <v>48</v>
      </c>
      <c r="J9" s="13" t="s">
        <v>56</v>
      </c>
      <c r="K9" s="13" t="s">
        <v>57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17" t="s">
        <v>32</v>
      </c>
      <c r="AG9" s="17">
        <v>607.0933349096747</v>
      </c>
      <c r="AH9" s="17">
        <v>1290.9809597131855</v>
      </c>
      <c r="AI9" s="17">
        <v>1789.2441838645573</v>
      </c>
      <c r="AJ9" s="17">
        <v>2266.896216843792</v>
      </c>
      <c r="AK9" s="17"/>
      <c r="AL9"/>
      <c r="AM9"/>
      <c r="AN9"/>
      <c r="AO9"/>
      <c r="AP9"/>
      <c r="AQ9"/>
      <c r="AR9"/>
      <c r="AS9"/>
      <c r="AW9"/>
      <c r="AX9"/>
    </row>
    <row r="10" spans="1:51" ht="15" customHeight="1" x14ac:dyDescent="0.25">
      <c r="A10" s="13">
        <v>200501</v>
      </c>
      <c r="B10" s="13" t="str">
        <f>LEFT(A10, 4)</f>
        <v>2005</v>
      </c>
      <c r="C10" s="13" t="str">
        <f>RIGHT(A10,2)</f>
        <v>01</v>
      </c>
      <c r="D10" s="18">
        <f>DATE(B10, C10, 1)</f>
        <v>38353</v>
      </c>
      <c r="E10" s="19">
        <v>607.0933349096747</v>
      </c>
      <c r="F10" s="13"/>
      <c r="G10" s="13"/>
      <c r="H10" s="13"/>
      <c r="I10" s="13"/>
      <c r="J10" s="13"/>
      <c r="K10" s="13"/>
      <c r="L10" s="30" t="s">
        <v>51</v>
      </c>
      <c r="M10" s="31" t="s">
        <v>53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17" t="s">
        <v>33</v>
      </c>
      <c r="AG10" s="17">
        <v>1552.8626369053245</v>
      </c>
      <c r="AH10" s="17">
        <v>3903.516905082422</v>
      </c>
      <c r="AI10" s="13">
        <v>3452.1131404993916</v>
      </c>
      <c r="AJ10" s="13">
        <v>4564.1597248429916</v>
      </c>
      <c r="AK10" s="17"/>
      <c r="AL10"/>
      <c r="AM10"/>
      <c r="AN10"/>
      <c r="AO10"/>
      <c r="AP10"/>
      <c r="AQ10"/>
      <c r="AR10"/>
      <c r="AY10" s="13"/>
    </row>
    <row r="11" spans="1:51" ht="15" x14ac:dyDescent="0.25">
      <c r="A11" s="13">
        <f>A10+1</f>
        <v>200502</v>
      </c>
      <c r="B11" s="13" t="str">
        <f t="shared" ref="B11:B45" si="0">LEFT(A11, 4)</f>
        <v>2005</v>
      </c>
      <c r="C11" s="13" t="str">
        <f t="shared" ref="C11:C45" si="1">RIGHT(A11,2)</f>
        <v>02</v>
      </c>
      <c r="D11" s="18">
        <f t="shared" ref="D11:D45" si="2">DATE(B11, C11, 1)</f>
        <v>38384</v>
      </c>
      <c r="E11" s="19">
        <v>1552.8626369053245</v>
      </c>
      <c r="F11" s="13"/>
      <c r="G11" s="13"/>
      <c r="H11" s="13"/>
      <c r="I11" s="13"/>
      <c r="J11" s="13"/>
      <c r="K11" s="13"/>
      <c r="L11" s="30"/>
      <c r="M11" s="32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17" t="s">
        <v>34</v>
      </c>
      <c r="AG11" s="17">
        <v>1900.7500841766737</v>
      </c>
      <c r="AH11" s="17">
        <v>2921.681360532767</v>
      </c>
      <c r="AI11" s="13">
        <v>3031.1724712002278</v>
      </c>
      <c r="AJ11" s="13">
        <v>3829.5613743166468</v>
      </c>
      <c r="AK11" s="17"/>
      <c r="AL11"/>
      <c r="AM11"/>
      <c r="AN11"/>
      <c r="AO11"/>
      <c r="AP11"/>
      <c r="AQ11"/>
      <c r="AR11"/>
      <c r="AY11" s="13"/>
    </row>
    <row r="12" spans="1:51" ht="15" x14ac:dyDescent="0.25">
      <c r="A12" s="13">
        <f t="shared" ref="A12:A21" si="3">A11+1</f>
        <v>200503</v>
      </c>
      <c r="B12" s="13" t="str">
        <f t="shared" si="0"/>
        <v>2005</v>
      </c>
      <c r="C12" s="13" t="str">
        <f t="shared" si="1"/>
        <v>03</v>
      </c>
      <c r="D12" s="18">
        <f t="shared" si="2"/>
        <v>38412</v>
      </c>
      <c r="E12" s="19">
        <v>1900.7500841766737</v>
      </c>
      <c r="F12" s="19"/>
      <c r="G12" s="13"/>
      <c r="H12" s="13"/>
      <c r="I12" s="13"/>
      <c r="J12" s="13"/>
      <c r="K12" s="13"/>
      <c r="L12" s="30"/>
      <c r="M12" s="32"/>
      <c r="P12"/>
      <c r="Q12"/>
      <c r="R12"/>
      <c r="S12"/>
      <c r="T12"/>
      <c r="U12"/>
      <c r="V12"/>
      <c r="W12"/>
      <c r="AF12" s="17" t="s">
        <v>35</v>
      </c>
      <c r="AG12" s="17">
        <v>1557.6447101106592</v>
      </c>
      <c r="AH12" s="17">
        <v>1541.5164152015132</v>
      </c>
      <c r="AI12" s="13">
        <v>2007.7278132507308</v>
      </c>
      <c r="AJ12" s="13">
        <v>2641.5101442841933</v>
      </c>
      <c r="AK12" s="17"/>
      <c r="AL12"/>
      <c r="AM12"/>
      <c r="AN12"/>
      <c r="AO12"/>
      <c r="AP12"/>
      <c r="AQ12"/>
      <c r="AR12"/>
      <c r="AY12" s="13"/>
    </row>
    <row r="13" spans="1:51" ht="15" x14ac:dyDescent="0.25">
      <c r="A13" s="13">
        <f t="shared" si="3"/>
        <v>200504</v>
      </c>
      <c r="B13" s="13" t="str">
        <f t="shared" si="0"/>
        <v>2005</v>
      </c>
      <c r="C13" s="13" t="str">
        <f t="shared" si="1"/>
        <v>04</v>
      </c>
      <c r="D13" s="18">
        <f t="shared" si="2"/>
        <v>38443</v>
      </c>
      <c r="E13" s="19">
        <v>1557.6447101106592</v>
      </c>
      <c r="F13" s="19"/>
      <c r="G13" s="13"/>
      <c r="H13" s="13"/>
      <c r="I13" s="13"/>
      <c r="J13" s="13"/>
      <c r="K13" s="13"/>
      <c r="L13" s="30"/>
      <c r="M13" s="32"/>
      <c r="P13"/>
      <c r="Q13"/>
      <c r="R13"/>
      <c r="S13"/>
      <c r="T13"/>
      <c r="U13"/>
      <c r="V13"/>
      <c r="W13"/>
      <c r="AF13" s="17" t="s">
        <v>36</v>
      </c>
      <c r="AG13" s="17">
        <v>1302.6464721460322</v>
      </c>
      <c r="AH13" s="17">
        <v>3314.113131357502</v>
      </c>
      <c r="AI13" s="13">
        <v>3012.1185222264216</v>
      </c>
      <c r="AJ13" s="13">
        <v>4031.2917437082142</v>
      </c>
      <c r="AK13" s="17"/>
      <c r="AL13"/>
      <c r="AM13"/>
      <c r="AN13"/>
      <c r="AO13"/>
      <c r="AP13"/>
      <c r="AQ13"/>
      <c r="AR13"/>
      <c r="AY13" s="13"/>
    </row>
    <row r="14" spans="1:51" ht="15" x14ac:dyDescent="0.25">
      <c r="A14" s="13">
        <f t="shared" si="3"/>
        <v>200505</v>
      </c>
      <c r="B14" s="13" t="str">
        <f t="shared" si="0"/>
        <v>2005</v>
      </c>
      <c r="C14" s="13" t="str">
        <f t="shared" si="1"/>
        <v>05</v>
      </c>
      <c r="D14" s="18">
        <f t="shared" si="2"/>
        <v>38473</v>
      </c>
      <c r="E14" s="19">
        <v>1302.6464721460322</v>
      </c>
      <c r="F14" s="19"/>
      <c r="G14" s="13"/>
      <c r="H14" s="13"/>
      <c r="I14" s="13"/>
      <c r="J14" s="13"/>
      <c r="K14" s="13"/>
      <c r="L14" s="30"/>
      <c r="M14" s="32"/>
      <c r="P14"/>
      <c r="Q14"/>
      <c r="R14"/>
      <c r="S14"/>
      <c r="T14"/>
      <c r="U14"/>
      <c r="V14"/>
      <c r="W14"/>
      <c r="AF14" s="17" t="s">
        <v>37</v>
      </c>
      <c r="AG14" s="17">
        <v>1956.8852482739046</v>
      </c>
      <c r="AH14" s="17">
        <v>1821.6418327370936</v>
      </c>
      <c r="AI14" s="13">
        <v>2106.0344978719377</v>
      </c>
      <c r="AJ14" s="13">
        <v>3225.4761119006675</v>
      </c>
      <c r="AK14" s="17">
        <v>2106.0344978719377</v>
      </c>
      <c r="AL14"/>
      <c r="AM14"/>
      <c r="AN14"/>
      <c r="AO14"/>
      <c r="AP14"/>
      <c r="AQ14"/>
      <c r="AR14"/>
      <c r="AY14" s="13"/>
    </row>
    <row r="15" spans="1:51" ht="15" x14ac:dyDescent="0.25">
      <c r="A15" s="13">
        <f t="shared" si="3"/>
        <v>200506</v>
      </c>
      <c r="B15" s="13" t="str">
        <f t="shared" si="0"/>
        <v>2005</v>
      </c>
      <c r="C15" s="13" t="str">
        <f t="shared" si="1"/>
        <v>06</v>
      </c>
      <c r="D15" s="18">
        <f t="shared" si="2"/>
        <v>38504</v>
      </c>
      <c r="E15" s="19">
        <v>1956.8852482739046</v>
      </c>
      <c r="F15" s="19"/>
      <c r="G15" s="13"/>
      <c r="H15" s="13"/>
      <c r="I15" s="13"/>
      <c r="J15" s="13"/>
      <c r="K15" s="13"/>
      <c r="L15" s="30"/>
      <c r="M15" s="32"/>
      <c r="AF15" s="17" t="s">
        <v>38</v>
      </c>
      <c r="AG15" s="17">
        <v>1171.6179920552347</v>
      </c>
      <c r="AH15" s="17">
        <v>1120.8557656672656</v>
      </c>
      <c r="AI15" s="13"/>
      <c r="AJ15" s="13">
        <v>2480.812562076323</v>
      </c>
      <c r="AK15" s="17">
        <v>2009.03209967715</v>
      </c>
      <c r="AL15"/>
      <c r="AM15"/>
      <c r="AN15"/>
      <c r="AO15"/>
      <c r="AP15"/>
      <c r="AQ15"/>
      <c r="AR15"/>
      <c r="AY15" s="13"/>
    </row>
    <row r="16" spans="1:51" ht="15" x14ac:dyDescent="0.25">
      <c r="A16" s="13">
        <f t="shared" si="3"/>
        <v>200507</v>
      </c>
      <c r="B16" s="13" t="str">
        <f t="shared" si="0"/>
        <v>2005</v>
      </c>
      <c r="C16" s="13" t="str">
        <f t="shared" si="1"/>
        <v>07</v>
      </c>
      <c r="D16" s="18">
        <f t="shared" si="2"/>
        <v>38534</v>
      </c>
      <c r="E16" s="19">
        <v>1171.6179920552347</v>
      </c>
      <c r="F16" s="19"/>
      <c r="G16" s="13"/>
      <c r="H16" s="13"/>
      <c r="I16" s="13"/>
      <c r="J16" s="13"/>
      <c r="K16" s="13"/>
      <c r="L16" s="30"/>
      <c r="M16" s="32"/>
      <c r="AF16" s="17" t="s">
        <v>39</v>
      </c>
      <c r="AG16" s="17">
        <v>777.48206185566892</v>
      </c>
      <c r="AH16" s="17">
        <v>1412.8465810271427</v>
      </c>
      <c r="AI16" s="13"/>
      <c r="AJ16" s="13">
        <v>2466.5417432731233</v>
      </c>
      <c r="AK16" s="17">
        <v>1990.0357148676119</v>
      </c>
      <c r="AL16"/>
      <c r="AM16"/>
      <c r="AN16"/>
      <c r="AO16"/>
      <c r="AP16"/>
      <c r="AQ16"/>
      <c r="AR16"/>
      <c r="AY16" s="13"/>
    </row>
    <row r="17" spans="1:51" ht="15" x14ac:dyDescent="0.25">
      <c r="A17" s="13">
        <f t="shared" si="3"/>
        <v>200508</v>
      </c>
      <c r="B17" s="13" t="str">
        <f t="shared" si="0"/>
        <v>2005</v>
      </c>
      <c r="C17" s="13" t="str">
        <f t="shared" si="1"/>
        <v>08</v>
      </c>
      <c r="D17" s="18">
        <f t="shared" si="2"/>
        <v>38565</v>
      </c>
      <c r="E17" s="19">
        <v>777.48206185566892</v>
      </c>
      <c r="F17" s="19"/>
      <c r="G17" s="13"/>
      <c r="H17" s="13"/>
      <c r="I17" s="13"/>
      <c r="J17" s="13"/>
      <c r="K17" s="13"/>
      <c r="L17" s="30"/>
      <c r="M17" s="32"/>
      <c r="AF17" s="17" t="s">
        <v>40</v>
      </c>
      <c r="AG17" s="17">
        <v>3150.8978776127838</v>
      </c>
      <c r="AH17" s="17">
        <v>3749.1021308748032</v>
      </c>
      <c r="AI17" s="13"/>
      <c r="AJ17" s="13">
        <v>4820.0164086444502</v>
      </c>
      <c r="AK17" s="17">
        <v>4347.6716179805062</v>
      </c>
      <c r="AL17"/>
      <c r="AM17"/>
      <c r="AN17"/>
      <c r="AO17"/>
      <c r="AP17"/>
      <c r="AQ17"/>
      <c r="AR17"/>
      <c r="AY17" s="13"/>
    </row>
    <row r="18" spans="1:51" ht="15" x14ac:dyDescent="0.25">
      <c r="A18" s="13">
        <f t="shared" si="3"/>
        <v>200509</v>
      </c>
      <c r="B18" s="13" t="str">
        <f t="shared" si="0"/>
        <v>2005</v>
      </c>
      <c r="C18" s="13" t="str">
        <f t="shared" si="1"/>
        <v>09</v>
      </c>
      <c r="D18" s="18">
        <f t="shared" si="2"/>
        <v>38596</v>
      </c>
      <c r="E18" s="19">
        <v>3150.8978776127838</v>
      </c>
      <c r="F18" s="19"/>
      <c r="G18" s="13"/>
      <c r="H18" s="13"/>
      <c r="I18" s="13"/>
      <c r="J18" s="13"/>
      <c r="K18" s="13"/>
      <c r="L18" s="30"/>
      <c r="M18" s="32"/>
      <c r="AF18" s="17" t="s">
        <v>41</v>
      </c>
      <c r="AG18" s="17">
        <v>1205.562461931331</v>
      </c>
      <c r="AH18" s="17">
        <v>1696.1920244774406</v>
      </c>
      <c r="AI18" s="13"/>
      <c r="AJ18" s="13">
        <v>2805.2736024456713</v>
      </c>
      <c r="AK18" s="17">
        <v>2344.9553934076202</v>
      </c>
      <c r="AL18"/>
      <c r="AM18"/>
      <c r="AN18"/>
      <c r="AO18"/>
      <c r="AP18"/>
      <c r="AQ18"/>
      <c r="AR18"/>
      <c r="AY18" s="13"/>
    </row>
    <row r="19" spans="1:51" ht="15" x14ac:dyDescent="0.25">
      <c r="A19" s="13">
        <f t="shared" si="3"/>
        <v>200510</v>
      </c>
      <c r="B19" s="13" t="str">
        <f t="shared" si="0"/>
        <v>2005</v>
      </c>
      <c r="C19" s="13" t="str">
        <f t="shared" si="1"/>
        <v>10</v>
      </c>
      <c r="D19" s="18">
        <f t="shared" si="2"/>
        <v>38626</v>
      </c>
      <c r="E19" s="19">
        <v>1205.562461931331</v>
      </c>
      <c r="F19" s="19"/>
      <c r="G19" s="13"/>
      <c r="H19" s="13"/>
      <c r="I19" s="13"/>
      <c r="J19" s="13"/>
      <c r="K19" s="13"/>
      <c r="L19" s="30"/>
      <c r="M19" s="32"/>
      <c r="AF19" s="17" t="s">
        <v>42</v>
      </c>
      <c r="AG19" s="17">
        <v>1192.7126700085093</v>
      </c>
      <c r="AH19" s="17">
        <v>1648.192383126828</v>
      </c>
      <c r="AI19" s="13"/>
      <c r="AJ19" s="13">
        <v>2785.3381979105407</v>
      </c>
      <c r="AK19" s="17">
        <v>2322.2002478465743</v>
      </c>
      <c r="AL19"/>
      <c r="AM19"/>
      <c r="AN19"/>
      <c r="AO19"/>
      <c r="AP19"/>
      <c r="AQ19"/>
      <c r="AR19"/>
      <c r="AY19" s="13"/>
    </row>
    <row r="20" spans="1:51" ht="15" x14ac:dyDescent="0.25">
      <c r="A20" s="13">
        <f t="shared" si="3"/>
        <v>200511</v>
      </c>
      <c r="B20" s="13" t="str">
        <f t="shared" si="0"/>
        <v>2005</v>
      </c>
      <c r="C20" s="13" t="str">
        <f t="shared" si="1"/>
        <v>11</v>
      </c>
      <c r="D20" s="18">
        <f t="shared" si="2"/>
        <v>38657</v>
      </c>
      <c r="E20" s="19">
        <v>1192.7126700085093</v>
      </c>
      <c r="F20" s="19"/>
      <c r="G20" s="13"/>
      <c r="H20" s="13"/>
      <c r="I20" s="13"/>
      <c r="J20" s="13"/>
      <c r="K20" s="13"/>
      <c r="L20" s="30"/>
      <c r="M20" s="32"/>
      <c r="AF20" s="17" t="s">
        <v>43</v>
      </c>
      <c r="AG20" s="17">
        <v>3423.8389312399477</v>
      </c>
      <c r="AH20" s="17">
        <v>5962.3199025952154</v>
      </c>
      <c r="AI20" s="13"/>
      <c r="AJ20" s="13">
        <v>5636.3840118999842</v>
      </c>
      <c r="AK20" s="17">
        <v>5110.8108102761835</v>
      </c>
      <c r="AL20"/>
      <c r="AM20"/>
      <c r="AN20"/>
      <c r="AO20"/>
      <c r="AP20"/>
      <c r="AQ20"/>
      <c r="AR20"/>
      <c r="AY20" s="13"/>
    </row>
    <row r="21" spans="1:51" ht="15" x14ac:dyDescent="0.25">
      <c r="A21" s="13">
        <f t="shared" si="3"/>
        <v>200512</v>
      </c>
      <c r="B21" s="13" t="str">
        <f t="shared" si="0"/>
        <v>2005</v>
      </c>
      <c r="C21" s="13" t="str">
        <f t="shared" si="1"/>
        <v>12</v>
      </c>
      <c r="D21" s="18">
        <f t="shared" si="2"/>
        <v>38687</v>
      </c>
      <c r="E21" s="19">
        <v>3423.8389312399477</v>
      </c>
      <c r="F21" s="19"/>
      <c r="G21" s="13"/>
      <c r="H21" s="13"/>
      <c r="I21" s="13"/>
      <c r="J21" s="13"/>
      <c r="K21" s="13"/>
      <c r="L21" s="30"/>
      <c r="M21" s="32"/>
      <c r="AF21"/>
      <c r="AG21" s="12"/>
      <c r="AH21"/>
      <c r="AI21"/>
      <c r="AJ21"/>
      <c r="AK21"/>
      <c r="AL21"/>
      <c r="AM21"/>
      <c r="AN21"/>
      <c r="AO21"/>
      <c r="AP21"/>
      <c r="AQ21"/>
      <c r="AR21"/>
      <c r="AY21" s="13"/>
    </row>
    <row r="22" spans="1:51" ht="15" x14ac:dyDescent="0.25">
      <c r="A22" s="13">
        <f>A10+100</f>
        <v>200601</v>
      </c>
      <c r="B22" s="13" t="str">
        <f t="shared" si="0"/>
        <v>2006</v>
      </c>
      <c r="C22" s="13" t="str">
        <f t="shared" si="1"/>
        <v>01</v>
      </c>
      <c r="D22" s="18">
        <f t="shared" si="2"/>
        <v>38718</v>
      </c>
      <c r="E22" s="19">
        <v>1290.9809597131855</v>
      </c>
      <c r="F22" s="19"/>
      <c r="G22" s="13"/>
      <c r="H22" s="13"/>
      <c r="I22" s="13"/>
      <c r="J22" s="13"/>
      <c r="K22" s="13"/>
      <c r="L22" s="30"/>
      <c r="M22" s="32"/>
      <c r="AF22"/>
      <c r="AG22" s="12"/>
      <c r="AH22"/>
      <c r="AI22"/>
      <c r="AJ22"/>
      <c r="AK22"/>
      <c r="AL22"/>
      <c r="AM22"/>
      <c r="AN22"/>
      <c r="AO22"/>
      <c r="AP22"/>
      <c r="AQ22"/>
      <c r="AR22"/>
      <c r="AY22" s="13"/>
    </row>
    <row r="23" spans="1:51" ht="15" x14ac:dyDescent="0.25">
      <c r="A23" s="13">
        <f t="shared" ref="A23:A45" si="4">A11+100</f>
        <v>200602</v>
      </c>
      <c r="B23" s="13" t="str">
        <f t="shared" si="0"/>
        <v>2006</v>
      </c>
      <c r="C23" s="13" t="str">
        <f t="shared" si="1"/>
        <v>02</v>
      </c>
      <c r="D23" s="18">
        <f t="shared" si="2"/>
        <v>38749</v>
      </c>
      <c r="E23" s="19">
        <v>3903.516905082422</v>
      </c>
      <c r="F23" s="19"/>
      <c r="G23" s="17"/>
      <c r="H23" s="17"/>
      <c r="I23" s="17"/>
      <c r="J23" s="17"/>
      <c r="K23" s="17"/>
      <c r="L23" s="30"/>
      <c r="M23" s="32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51" ht="15" x14ac:dyDescent="0.25">
      <c r="A24" s="13">
        <f t="shared" si="4"/>
        <v>200603</v>
      </c>
      <c r="B24" s="13" t="str">
        <f t="shared" si="0"/>
        <v>2006</v>
      </c>
      <c r="C24" s="13" t="str">
        <f t="shared" si="1"/>
        <v>03</v>
      </c>
      <c r="D24" s="18">
        <f t="shared" si="2"/>
        <v>38777</v>
      </c>
      <c r="E24" s="19">
        <v>2921.681360532767</v>
      </c>
      <c r="F24" s="19"/>
      <c r="G24" s="17"/>
      <c r="H24" s="17"/>
      <c r="I24" s="17"/>
      <c r="J24" s="17"/>
      <c r="K24" s="17"/>
      <c r="L24" s="30"/>
      <c r="M24" s="32"/>
      <c r="AF24"/>
      <c r="AG24"/>
      <c r="AH24"/>
      <c r="AI24"/>
      <c r="AJ24"/>
      <c r="AK24"/>
    </row>
    <row r="25" spans="1:51" ht="15" x14ac:dyDescent="0.25">
      <c r="A25" s="13">
        <f t="shared" si="4"/>
        <v>200604</v>
      </c>
      <c r="B25" s="13" t="str">
        <f t="shared" si="0"/>
        <v>2006</v>
      </c>
      <c r="C25" s="13" t="str">
        <f t="shared" si="1"/>
        <v>04</v>
      </c>
      <c r="D25" s="18">
        <f t="shared" si="2"/>
        <v>38808</v>
      </c>
      <c r="E25" s="19">
        <v>1541.5164152015132</v>
      </c>
      <c r="F25" s="19"/>
      <c r="G25" s="17"/>
      <c r="H25" s="17"/>
      <c r="I25" s="17"/>
      <c r="J25" s="17"/>
      <c r="K25" s="17"/>
      <c r="L25" s="30"/>
      <c r="M25" s="32"/>
      <c r="AF25"/>
      <c r="AG25"/>
      <c r="AH25"/>
      <c r="AI25"/>
      <c r="AJ25"/>
      <c r="AK25"/>
      <c r="AL25"/>
      <c r="AM25"/>
      <c r="AN25"/>
    </row>
    <row r="26" spans="1:51" ht="15" x14ac:dyDescent="0.25">
      <c r="A26" s="13">
        <f t="shared" si="4"/>
        <v>200605</v>
      </c>
      <c r="B26" s="13" t="str">
        <f t="shared" si="0"/>
        <v>2006</v>
      </c>
      <c r="C26" s="13" t="str">
        <f t="shared" si="1"/>
        <v>05</v>
      </c>
      <c r="D26" s="18">
        <f t="shared" si="2"/>
        <v>38838</v>
      </c>
      <c r="E26" s="19">
        <v>3314.113131357502</v>
      </c>
      <c r="F26" s="19"/>
      <c r="G26" s="17"/>
      <c r="H26" s="17"/>
      <c r="I26" s="17"/>
      <c r="J26" s="17"/>
      <c r="K26" s="17"/>
      <c r="L26" s="30"/>
      <c r="M26" s="32"/>
      <c r="AF26"/>
      <c r="AG26"/>
      <c r="AI26"/>
    </row>
    <row r="27" spans="1:51" ht="15" x14ac:dyDescent="0.25">
      <c r="A27" s="13">
        <f t="shared" si="4"/>
        <v>200606</v>
      </c>
      <c r="B27" s="13" t="str">
        <f t="shared" si="0"/>
        <v>2006</v>
      </c>
      <c r="C27" s="13" t="str">
        <f t="shared" si="1"/>
        <v>06</v>
      </c>
      <c r="D27" s="18">
        <f t="shared" si="2"/>
        <v>38869</v>
      </c>
      <c r="E27" s="19">
        <v>1821.6418327370936</v>
      </c>
      <c r="F27" s="19"/>
      <c r="G27" s="17"/>
      <c r="H27" s="17"/>
      <c r="I27" s="17"/>
      <c r="J27" s="17"/>
      <c r="K27" s="17"/>
      <c r="L27" s="30"/>
      <c r="M27" s="32"/>
      <c r="AF27"/>
      <c r="AG27"/>
      <c r="AI27"/>
    </row>
    <row r="28" spans="1:51" ht="15" x14ac:dyDescent="0.25">
      <c r="A28" s="13">
        <f t="shared" si="4"/>
        <v>200607</v>
      </c>
      <c r="B28" s="13" t="str">
        <f t="shared" si="0"/>
        <v>2006</v>
      </c>
      <c r="C28" s="13" t="str">
        <f t="shared" si="1"/>
        <v>07</v>
      </c>
      <c r="D28" s="18">
        <f t="shared" si="2"/>
        <v>38899</v>
      </c>
      <c r="E28" s="19">
        <v>1120.8557656672656</v>
      </c>
      <c r="F28" s="19"/>
      <c r="G28" s="17"/>
      <c r="H28" s="17"/>
      <c r="I28" s="17"/>
      <c r="J28" s="17"/>
      <c r="K28" s="17"/>
      <c r="L28" s="30"/>
      <c r="M28" s="32"/>
      <c r="AF28"/>
      <c r="AG28"/>
      <c r="AI28"/>
    </row>
    <row r="29" spans="1:51" ht="15" x14ac:dyDescent="0.25">
      <c r="A29" s="13">
        <f t="shared" si="4"/>
        <v>200608</v>
      </c>
      <c r="B29" s="13" t="str">
        <f t="shared" si="0"/>
        <v>2006</v>
      </c>
      <c r="C29" s="13" t="str">
        <f t="shared" si="1"/>
        <v>08</v>
      </c>
      <c r="D29" s="18">
        <f t="shared" si="2"/>
        <v>38930</v>
      </c>
      <c r="E29" s="19">
        <v>1412.8465810271427</v>
      </c>
      <c r="F29" s="19"/>
      <c r="G29" s="17"/>
      <c r="H29" s="17"/>
      <c r="I29" s="17"/>
      <c r="J29" s="17"/>
      <c r="K29" s="17"/>
      <c r="L29" s="30"/>
      <c r="M29" s="32"/>
      <c r="AF29"/>
      <c r="AG29"/>
      <c r="AI29"/>
    </row>
    <row r="30" spans="1:51" ht="15" x14ac:dyDescent="0.25">
      <c r="A30" s="13">
        <f t="shared" si="4"/>
        <v>200609</v>
      </c>
      <c r="B30" s="13" t="str">
        <f t="shared" si="0"/>
        <v>2006</v>
      </c>
      <c r="C30" s="13" t="str">
        <f t="shared" si="1"/>
        <v>09</v>
      </c>
      <c r="D30" s="18">
        <f t="shared" si="2"/>
        <v>38961</v>
      </c>
      <c r="E30" s="19">
        <v>3749.1021308748032</v>
      </c>
      <c r="F30" s="19"/>
      <c r="G30" s="17"/>
      <c r="H30" s="17"/>
      <c r="I30" s="17"/>
      <c r="J30" s="17"/>
      <c r="K30" s="17"/>
      <c r="L30" s="30"/>
      <c r="M30" s="32"/>
      <c r="AF30"/>
      <c r="AG30"/>
      <c r="AI30"/>
    </row>
    <row r="31" spans="1:51" ht="15" x14ac:dyDescent="0.25">
      <c r="A31" s="13">
        <f t="shared" si="4"/>
        <v>200610</v>
      </c>
      <c r="B31" s="13" t="str">
        <f t="shared" si="0"/>
        <v>2006</v>
      </c>
      <c r="C31" s="13" t="str">
        <f t="shared" si="1"/>
        <v>10</v>
      </c>
      <c r="D31" s="18">
        <f t="shared" si="2"/>
        <v>38991</v>
      </c>
      <c r="E31" s="19">
        <v>1696.1920244774406</v>
      </c>
      <c r="F31" s="19"/>
      <c r="G31" s="17"/>
      <c r="H31" s="17"/>
      <c r="I31" s="17"/>
      <c r="J31" s="17"/>
      <c r="K31" s="17"/>
      <c r="L31" s="30"/>
      <c r="M31" s="32"/>
      <c r="AF31"/>
      <c r="AG31"/>
      <c r="AI31"/>
    </row>
    <row r="32" spans="1:51" ht="15" x14ac:dyDescent="0.25">
      <c r="A32" s="13">
        <f t="shared" si="4"/>
        <v>200611</v>
      </c>
      <c r="B32" s="13" t="str">
        <f t="shared" si="0"/>
        <v>2006</v>
      </c>
      <c r="C32" s="13" t="str">
        <f t="shared" si="1"/>
        <v>11</v>
      </c>
      <c r="D32" s="18">
        <f t="shared" si="2"/>
        <v>39022</v>
      </c>
      <c r="E32" s="19">
        <v>1648.192383126828</v>
      </c>
      <c r="F32" s="19"/>
      <c r="G32" s="17"/>
      <c r="H32" s="17"/>
      <c r="I32" s="17"/>
      <c r="J32" s="17"/>
      <c r="K32" s="17"/>
      <c r="L32" s="30"/>
      <c r="M32" s="32"/>
      <c r="AF32"/>
      <c r="AG32"/>
      <c r="AI32"/>
    </row>
    <row r="33" spans="1:35" ht="15" customHeight="1" x14ac:dyDescent="0.25">
      <c r="A33" s="13">
        <f t="shared" si="4"/>
        <v>200612</v>
      </c>
      <c r="B33" s="13" t="str">
        <f t="shared" si="0"/>
        <v>2006</v>
      </c>
      <c r="C33" s="13" t="str">
        <f t="shared" si="1"/>
        <v>12</v>
      </c>
      <c r="D33" s="18">
        <f t="shared" si="2"/>
        <v>39052</v>
      </c>
      <c r="E33" s="19">
        <v>5962.3199025952154</v>
      </c>
      <c r="F33" s="19">
        <v>5962.3199025952154</v>
      </c>
      <c r="G33" s="19">
        <v>5962.3199025952154</v>
      </c>
      <c r="H33" s="19">
        <v>5962.3199025952154</v>
      </c>
      <c r="I33" s="19"/>
      <c r="J33" s="19"/>
      <c r="K33" s="19"/>
      <c r="L33" s="30"/>
      <c r="M33" s="32"/>
      <c r="AF33"/>
      <c r="AG33"/>
      <c r="AI33"/>
    </row>
    <row r="34" spans="1:35" ht="15" x14ac:dyDescent="0.25">
      <c r="A34" s="13">
        <f t="shared" si="4"/>
        <v>200701</v>
      </c>
      <c r="B34" s="13" t="str">
        <f t="shared" si="0"/>
        <v>2007</v>
      </c>
      <c r="C34" s="13" t="str">
        <f t="shared" si="1"/>
        <v>01</v>
      </c>
      <c r="D34" s="18">
        <f t="shared" si="2"/>
        <v>39083</v>
      </c>
      <c r="E34" s="19">
        <v>1789.2441838645573</v>
      </c>
      <c r="F34" s="23">
        <f t="shared" ref="F34:F45" si="5">_xlfn.FORECAST.ETS($D34, $E$10:$E$33, $D$10:$D$33, $B$8,0,)</f>
        <v>2266.896216843792</v>
      </c>
      <c r="G34" s="23">
        <f t="shared" ref="G34:G45" si="6">$F34 - _xlfn.FORECAST.ETS.CONFINT($D34, $E$10:$E$33, $D$10:$D$33, $B$7,$B$8,0,)</f>
        <v>1029.5113344629412</v>
      </c>
      <c r="H34" s="23">
        <f t="shared" ref="H34:H45" si="7">$F34 + _xlfn.FORECAST.ETS.CONFINT($D34, $E$10:$E$33, $D$10:$D$33, $B$7,$B$8,0,)</f>
        <v>3504.2810992246427</v>
      </c>
      <c r="I34" s="13"/>
      <c r="J34" s="13"/>
      <c r="K34" s="13"/>
      <c r="L34" s="29" t="s">
        <v>52</v>
      </c>
      <c r="M34" s="32"/>
      <c r="AF34"/>
      <c r="AG34"/>
      <c r="AI34"/>
    </row>
    <row r="35" spans="1:35" ht="15" x14ac:dyDescent="0.25">
      <c r="A35" s="13">
        <f t="shared" si="4"/>
        <v>200702</v>
      </c>
      <c r="B35" s="13" t="str">
        <f t="shared" si="0"/>
        <v>2007</v>
      </c>
      <c r="C35" s="13" t="str">
        <f t="shared" si="1"/>
        <v>02</v>
      </c>
      <c r="D35" s="18">
        <f t="shared" si="2"/>
        <v>39114</v>
      </c>
      <c r="E35" s="19">
        <v>3452.1131404993916</v>
      </c>
      <c r="F35" s="23">
        <f t="shared" si="5"/>
        <v>4564.1597248429916</v>
      </c>
      <c r="G35" s="23">
        <f t="shared" si="6"/>
        <v>3326.7692742426989</v>
      </c>
      <c r="H35" s="23">
        <f t="shared" si="7"/>
        <v>5801.5501754432844</v>
      </c>
      <c r="I35" s="13"/>
      <c r="J35" s="13"/>
      <c r="K35" s="13"/>
      <c r="L35" s="29"/>
      <c r="M35" s="32"/>
      <c r="AF35"/>
      <c r="AG35"/>
      <c r="AI35"/>
    </row>
    <row r="36" spans="1:35" ht="15" x14ac:dyDescent="0.25">
      <c r="A36" s="13">
        <f t="shared" si="4"/>
        <v>200703</v>
      </c>
      <c r="B36" s="13" t="str">
        <f t="shared" si="0"/>
        <v>2007</v>
      </c>
      <c r="C36" s="13" t="str">
        <f t="shared" si="1"/>
        <v>03</v>
      </c>
      <c r="D36" s="18">
        <f t="shared" si="2"/>
        <v>39142</v>
      </c>
      <c r="E36" s="19">
        <v>3031.1724712002278</v>
      </c>
      <c r="F36" s="23">
        <f t="shared" si="5"/>
        <v>3829.5613743166468</v>
      </c>
      <c r="G36" s="23">
        <f t="shared" si="6"/>
        <v>2592.1610247214358</v>
      </c>
      <c r="H36" s="23">
        <f t="shared" si="7"/>
        <v>5066.9617239118579</v>
      </c>
      <c r="I36" s="13"/>
      <c r="J36" s="13"/>
      <c r="K36" s="13"/>
      <c r="L36" s="29"/>
      <c r="M36" s="32"/>
      <c r="AF36"/>
      <c r="AG36"/>
      <c r="AI36"/>
    </row>
    <row r="37" spans="1:35" ht="15" x14ac:dyDescent="0.25">
      <c r="A37" s="13">
        <f t="shared" si="4"/>
        <v>200704</v>
      </c>
      <c r="B37" s="13" t="str">
        <f t="shared" si="0"/>
        <v>2007</v>
      </c>
      <c r="C37" s="13" t="str">
        <f t="shared" si="1"/>
        <v>04</v>
      </c>
      <c r="D37" s="18">
        <f t="shared" si="2"/>
        <v>39173</v>
      </c>
      <c r="E37" s="19">
        <v>2007.7278132507308</v>
      </c>
      <c r="F37" s="23">
        <f t="shared" si="5"/>
        <v>2641.5101442841933</v>
      </c>
      <c r="G37" s="23">
        <f t="shared" si="6"/>
        <v>1404.0943276679561</v>
      </c>
      <c r="H37" s="23">
        <f t="shared" si="7"/>
        <v>3878.9259609004303</v>
      </c>
      <c r="I37" s="13"/>
      <c r="J37" s="13"/>
      <c r="K37" s="13"/>
      <c r="L37" s="29"/>
      <c r="M37" s="32"/>
      <c r="AF37"/>
      <c r="AG37"/>
      <c r="AI37"/>
    </row>
    <row r="38" spans="1:35" ht="15" x14ac:dyDescent="0.25">
      <c r="A38" s="13">
        <f t="shared" si="4"/>
        <v>200705</v>
      </c>
      <c r="B38" s="13" t="str">
        <f t="shared" si="0"/>
        <v>2007</v>
      </c>
      <c r="C38" s="13" t="str">
        <f t="shared" si="1"/>
        <v>05</v>
      </c>
      <c r="D38" s="18">
        <f t="shared" si="2"/>
        <v>39203</v>
      </c>
      <c r="E38" s="19">
        <v>3012.1185222264216</v>
      </c>
      <c r="F38" s="23">
        <f t="shared" si="5"/>
        <v>4031.2917437082142</v>
      </c>
      <c r="G38" s="23">
        <f t="shared" si="6"/>
        <v>2793.8536549213341</v>
      </c>
      <c r="H38" s="23">
        <f t="shared" si="7"/>
        <v>5268.7298324950943</v>
      </c>
      <c r="I38" s="13"/>
      <c r="J38" s="13"/>
      <c r="K38" s="13"/>
      <c r="L38" s="29"/>
      <c r="M38" s="32"/>
      <c r="AF38"/>
      <c r="AG38"/>
      <c r="AI38"/>
    </row>
    <row r="39" spans="1:35" ht="15" x14ac:dyDescent="0.25">
      <c r="A39" s="13">
        <f t="shared" si="4"/>
        <v>200706</v>
      </c>
      <c r="B39" s="13" t="str">
        <f t="shared" si="0"/>
        <v>2007</v>
      </c>
      <c r="C39" s="13" t="str">
        <f t="shared" si="1"/>
        <v>06</v>
      </c>
      <c r="D39" s="18">
        <f t="shared" si="2"/>
        <v>39234</v>
      </c>
      <c r="E39" s="19">
        <v>2106.0344978719377</v>
      </c>
      <c r="F39" s="23">
        <f t="shared" si="5"/>
        <v>3225.4761119006675</v>
      </c>
      <c r="G39" s="23">
        <f t="shared" si="6"/>
        <v>1988.0077088589833</v>
      </c>
      <c r="H39" s="23">
        <f t="shared" si="7"/>
        <v>4462.9445149423518</v>
      </c>
      <c r="I39" s="19">
        <v>2106.0344978719377</v>
      </c>
      <c r="J39" s="19">
        <v>2106.0344978719377</v>
      </c>
      <c r="K39" s="19">
        <v>2106.0344978719377</v>
      </c>
      <c r="L39" s="29"/>
      <c r="M39" s="32"/>
      <c r="AF39"/>
      <c r="AG39"/>
      <c r="AI39"/>
    </row>
    <row r="40" spans="1:35" ht="15" x14ac:dyDescent="0.25">
      <c r="A40" s="13">
        <f t="shared" si="4"/>
        <v>200707</v>
      </c>
      <c r="B40" s="13" t="str">
        <f t="shared" si="0"/>
        <v>2007</v>
      </c>
      <c r="C40" s="13" t="str">
        <f t="shared" si="1"/>
        <v>07</v>
      </c>
      <c r="D40" s="18">
        <f t="shared" si="2"/>
        <v>39264</v>
      </c>
      <c r="E40" s="20"/>
      <c r="F40" s="23">
        <f t="shared" si="5"/>
        <v>2480.812562076323</v>
      </c>
      <c r="G40" s="23">
        <f t="shared" si="6"/>
        <v>1243.3045660242758</v>
      </c>
      <c r="H40" s="23">
        <f t="shared" si="7"/>
        <v>3718.3205581283701</v>
      </c>
      <c r="I40" s="24">
        <f t="shared" ref="I40:I45" si="8">_xlfn.FORECAST.ETS($D40, $E$10:$E$39, $D$10:$D$39, $B$8,0,)</f>
        <v>2009.03209967715</v>
      </c>
      <c r="J40" s="24">
        <f t="shared" ref="J40:J45" si="9">$F40 - _xlfn.FORECAST.ETS.CONFINT($D40, $E$10:$E$39, $D$10:$D$39, $B$7,$B$8,0,)</f>
        <v>1255.6899198479555</v>
      </c>
      <c r="K40" s="24">
        <f t="shared" ref="K40:K45" si="10">$F40 + _xlfn.FORECAST.ETS.CONFINT($D40, $E$10:$E$39, $D$10:$D$39, $B$7,$B$8,0,)</f>
        <v>3705.9352043046906</v>
      </c>
      <c r="L40" s="29"/>
      <c r="M40" s="33" t="s">
        <v>54</v>
      </c>
      <c r="AF40"/>
      <c r="AG40"/>
      <c r="AI40"/>
    </row>
    <row r="41" spans="1:35" ht="15" x14ac:dyDescent="0.25">
      <c r="A41" s="13">
        <f t="shared" si="4"/>
        <v>200708</v>
      </c>
      <c r="B41" s="13" t="str">
        <f t="shared" si="0"/>
        <v>2007</v>
      </c>
      <c r="C41" s="13" t="str">
        <f t="shared" si="1"/>
        <v>08</v>
      </c>
      <c r="D41" s="18">
        <f t="shared" si="2"/>
        <v>39295</v>
      </c>
      <c r="E41" s="20"/>
      <c r="F41" s="23">
        <f t="shared" si="5"/>
        <v>2466.5417432731233</v>
      </c>
      <c r="G41" s="23">
        <f t="shared" si="6"/>
        <v>1228.9836391334138</v>
      </c>
      <c r="H41" s="23">
        <f t="shared" si="7"/>
        <v>3704.0998474128328</v>
      </c>
      <c r="I41" s="24">
        <f t="shared" si="8"/>
        <v>1990.0357148676119</v>
      </c>
      <c r="J41" s="24">
        <f t="shared" si="9"/>
        <v>1241.4135880052702</v>
      </c>
      <c r="K41" s="24">
        <f t="shared" si="10"/>
        <v>3691.6698985409766</v>
      </c>
      <c r="L41" s="29"/>
      <c r="M41" s="34"/>
      <c r="AF41"/>
      <c r="AG41"/>
      <c r="AI41"/>
    </row>
    <row r="42" spans="1:35" ht="15" x14ac:dyDescent="0.25">
      <c r="A42" s="13">
        <f t="shared" si="4"/>
        <v>200709</v>
      </c>
      <c r="B42" s="13" t="str">
        <f t="shared" si="0"/>
        <v>2007</v>
      </c>
      <c r="C42" s="13" t="str">
        <f t="shared" si="1"/>
        <v>09</v>
      </c>
      <c r="D42" s="18">
        <f t="shared" si="2"/>
        <v>39326</v>
      </c>
      <c r="E42" s="20"/>
      <c r="F42" s="23">
        <f t="shared" si="5"/>
        <v>4820.0164086444502</v>
      </c>
      <c r="G42" s="23">
        <f t="shared" si="6"/>
        <v>3582.396445466502</v>
      </c>
      <c r="H42" s="23">
        <f t="shared" si="7"/>
        <v>6057.6363718223984</v>
      </c>
      <c r="I42" s="24">
        <f t="shared" si="8"/>
        <v>4347.6716179805062</v>
      </c>
      <c r="J42" s="24">
        <f t="shared" si="9"/>
        <v>3594.8784524787661</v>
      </c>
      <c r="K42" s="24">
        <f t="shared" si="10"/>
        <v>6045.1543648101342</v>
      </c>
      <c r="L42" s="29"/>
      <c r="M42" s="34"/>
      <c r="AF42"/>
      <c r="AG42"/>
      <c r="AI42"/>
    </row>
    <row r="43" spans="1:35" ht="15" x14ac:dyDescent="0.25">
      <c r="A43" s="13">
        <f t="shared" si="4"/>
        <v>200710</v>
      </c>
      <c r="B43" s="13" t="str">
        <f t="shared" si="0"/>
        <v>2007</v>
      </c>
      <c r="C43" s="13" t="str">
        <f t="shared" si="1"/>
        <v>10</v>
      </c>
      <c r="D43" s="18">
        <f t="shared" si="2"/>
        <v>39356</v>
      </c>
      <c r="E43" s="20"/>
      <c r="F43" s="23">
        <f t="shared" si="5"/>
        <v>2805.2736024456713</v>
      </c>
      <c r="G43" s="23">
        <f t="shared" si="6"/>
        <v>1567.5787939651675</v>
      </c>
      <c r="H43" s="23">
        <f t="shared" si="7"/>
        <v>4042.9684109261752</v>
      </c>
      <c r="I43" s="24">
        <f t="shared" si="8"/>
        <v>2344.9553934076202</v>
      </c>
      <c r="J43" s="24">
        <f t="shared" si="9"/>
        <v>1580.1203325340891</v>
      </c>
      <c r="K43" s="24">
        <f t="shared" si="10"/>
        <v>4030.4268723572532</v>
      </c>
      <c r="L43" s="29"/>
      <c r="M43" s="34"/>
      <c r="AF43"/>
      <c r="AG43"/>
      <c r="AI43"/>
    </row>
    <row r="44" spans="1:35" ht="15" x14ac:dyDescent="0.25">
      <c r="A44" s="13">
        <f t="shared" si="4"/>
        <v>200711</v>
      </c>
      <c r="B44" s="13" t="str">
        <f t="shared" si="0"/>
        <v>2007</v>
      </c>
      <c r="C44" s="13" t="str">
        <f t="shared" si="1"/>
        <v>11</v>
      </c>
      <c r="D44" s="18">
        <f t="shared" si="2"/>
        <v>39387</v>
      </c>
      <c r="E44" s="20"/>
      <c r="F44" s="23">
        <f t="shared" si="5"/>
        <v>2785.3381979105407</v>
      </c>
      <c r="G44" s="23">
        <f t="shared" si="6"/>
        <v>1547.5543232322591</v>
      </c>
      <c r="H44" s="23">
        <f t="shared" si="7"/>
        <v>4023.1220725888224</v>
      </c>
      <c r="I44" s="24">
        <f t="shared" si="8"/>
        <v>2322.2002478465743</v>
      </c>
      <c r="J44" s="24">
        <f t="shared" si="9"/>
        <v>1560.1628765411344</v>
      </c>
      <c r="K44" s="24">
        <f t="shared" si="10"/>
        <v>4010.5135192799471</v>
      </c>
      <c r="L44" s="29"/>
      <c r="M44" s="34"/>
      <c r="AF44"/>
      <c r="AG44"/>
      <c r="AI44"/>
    </row>
    <row r="45" spans="1:35" ht="15" x14ac:dyDescent="0.25">
      <c r="A45" s="13">
        <f t="shared" si="4"/>
        <v>200712</v>
      </c>
      <c r="B45" s="13" t="str">
        <f t="shared" si="0"/>
        <v>2007</v>
      </c>
      <c r="C45" s="13" t="str">
        <f t="shared" si="1"/>
        <v>12</v>
      </c>
      <c r="D45" s="18">
        <f t="shared" si="2"/>
        <v>39417</v>
      </c>
      <c r="E45" s="20"/>
      <c r="F45" s="23">
        <f t="shared" si="5"/>
        <v>5636.3840118999842</v>
      </c>
      <c r="G45" s="23">
        <f t="shared" si="6"/>
        <v>4398.4956163160987</v>
      </c>
      <c r="H45" s="23">
        <f t="shared" si="7"/>
        <v>6874.2724074838698</v>
      </c>
      <c r="I45" s="24">
        <f t="shared" si="8"/>
        <v>5110.8108102761835</v>
      </c>
      <c r="J45" s="24">
        <f t="shared" si="9"/>
        <v>4411.1786766840605</v>
      </c>
      <c r="K45" s="24">
        <f t="shared" si="10"/>
        <v>6861.5893471159079</v>
      </c>
      <c r="L45" s="29"/>
      <c r="M45" s="34"/>
      <c r="AF45"/>
      <c r="AG45"/>
      <c r="AI45"/>
    </row>
    <row r="46" spans="1:35" ht="15" x14ac:dyDescent="0.25">
      <c r="H46"/>
      <c r="I46"/>
      <c r="J46"/>
      <c r="K46"/>
    </row>
    <row r="47" spans="1:35" ht="15" x14ac:dyDescent="0.25">
      <c r="H47"/>
      <c r="I47"/>
      <c r="J47"/>
      <c r="K47"/>
    </row>
    <row r="48" spans="1:35" ht="15" x14ac:dyDescent="0.25">
      <c r="E48" s="8" t="s">
        <v>59</v>
      </c>
      <c r="H48"/>
      <c r="I48"/>
      <c r="J48"/>
      <c r="K48"/>
    </row>
    <row r="49" spans="5:11" ht="15" x14ac:dyDescent="0.25">
      <c r="E49" s="25" t="s">
        <v>58</v>
      </c>
      <c r="F49" s="25" cm="1">
        <f t="array" ref="F49">SUM(ABS(E33:E39 - F33:F39)) / COUNT(F33:F39)</f>
        <v>737.21209814046256</v>
      </c>
      <c r="H49"/>
      <c r="I49"/>
      <c r="J49"/>
      <c r="K49"/>
    </row>
    <row r="50" spans="5:11" ht="15" x14ac:dyDescent="0.25">
      <c r="E50" s="25" t="s">
        <v>60</v>
      </c>
      <c r="F50" s="25" cm="1">
        <f t="array" ref="F50">(SUM(ABS((E33:E39 - F33:F39) / E33:E39))) * (1/COUNT(E33:E39))</f>
        <v>0.29115061430824785</v>
      </c>
      <c r="H50"/>
      <c r="I50"/>
      <c r="J50"/>
      <c r="K50"/>
    </row>
    <row r="51" spans="5:11" ht="15" x14ac:dyDescent="0.25">
      <c r="H51"/>
      <c r="I51"/>
      <c r="J51"/>
      <c r="K51"/>
    </row>
  </sheetData>
  <mergeCells count="5">
    <mergeCell ref="A4:N4"/>
    <mergeCell ref="L34:L45"/>
    <mergeCell ref="L10:L33"/>
    <mergeCell ref="M10:M39"/>
    <mergeCell ref="M40:M45"/>
  </mergeCells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9D73-1792-4615-A325-428024CAC850}">
  <dimension ref="A3:M18"/>
  <sheetViews>
    <sheetView tabSelected="1" workbookViewId="0">
      <selection activeCell="D25" sqref="D25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5.140625" bestFit="1" customWidth="1"/>
    <col min="4" max="4" width="25.85546875" bestFit="1" customWidth="1"/>
    <col min="5" max="5" width="16.28515625" bestFit="1" customWidth="1"/>
    <col min="6" max="6" width="15.140625" bestFit="1" customWidth="1"/>
    <col min="7" max="7" width="25.85546875" bestFit="1" customWidth="1"/>
    <col min="8" max="8" width="16.28515625" bestFit="1" customWidth="1"/>
    <col min="9" max="9" width="15.140625" bestFit="1" customWidth="1"/>
    <col min="10" max="10" width="25.85546875" bestFit="1" customWidth="1"/>
    <col min="11" max="11" width="21.42578125" bestFit="1" customWidth="1"/>
    <col min="12" max="12" width="20.140625" bestFit="1" customWidth="1"/>
    <col min="13" max="13" width="30.85546875" bestFit="1" customWidth="1"/>
  </cols>
  <sheetData>
    <row r="3" spans="1:13" x14ac:dyDescent="0.25">
      <c r="B3" s="11" t="s">
        <v>25</v>
      </c>
    </row>
    <row r="4" spans="1:13" x14ac:dyDescent="0.25">
      <c r="B4" t="s">
        <v>22</v>
      </c>
      <c r="E4" t="s">
        <v>20</v>
      </c>
      <c r="H4" t="s">
        <v>21</v>
      </c>
      <c r="K4" t="s">
        <v>64</v>
      </c>
      <c r="L4" t="s">
        <v>63</v>
      </c>
      <c r="M4" t="s">
        <v>62</v>
      </c>
    </row>
    <row r="5" spans="1:13" x14ac:dyDescent="0.25">
      <c r="A5" s="11" t="s">
        <v>19</v>
      </c>
      <c r="B5" t="s">
        <v>26</v>
      </c>
      <c r="C5" t="s">
        <v>44</v>
      </c>
      <c r="D5" t="s">
        <v>49</v>
      </c>
      <c r="E5" t="s">
        <v>26</v>
      </c>
      <c r="F5" t="s">
        <v>44</v>
      </c>
      <c r="G5" t="s">
        <v>49</v>
      </c>
      <c r="H5" t="s">
        <v>26</v>
      </c>
      <c r="I5" t="s">
        <v>44</v>
      </c>
      <c r="J5" t="s">
        <v>49</v>
      </c>
    </row>
    <row r="6" spans="1:13" x14ac:dyDescent="0.25">
      <c r="A6" s="12" t="s">
        <v>32</v>
      </c>
      <c r="B6">
        <v>607.0933349096747</v>
      </c>
      <c r="E6">
        <v>1290.9809597131855</v>
      </c>
      <c r="H6">
        <v>1789.2441838645573</v>
      </c>
      <c r="I6">
        <v>2266.896216843792</v>
      </c>
      <c r="K6">
        <v>3687.3184784874175</v>
      </c>
      <c r="L6">
        <v>2266.896216843792</v>
      </c>
    </row>
    <row r="7" spans="1:13" x14ac:dyDescent="0.25">
      <c r="A7" s="12" t="s">
        <v>33</v>
      </c>
      <c r="B7">
        <v>1552.8626369053245</v>
      </c>
      <c r="E7">
        <v>3903.516905082422</v>
      </c>
      <c r="H7">
        <v>3452.1131404993916</v>
      </c>
      <c r="I7">
        <v>4564.1597248429916</v>
      </c>
      <c r="K7">
        <v>8908.4926824871382</v>
      </c>
      <c r="L7">
        <v>4564.1597248429916</v>
      </c>
    </row>
    <row r="8" spans="1:13" x14ac:dyDescent="0.25">
      <c r="A8" s="12" t="s">
        <v>34</v>
      </c>
      <c r="B8">
        <v>1900.7500841766737</v>
      </c>
      <c r="E8">
        <v>2921.681360532767</v>
      </c>
      <c r="H8">
        <v>3031.1724712002278</v>
      </c>
      <c r="I8">
        <v>3829.5613743166468</v>
      </c>
      <c r="K8">
        <v>7853.6039159096681</v>
      </c>
      <c r="L8">
        <v>3829.5613743166468</v>
      </c>
    </row>
    <row r="9" spans="1:13" x14ac:dyDescent="0.25">
      <c r="A9" s="12" t="s">
        <v>35</v>
      </c>
      <c r="B9">
        <v>1557.6447101106592</v>
      </c>
      <c r="E9">
        <v>1541.5164152015132</v>
      </c>
      <c r="H9">
        <v>2007.7278132507308</v>
      </c>
      <c r="I9">
        <v>2641.5101442841933</v>
      </c>
      <c r="K9">
        <v>5106.8889385629027</v>
      </c>
      <c r="L9">
        <v>2641.5101442841933</v>
      </c>
    </row>
    <row r="10" spans="1:13" x14ac:dyDescent="0.25">
      <c r="A10" s="12" t="s">
        <v>36</v>
      </c>
      <c r="B10">
        <v>1302.6464721460322</v>
      </c>
      <c r="E10">
        <v>3314.113131357502</v>
      </c>
      <c r="H10">
        <v>3012.1185222264216</v>
      </c>
      <c r="I10">
        <v>4031.2917437082142</v>
      </c>
      <c r="K10">
        <v>7628.8781257299561</v>
      </c>
      <c r="L10">
        <v>4031.2917437082142</v>
      </c>
    </row>
    <row r="11" spans="1:13" x14ac:dyDescent="0.25">
      <c r="A11" s="12" t="s">
        <v>37</v>
      </c>
      <c r="B11">
        <v>1956.8852482739046</v>
      </c>
      <c r="E11">
        <v>1821.6418327370936</v>
      </c>
      <c r="H11">
        <v>2106.0344978719377</v>
      </c>
      <c r="I11">
        <v>3225.4761119006675</v>
      </c>
      <c r="J11">
        <v>2106.0344978719377</v>
      </c>
      <c r="K11">
        <v>5884.5615788829364</v>
      </c>
      <c r="L11">
        <v>3225.4761119006675</v>
      </c>
      <c r="M11">
        <v>2106.0344978719377</v>
      </c>
    </row>
    <row r="12" spans="1:13" x14ac:dyDescent="0.25">
      <c r="A12" s="12" t="s">
        <v>38</v>
      </c>
      <c r="B12">
        <v>1171.6179920552347</v>
      </c>
      <c r="E12">
        <v>1120.8557656672656</v>
      </c>
      <c r="I12">
        <v>2480.812562076323</v>
      </c>
      <c r="J12">
        <v>2009.03209967715</v>
      </c>
      <c r="K12">
        <v>2292.4737577225005</v>
      </c>
      <c r="L12">
        <v>2480.812562076323</v>
      </c>
      <c r="M12">
        <v>2009.03209967715</v>
      </c>
    </row>
    <row r="13" spans="1:13" x14ac:dyDescent="0.25">
      <c r="A13" s="12" t="s">
        <v>39</v>
      </c>
      <c r="B13">
        <v>777.48206185566892</v>
      </c>
      <c r="E13">
        <v>1412.8465810271427</v>
      </c>
      <c r="I13">
        <v>2466.5417432731233</v>
      </c>
      <c r="J13">
        <v>1990.0357148676119</v>
      </c>
      <c r="K13">
        <v>2190.3286428828114</v>
      </c>
      <c r="L13">
        <v>2466.5417432731233</v>
      </c>
      <c r="M13">
        <v>1990.0357148676119</v>
      </c>
    </row>
    <row r="14" spans="1:13" x14ac:dyDescent="0.25">
      <c r="A14" s="12" t="s">
        <v>40</v>
      </c>
      <c r="B14">
        <v>3150.8978776127838</v>
      </c>
      <c r="E14">
        <v>3749.1021308748032</v>
      </c>
      <c r="I14">
        <v>4820.0164086444502</v>
      </c>
      <c r="J14">
        <v>4347.6716179805062</v>
      </c>
      <c r="K14">
        <v>6900.0000084875865</v>
      </c>
      <c r="L14">
        <v>4820.0164086444502</v>
      </c>
      <c r="M14">
        <v>4347.6716179805062</v>
      </c>
    </row>
    <row r="15" spans="1:13" x14ac:dyDescent="0.25">
      <c r="A15" s="12" t="s">
        <v>41</v>
      </c>
      <c r="B15">
        <v>1205.562461931331</v>
      </c>
      <c r="E15">
        <v>1696.1920244774406</v>
      </c>
      <c r="I15">
        <v>2805.2736024456713</v>
      </c>
      <c r="J15">
        <v>2344.9553934076202</v>
      </c>
      <c r="K15">
        <v>2901.7544864087713</v>
      </c>
      <c r="L15">
        <v>2805.2736024456713</v>
      </c>
      <c r="M15">
        <v>2344.9553934076202</v>
      </c>
    </row>
    <row r="16" spans="1:13" x14ac:dyDescent="0.25">
      <c r="A16" s="12" t="s">
        <v>42</v>
      </c>
      <c r="B16">
        <v>1192.7126700085093</v>
      </c>
      <c r="E16">
        <v>1648.192383126828</v>
      </c>
      <c r="I16">
        <v>2785.3381979105407</v>
      </c>
      <c r="J16">
        <v>2322.2002478465743</v>
      </c>
      <c r="K16">
        <v>2840.9050531353373</v>
      </c>
      <c r="L16">
        <v>2785.3381979105407</v>
      </c>
      <c r="M16">
        <v>2322.2002478465743</v>
      </c>
    </row>
    <row r="17" spans="1:13" x14ac:dyDescent="0.25">
      <c r="A17" s="12" t="s">
        <v>43</v>
      </c>
      <c r="B17">
        <v>3423.8389312399477</v>
      </c>
      <c r="E17">
        <v>5962.3199025952154</v>
      </c>
      <c r="F17">
        <v>5962.3199025952154</v>
      </c>
      <c r="I17">
        <v>5636.3840118999842</v>
      </c>
      <c r="J17">
        <v>5110.8108102761835</v>
      </c>
      <c r="K17">
        <v>9386.158833835163</v>
      </c>
      <c r="L17">
        <v>11598.7039144952</v>
      </c>
      <c r="M17">
        <v>5110.8108102761835</v>
      </c>
    </row>
    <row r="18" spans="1:13" x14ac:dyDescent="0.25">
      <c r="A18" s="12" t="s">
        <v>61</v>
      </c>
      <c r="B18">
        <v>19799.994481225745</v>
      </c>
      <c r="E18">
        <v>30382.959392393182</v>
      </c>
      <c r="F18">
        <v>5962.3199025952154</v>
      </c>
      <c r="H18">
        <v>15398.410628913265</v>
      </c>
      <c r="I18">
        <v>41553.261842146596</v>
      </c>
      <c r="J18">
        <v>20230.740381927586</v>
      </c>
      <c r="K18">
        <v>65581.364502532189</v>
      </c>
      <c r="L18">
        <v>47515.581744741809</v>
      </c>
      <c r="M18">
        <v>20230.740381927586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Задание 1</vt:lpstr>
      <vt:lpstr>Задание 2 (2)</vt:lpstr>
      <vt:lpstr>Сводная по продажам и прогнозам</vt:lpstr>
      <vt:lpstr>'Задание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Akimova Irina</dc:creator>
  <cp:lastModifiedBy>office</cp:lastModifiedBy>
  <cp:lastPrinted>2021-03-04T09:06:49Z</cp:lastPrinted>
  <dcterms:created xsi:type="dcterms:W3CDTF">2021-03-04T08:56:32Z</dcterms:created>
  <dcterms:modified xsi:type="dcterms:W3CDTF">2025-11-23T13:46:46Z</dcterms:modified>
</cp:coreProperties>
</file>