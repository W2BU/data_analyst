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Z:\riv_gosh\"/>
    </mc:Choice>
  </mc:AlternateContent>
  <xr:revisionPtr revIDLastSave="0" documentId="13_ncr:1_{2473AA97-CE5C-4BA0-8712-E72ED85AA785}" xr6:coauthVersionLast="47" xr6:coauthVersionMax="47" xr10:uidLastSave="{00000000-0000-0000-0000-000000000000}"/>
  <bookViews>
    <workbookView xWindow="780" yWindow="780" windowWidth="28800" windowHeight="15195" activeTab="6" xr2:uid="{00000000-000D-0000-FFFF-FFFF00000000}"/>
  </bookViews>
  <sheets>
    <sheet name="задание" sheetId="7" r:id="rId1"/>
    <sheet name="price A" sheetId="1" r:id="rId2"/>
    <sheet name="price B" sheetId="2" r:id="rId3"/>
    <sheet name="price C" sheetId="4" r:id="rId4"/>
    <sheet name="demand" sheetId="6" r:id="rId5"/>
    <sheet name="answer" sheetId="5" r:id="rId6"/>
    <sheet name="Сводная по фирмам" sheetId="9" r:id="rId7"/>
  </sheets>
  <calcPr calcId="191029" concurrentManualCount="1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5" i="6" l="1"/>
  <c r="F125" i="6"/>
  <c r="D125" i="6"/>
  <c r="H3" i="6" a="1"/>
  <c r="H3" i="6"/>
  <c r="H4" i="6" a="1"/>
  <c r="H4" i="6"/>
  <c r="H5" i="6" a="1"/>
  <c r="H5" i="6"/>
  <c r="H6" i="6" a="1"/>
  <c r="H6" i="6"/>
  <c r="H7" i="6" a="1"/>
  <c r="H7" i="6"/>
  <c r="H8" i="6" a="1"/>
  <c r="H8" i="6"/>
  <c r="H9" i="6" a="1"/>
  <c r="H9" i="6"/>
  <c r="H10" i="6" a="1"/>
  <c r="H10" i="6"/>
  <c r="H11" i="6" a="1"/>
  <c r="H11" i="6"/>
  <c r="H12" i="6" a="1"/>
  <c r="H12" i="6"/>
  <c r="H13" i="6" a="1"/>
  <c r="H13" i="6"/>
  <c r="H14" i="6" a="1"/>
  <c r="H14" i="6"/>
  <c r="H15" i="6" a="1"/>
  <c r="H15" i="6"/>
  <c r="H16" i="6" a="1"/>
  <c r="H16" i="6"/>
  <c r="H17" i="6" a="1"/>
  <c r="H17" i="6"/>
  <c r="H18" i="6" a="1"/>
  <c r="H18" i="6"/>
  <c r="H19" i="6" a="1"/>
  <c r="H19" i="6"/>
  <c r="H20" i="6" a="1"/>
  <c r="H20" i="6"/>
  <c r="H21" i="6" a="1"/>
  <c r="H21" i="6"/>
  <c r="H22" i="6" a="1"/>
  <c r="H22" i="6"/>
  <c r="H23" i="6" a="1"/>
  <c r="H23" i="6"/>
  <c r="H24" i="6" a="1"/>
  <c r="H24" i="6"/>
  <c r="H25" i="6" a="1"/>
  <c r="H25" i="6"/>
  <c r="H26" i="6" a="1"/>
  <c r="H26" i="6"/>
  <c r="H27" i="6" a="1"/>
  <c r="H27" i="6"/>
  <c r="H28" i="6" a="1"/>
  <c r="H28" i="6"/>
  <c r="H29" i="6" a="1"/>
  <c r="H29" i="6"/>
  <c r="H30" i="6" a="1"/>
  <c r="H30" i="6"/>
  <c r="H31" i="6" a="1"/>
  <c r="H31" i="6"/>
  <c r="H32" i="6" a="1"/>
  <c r="H32" i="6"/>
  <c r="H33" i="6" a="1"/>
  <c r="H33" i="6"/>
  <c r="H34" i="6" a="1"/>
  <c r="H34" i="6"/>
  <c r="H35" i="6" a="1"/>
  <c r="H35" i="6"/>
  <c r="H36" i="6" a="1"/>
  <c r="H36" i="6"/>
  <c r="H37" i="6" a="1"/>
  <c r="H37" i="6"/>
  <c r="H38" i="6" a="1"/>
  <c r="H38" i="6"/>
  <c r="H39" i="6" a="1"/>
  <c r="H39" i="6"/>
  <c r="H40" i="6" a="1"/>
  <c r="H40" i="6"/>
  <c r="H41" i="6" a="1"/>
  <c r="H41" i="6"/>
  <c r="H42" i="6" a="1"/>
  <c r="H42" i="6"/>
  <c r="H43" i="6" a="1"/>
  <c r="H43" i="6"/>
  <c r="H44" i="6" a="1"/>
  <c r="H44" i="6"/>
  <c r="H45" i="6" a="1"/>
  <c r="H45" i="6"/>
  <c r="H46" i="6" a="1"/>
  <c r="H46" i="6"/>
  <c r="H47" i="6" a="1"/>
  <c r="H47" i="6"/>
  <c r="H48" i="6" a="1"/>
  <c r="H48" i="6"/>
  <c r="H49" i="6" a="1"/>
  <c r="H49" i="6"/>
  <c r="H50" i="6" a="1"/>
  <c r="H50" i="6"/>
  <c r="H51" i="6" a="1"/>
  <c r="H51" i="6"/>
  <c r="H52" i="6" a="1"/>
  <c r="H52" i="6"/>
  <c r="H53" i="6" a="1"/>
  <c r="H53" i="6"/>
  <c r="H54" i="6" a="1"/>
  <c r="H54" i="6"/>
  <c r="H55" i="6" a="1"/>
  <c r="H55" i="6"/>
  <c r="H56" i="6" a="1"/>
  <c r="H56" i="6"/>
  <c r="H57" i="6" a="1"/>
  <c r="H57" i="6"/>
  <c r="H58" i="6" a="1"/>
  <c r="H58" i="6"/>
  <c r="H59" i="6" a="1"/>
  <c r="H59" i="6"/>
  <c r="H60" i="6" a="1"/>
  <c r="H60" i="6"/>
  <c r="H61" i="6" a="1"/>
  <c r="H61" i="6"/>
  <c r="H62" i="6" a="1"/>
  <c r="H62" i="6"/>
  <c r="H63" i="6" a="1"/>
  <c r="H63" i="6"/>
  <c r="H64" i="6" a="1"/>
  <c r="H64" i="6"/>
  <c r="H65" i="6" a="1"/>
  <c r="H65" i="6"/>
  <c r="H66" i="6" a="1"/>
  <c r="H66" i="6"/>
  <c r="H67" i="6" a="1"/>
  <c r="H67" i="6"/>
  <c r="H68" i="6" a="1"/>
  <c r="H68" i="6"/>
  <c r="H69" i="6" a="1"/>
  <c r="H69" i="6"/>
  <c r="H70" i="6" a="1"/>
  <c r="H70" i="6"/>
  <c r="H71" i="6" a="1"/>
  <c r="H71" i="6"/>
  <c r="H72" i="6" a="1"/>
  <c r="H72" i="6"/>
  <c r="H73" i="6" a="1"/>
  <c r="H73" i="6"/>
  <c r="H74" i="6" a="1"/>
  <c r="H74" i="6"/>
  <c r="H75" i="6" a="1"/>
  <c r="H75" i="6"/>
  <c r="H76" i="6" a="1"/>
  <c r="H76" i="6"/>
  <c r="H77" i="6" a="1"/>
  <c r="H77" i="6"/>
  <c r="H78" i="6" a="1"/>
  <c r="H78" i="6"/>
  <c r="H79" i="6" a="1"/>
  <c r="H79" i="6"/>
  <c r="H80" i="6" a="1"/>
  <c r="H80" i="6"/>
  <c r="H81" i="6" a="1"/>
  <c r="H81" i="6"/>
  <c r="H82" i="6" a="1"/>
  <c r="H82" i="6"/>
  <c r="H83" i="6" a="1"/>
  <c r="H83" i="6"/>
  <c r="H84" i="6" a="1"/>
  <c r="H84" i="6"/>
  <c r="H85" i="6" a="1"/>
  <c r="H85" i="6"/>
  <c r="H86" i="6" a="1"/>
  <c r="H86" i="6"/>
  <c r="H87" i="6" a="1"/>
  <c r="H87" i="6"/>
  <c r="H88" i="6" a="1"/>
  <c r="H88" i="6"/>
  <c r="H89" i="6" a="1"/>
  <c r="H89" i="6"/>
  <c r="H90" i="6" a="1"/>
  <c r="H90" i="6"/>
  <c r="H91" i="6" a="1"/>
  <c r="H91" i="6"/>
  <c r="H92" i="6" a="1"/>
  <c r="H92" i="6"/>
  <c r="H93" i="6" a="1"/>
  <c r="H93" i="6"/>
  <c r="H94" i="6" a="1"/>
  <c r="H94" i="6"/>
  <c r="H95" i="6" a="1"/>
  <c r="H95" i="6"/>
  <c r="H96" i="6" a="1"/>
  <c r="H96" i="6"/>
  <c r="H97" i="6" a="1"/>
  <c r="H97" i="6"/>
  <c r="H98" i="6" a="1"/>
  <c r="H98" i="6"/>
  <c r="H99" i="6" a="1"/>
  <c r="H99" i="6"/>
  <c r="H100" i="6" a="1"/>
  <c r="H100" i="6"/>
  <c r="H101" i="6" a="1"/>
  <c r="H101" i="6"/>
  <c r="H102" i="6" a="1"/>
  <c r="H102" i="6"/>
  <c r="H103" i="6" a="1"/>
  <c r="H103" i="6"/>
  <c r="H104" i="6" a="1"/>
  <c r="H104" i="6"/>
  <c r="H105" i="6" a="1"/>
  <c r="H105" i="6"/>
  <c r="H106" i="6" a="1"/>
  <c r="H106" i="6"/>
  <c r="H107" i="6" a="1"/>
  <c r="H107" i="6"/>
  <c r="H108" i="6" a="1"/>
  <c r="H108" i="6"/>
  <c r="H109" i="6" a="1"/>
  <c r="H109" i="6"/>
  <c r="H110" i="6" a="1"/>
  <c r="H110" i="6"/>
  <c r="H111" i="6" a="1"/>
  <c r="H111" i="6"/>
  <c r="H112" i="6" a="1"/>
  <c r="H112" i="6"/>
  <c r="H113" i="6" a="1"/>
  <c r="H113" i="6"/>
  <c r="H114" i="6" a="1"/>
  <c r="H114" i="6"/>
  <c r="H115" i="6" a="1"/>
  <c r="H115" i="6"/>
  <c r="H116" i="6" a="1"/>
  <c r="H116" i="6"/>
  <c r="H117" i="6" a="1"/>
  <c r="H117" i="6"/>
  <c r="H118" i="6" a="1"/>
  <c r="H118" i="6"/>
  <c r="H119" i="6" a="1"/>
  <c r="H119" i="6"/>
  <c r="H120" i="6" a="1"/>
  <c r="H120" i="6"/>
  <c r="H121" i="6" a="1"/>
  <c r="H121" i="6"/>
  <c r="H122" i="6" a="1"/>
  <c r="H122" i="6"/>
  <c r="H123" i="6" a="1"/>
  <c r="H123" i="6"/>
  <c r="H124" i="6" a="1"/>
  <c r="H124" i="6"/>
  <c r="G3" i="6" a="1"/>
  <c r="G3" i="6"/>
  <c r="I3" i="6" s="1"/>
  <c r="G4" i="6" a="1"/>
  <c r="G4" i="6"/>
  <c r="I4" i="6" s="1"/>
  <c r="G5" i="6" a="1"/>
  <c r="G5" i="6"/>
  <c r="I5" i="6" s="1"/>
  <c r="G6" i="6" a="1"/>
  <c r="G6" i="6"/>
  <c r="I6" i="6" s="1"/>
  <c r="G7" i="6" a="1"/>
  <c r="G7" i="6"/>
  <c r="I7" i="6" s="1"/>
  <c r="G8" i="6" a="1"/>
  <c r="G8" i="6"/>
  <c r="I8" i="6" s="1"/>
  <c r="G9" i="6" a="1"/>
  <c r="G9" i="6"/>
  <c r="I9" i="6" s="1"/>
  <c r="G10" i="6" a="1"/>
  <c r="G10" i="6"/>
  <c r="I10" i="6" s="1"/>
  <c r="G11" i="6" a="1"/>
  <c r="G11" i="6"/>
  <c r="I11" i="6" s="1"/>
  <c r="G12" i="6" a="1"/>
  <c r="G12" i="6"/>
  <c r="I12" i="6" s="1"/>
  <c r="G13" i="6" a="1"/>
  <c r="G13" i="6"/>
  <c r="I13" i="6" s="1"/>
  <c r="G14" i="6" a="1"/>
  <c r="G14" i="6"/>
  <c r="I14" i="6" s="1"/>
  <c r="G15" i="6" a="1"/>
  <c r="G15" i="6"/>
  <c r="I15" i="6" s="1"/>
  <c r="G16" i="6" a="1"/>
  <c r="G16" i="6"/>
  <c r="I16" i="6" s="1"/>
  <c r="G17" i="6" a="1"/>
  <c r="G17" i="6"/>
  <c r="I17" i="6" s="1"/>
  <c r="G18" i="6" a="1"/>
  <c r="G18" i="6"/>
  <c r="I18" i="6" s="1"/>
  <c r="G19" i="6" a="1"/>
  <c r="G19" i="6"/>
  <c r="I19" i="6" s="1"/>
  <c r="G20" i="6" a="1"/>
  <c r="G20" i="6"/>
  <c r="I20" i="6" s="1"/>
  <c r="G21" i="6" a="1"/>
  <c r="G21" i="6"/>
  <c r="I21" i="6" s="1"/>
  <c r="G22" i="6" a="1"/>
  <c r="G22" i="6"/>
  <c r="I22" i="6" s="1"/>
  <c r="G23" i="6" a="1"/>
  <c r="G23" i="6"/>
  <c r="I23" i="6" s="1"/>
  <c r="G24" i="6" a="1"/>
  <c r="G24" i="6"/>
  <c r="I24" i="6" s="1"/>
  <c r="G25" i="6" a="1"/>
  <c r="G25" i="6"/>
  <c r="I25" i="6" s="1"/>
  <c r="G26" i="6" a="1"/>
  <c r="G26" i="6"/>
  <c r="I26" i="6" s="1"/>
  <c r="G27" i="6" a="1"/>
  <c r="G27" i="6"/>
  <c r="I27" i="6" s="1"/>
  <c r="G28" i="6" a="1"/>
  <c r="G28" i="6"/>
  <c r="I28" i="6" s="1"/>
  <c r="G29" i="6" a="1"/>
  <c r="G29" i="6"/>
  <c r="I29" i="6" s="1"/>
  <c r="G30" i="6" a="1"/>
  <c r="G30" i="6"/>
  <c r="I30" i="6" s="1"/>
  <c r="G31" i="6" a="1"/>
  <c r="G31" i="6"/>
  <c r="I31" i="6" s="1"/>
  <c r="G32" i="6" a="1"/>
  <c r="G32" i="6"/>
  <c r="I32" i="6" s="1"/>
  <c r="G33" i="6" a="1"/>
  <c r="G33" i="6"/>
  <c r="I33" i="6" s="1"/>
  <c r="G34" i="6" a="1"/>
  <c r="G34" i="6"/>
  <c r="I34" i="6" s="1"/>
  <c r="G35" i="6" a="1"/>
  <c r="G35" i="6"/>
  <c r="I35" i="6" s="1"/>
  <c r="G36" i="6" a="1"/>
  <c r="G36" i="6"/>
  <c r="I36" i="6" s="1"/>
  <c r="G37" i="6" a="1"/>
  <c r="G37" i="6"/>
  <c r="I37" i="6" s="1"/>
  <c r="G38" i="6" a="1"/>
  <c r="G38" i="6"/>
  <c r="I38" i="6" s="1"/>
  <c r="G39" i="6" a="1"/>
  <c r="G39" i="6"/>
  <c r="I39" i="6" s="1"/>
  <c r="G40" i="6" a="1"/>
  <c r="G40" i="6"/>
  <c r="I40" i="6" s="1"/>
  <c r="G41" i="6" a="1"/>
  <c r="G41" i="6"/>
  <c r="I41" i="6" s="1"/>
  <c r="G42" i="6" a="1"/>
  <c r="G42" i="6"/>
  <c r="I42" i="6" s="1"/>
  <c r="G43" i="6" a="1"/>
  <c r="G43" i="6"/>
  <c r="I43" i="6" s="1"/>
  <c r="G44" i="6" a="1"/>
  <c r="G44" i="6"/>
  <c r="I44" i="6" s="1"/>
  <c r="G45" i="6" a="1"/>
  <c r="G45" i="6"/>
  <c r="I45" i="6" s="1"/>
  <c r="G46" i="6" a="1"/>
  <c r="G46" i="6"/>
  <c r="I46" i="6" s="1"/>
  <c r="G47" i="6" a="1"/>
  <c r="G47" i="6"/>
  <c r="I47" i="6" s="1"/>
  <c r="G48" i="6" a="1"/>
  <c r="G48" i="6"/>
  <c r="I48" i="6" s="1"/>
  <c r="G49" i="6" a="1"/>
  <c r="G49" i="6"/>
  <c r="I49" i="6" s="1"/>
  <c r="G50" i="6" a="1"/>
  <c r="G50" i="6"/>
  <c r="I50" i="6" s="1"/>
  <c r="G51" i="6" a="1"/>
  <c r="G51" i="6"/>
  <c r="I51" i="6" s="1"/>
  <c r="G52" i="6" a="1"/>
  <c r="G52" i="6"/>
  <c r="I52" i="6" s="1"/>
  <c r="G53" i="6" a="1"/>
  <c r="G53" i="6"/>
  <c r="I53" i="6" s="1"/>
  <c r="G54" i="6" a="1"/>
  <c r="G54" i="6"/>
  <c r="I54" i="6" s="1"/>
  <c r="G55" i="6" a="1"/>
  <c r="G55" i="6"/>
  <c r="I55" i="6" s="1"/>
  <c r="G56" i="6" a="1"/>
  <c r="G56" i="6"/>
  <c r="I56" i="6" s="1"/>
  <c r="G57" i="6" a="1"/>
  <c r="G57" i="6"/>
  <c r="I57" i="6" s="1"/>
  <c r="G58" i="6" a="1"/>
  <c r="G58" i="6"/>
  <c r="I58" i="6" s="1"/>
  <c r="G59" i="6" a="1"/>
  <c r="G59" i="6"/>
  <c r="I59" i="6" s="1"/>
  <c r="G60" i="6" a="1"/>
  <c r="G60" i="6"/>
  <c r="I60" i="6" s="1"/>
  <c r="G61" i="6" a="1"/>
  <c r="G61" i="6"/>
  <c r="I61" i="6" s="1"/>
  <c r="G62" i="6" a="1"/>
  <c r="G62" i="6"/>
  <c r="I62" i="6" s="1"/>
  <c r="G63" i="6" a="1"/>
  <c r="G63" i="6"/>
  <c r="I63" i="6" s="1"/>
  <c r="G64" i="6" a="1"/>
  <c r="G64" i="6"/>
  <c r="I64" i="6" s="1"/>
  <c r="G65" i="6" a="1"/>
  <c r="G65" i="6"/>
  <c r="I65" i="6" s="1"/>
  <c r="G66" i="6" a="1"/>
  <c r="G66" i="6"/>
  <c r="I66" i="6" s="1"/>
  <c r="G67" i="6" a="1"/>
  <c r="G67" i="6"/>
  <c r="I67" i="6" s="1"/>
  <c r="G68" i="6" a="1"/>
  <c r="G68" i="6"/>
  <c r="I68" i="6" s="1"/>
  <c r="G69" i="6" a="1"/>
  <c r="G69" i="6"/>
  <c r="I69" i="6" s="1"/>
  <c r="G70" i="6" a="1"/>
  <c r="G70" i="6"/>
  <c r="I70" i="6" s="1"/>
  <c r="G71" i="6" a="1"/>
  <c r="G71" i="6"/>
  <c r="I71" i="6" s="1"/>
  <c r="G72" i="6" a="1"/>
  <c r="G72" i="6"/>
  <c r="I72" i="6" s="1"/>
  <c r="G73" i="6" a="1"/>
  <c r="G73" i="6"/>
  <c r="I73" i="6" s="1"/>
  <c r="G74" i="6" a="1"/>
  <c r="G74" i="6"/>
  <c r="I74" i="6" s="1"/>
  <c r="G75" i="6" a="1"/>
  <c r="G75" i="6"/>
  <c r="I75" i="6" s="1"/>
  <c r="G76" i="6" a="1"/>
  <c r="G76" i="6"/>
  <c r="I76" i="6" s="1"/>
  <c r="G77" i="6" a="1"/>
  <c r="G77" i="6"/>
  <c r="I77" i="6" s="1"/>
  <c r="G78" i="6" a="1"/>
  <c r="G78" i="6"/>
  <c r="I78" i="6" s="1"/>
  <c r="G79" i="6" a="1"/>
  <c r="G79" i="6"/>
  <c r="I79" i="6" s="1"/>
  <c r="G80" i="6" a="1"/>
  <c r="G80" i="6"/>
  <c r="I80" i="6" s="1"/>
  <c r="G81" i="6" a="1"/>
  <c r="G81" i="6"/>
  <c r="I81" i="6" s="1"/>
  <c r="G82" i="6" a="1"/>
  <c r="G82" i="6"/>
  <c r="I82" i="6" s="1"/>
  <c r="G83" i="6" a="1"/>
  <c r="G83" i="6"/>
  <c r="I83" i="6" s="1"/>
  <c r="G84" i="6" a="1"/>
  <c r="G84" i="6"/>
  <c r="I84" i="6" s="1"/>
  <c r="G85" i="6" a="1"/>
  <c r="G85" i="6"/>
  <c r="I85" i="6" s="1"/>
  <c r="G86" i="6" a="1"/>
  <c r="G86" i="6"/>
  <c r="I86" i="6" s="1"/>
  <c r="G87" i="6" a="1"/>
  <c r="G87" i="6"/>
  <c r="I87" i="6" s="1"/>
  <c r="G88" i="6" a="1"/>
  <c r="G88" i="6"/>
  <c r="I88" i="6" s="1"/>
  <c r="G89" i="6" a="1"/>
  <c r="G89" i="6"/>
  <c r="I89" i="6" s="1"/>
  <c r="G90" i="6" a="1"/>
  <c r="G90" i="6"/>
  <c r="I90" i="6" s="1"/>
  <c r="G91" i="6" a="1"/>
  <c r="G91" i="6"/>
  <c r="I91" i="6" s="1"/>
  <c r="G92" i="6" a="1"/>
  <c r="G92" i="6"/>
  <c r="I92" i="6" s="1"/>
  <c r="G93" i="6" a="1"/>
  <c r="G93" i="6"/>
  <c r="I93" i="6" s="1"/>
  <c r="G94" i="6" a="1"/>
  <c r="G94" i="6"/>
  <c r="I94" i="6" s="1"/>
  <c r="G95" i="6" a="1"/>
  <c r="G95" i="6"/>
  <c r="I95" i="6" s="1"/>
  <c r="G96" i="6" a="1"/>
  <c r="G96" i="6"/>
  <c r="I96" i="6" s="1"/>
  <c r="G97" i="6" a="1"/>
  <c r="G97" i="6"/>
  <c r="I97" i="6" s="1"/>
  <c r="G98" i="6" a="1"/>
  <c r="G98" i="6"/>
  <c r="I98" i="6" s="1"/>
  <c r="G99" i="6" a="1"/>
  <c r="G99" i="6"/>
  <c r="I99" i="6" s="1"/>
  <c r="G100" i="6" a="1"/>
  <c r="G100" i="6"/>
  <c r="I100" i="6" s="1"/>
  <c r="G101" i="6" a="1"/>
  <c r="G101" i="6"/>
  <c r="I101" i="6" s="1"/>
  <c r="G102" i="6" a="1"/>
  <c r="G102" i="6"/>
  <c r="I102" i="6" s="1"/>
  <c r="G103" i="6" a="1"/>
  <c r="G103" i="6"/>
  <c r="I103" i="6" s="1"/>
  <c r="G104" i="6" a="1"/>
  <c r="G104" i="6"/>
  <c r="I104" i="6" s="1"/>
  <c r="G105" i="6" a="1"/>
  <c r="G105" i="6"/>
  <c r="I105" i="6" s="1"/>
  <c r="G106" i="6" a="1"/>
  <c r="G106" i="6"/>
  <c r="I106" i="6" s="1"/>
  <c r="G107" i="6" a="1"/>
  <c r="G107" i="6"/>
  <c r="I107" i="6" s="1"/>
  <c r="G108" i="6" a="1"/>
  <c r="G108" i="6"/>
  <c r="I108" i="6" s="1"/>
  <c r="G109" i="6" a="1"/>
  <c r="G109" i="6"/>
  <c r="I109" i="6" s="1"/>
  <c r="G110" i="6" a="1"/>
  <c r="G110" i="6"/>
  <c r="I110" i="6" s="1"/>
  <c r="G111" i="6" a="1"/>
  <c r="G111" i="6"/>
  <c r="I111" i="6" s="1"/>
  <c r="G112" i="6" a="1"/>
  <c r="G112" i="6"/>
  <c r="I112" i="6" s="1"/>
  <c r="G113" i="6" a="1"/>
  <c r="G113" i="6"/>
  <c r="I113" i="6" s="1"/>
  <c r="G114" i="6" a="1"/>
  <c r="G114" i="6"/>
  <c r="I114" i="6" s="1"/>
  <c r="G115" i="6" a="1"/>
  <c r="G115" i="6"/>
  <c r="I115" i="6" s="1"/>
  <c r="G116" i="6" a="1"/>
  <c r="G116" i="6"/>
  <c r="I116" i="6" s="1"/>
  <c r="G117" i="6" a="1"/>
  <c r="G117" i="6"/>
  <c r="I117" i="6" s="1"/>
  <c r="G118" i="6" a="1"/>
  <c r="G118" i="6"/>
  <c r="I118" i="6" s="1"/>
  <c r="G119" i="6" a="1"/>
  <c r="G119" i="6"/>
  <c r="I119" i="6" s="1"/>
  <c r="G120" i="6" a="1"/>
  <c r="G120" i="6"/>
  <c r="I120" i="6" s="1"/>
  <c r="G121" i="6" a="1"/>
  <c r="G121" i="6"/>
  <c r="I121" i="6" s="1"/>
  <c r="G122" i="6" a="1"/>
  <c r="G122" i="6"/>
  <c r="I122" i="6" s="1"/>
  <c r="G123" i="6" a="1"/>
  <c r="G123" i="6"/>
  <c r="I123" i="6" s="1"/>
  <c r="G124" i="6" a="1"/>
  <c r="G124" i="6"/>
  <c r="I124" i="6" s="1"/>
  <c r="H2" i="6" a="1"/>
  <c r="H2" i="6"/>
  <c r="G2" i="6" a="1"/>
  <c r="G2" i="6"/>
  <c r="I2" i="6" s="1"/>
  <c r="E3" i="6" a="1"/>
  <c r="E3" i="6"/>
  <c r="F3" i="6" s="1"/>
  <c r="E4" i="6" a="1"/>
  <c r="E4" i="6"/>
  <c r="F4" i="6" s="1"/>
  <c r="E5" i="6" a="1"/>
  <c r="E5" i="6"/>
  <c r="F5" i="6" s="1"/>
  <c r="E6" i="6" a="1"/>
  <c r="E6" i="6"/>
  <c r="F6" i="6" s="1"/>
  <c r="E7" i="6" a="1"/>
  <c r="E7" i="6"/>
  <c r="F7" i="6" s="1"/>
  <c r="E8" i="6" a="1"/>
  <c r="E8" i="6"/>
  <c r="F8" i="6" s="1"/>
  <c r="E9" i="6" a="1"/>
  <c r="E9" i="6"/>
  <c r="F9" i="6" s="1"/>
  <c r="E10" i="6" a="1"/>
  <c r="E10" i="6"/>
  <c r="F10" i="6" s="1"/>
  <c r="E11" i="6" a="1"/>
  <c r="E11" i="6"/>
  <c r="F11" i="6" s="1"/>
  <c r="E12" i="6" a="1"/>
  <c r="E12" i="6"/>
  <c r="F12" i="6" s="1"/>
  <c r="E13" i="6" a="1"/>
  <c r="E13" i="6"/>
  <c r="F13" i="6" s="1"/>
  <c r="E14" i="6" a="1"/>
  <c r="E14" i="6"/>
  <c r="F14" i="6" s="1"/>
  <c r="E15" i="6" a="1"/>
  <c r="E15" i="6"/>
  <c r="F15" i="6" s="1"/>
  <c r="E16" i="6" a="1"/>
  <c r="E16" i="6"/>
  <c r="F16" i="6" s="1"/>
  <c r="E17" i="6" a="1"/>
  <c r="E17" i="6"/>
  <c r="F17" i="6" s="1"/>
  <c r="E18" i="6" a="1"/>
  <c r="E18" i="6"/>
  <c r="F18" i="6" s="1"/>
  <c r="E19" i="6" a="1"/>
  <c r="E19" i="6"/>
  <c r="F19" i="6" s="1"/>
  <c r="E20" i="6" a="1"/>
  <c r="E20" i="6"/>
  <c r="F20" i="6" s="1"/>
  <c r="E21" i="6" a="1"/>
  <c r="E21" i="6"/>
  <c r="F21" i="6" s="1"/>
  <c r="E22" i="6" a="1"/>
  <c r="E22" i="6"/>
  <c r="F22" i="6" s="1"/>
  <c r="E23" i="6" a="1"/>
  <c r="E23" i="6"/>
  <c r="F23" i="6" s="1"/>
  <c r="E24" i="6" a="1"/>
  <c r="E24" i="6"/>
  <c r="F24" i="6" s="1"/>
  <c r="E25" i="6" a="1"/>
  <c r="E25" i="6"/>
  <c r="F25" i="6" s="1"/>
  <c r="E26" i="6" a="1"/>
  <c r="E26" i="6"/>
  <c r="F26" i="6" s="1"/>
  <c r="E27" i="6" a="1"/>
  <c r="E27" i="6"/>
  <c r="F27" i="6" s="1"/>
  <c r="E28" i="6" a="1"/>
  <c r="E28" i="6"/>
  <c r="F28" i="6" s="1"/>
  <c r="E29" i="6" a="1"/>
  <c r="E29" i="6"/>
  <c r="F29" i="6" s="1"/>
  <c r="E30" i="6" a="1"/>
  <c r="E30" i="6"/>
  <c r="F30" i="6" s="1"/>
  <c r="E31" i="6" a="1"/>
  <c r="E31" i="6"/>
  <c r="F31" i="6" s="1"/>
  <c r="E32" i="6" a="1"/>
  <c r="E32" i="6"/>
  <c r="F32" i="6" s="1"/>
  <c r="E33" i="6" a="1"/>
  <c r="E33" i="6"/>
  <c r="F33" i="6" s="1"/>
  <c r="E34" i="6" a="1"/>
  <c r="E34" i="6"/>
  <c r="F34" i="6" s="1"/>
  <c r="E35" i="6" a="1"/>
  <c r="E35" i="6"/>
  <c r="F35" i="6" s="1"/>
  <c r="E36" i="6" a="1"/>
  <c r="E36" i="6"/>
  <c r="F36" i="6" s="1"/>
  <c r="E37" i="6" a="1"/>
  <c r="E37" i="6"/>
  <c r="F37" i="6" s="1"/>
  <c r="E38" i="6" a="1"/>
  <c r="E38" i="6"/>
  <c r="F38" i="6" s="1"/>
  <c r="E39" i="6" a="1"/>
  <c r="E39" i="6"/>
  <c r="F39" i="6" s="1"/>
  <c r="E40" i="6" a="1"/>
  <c r="E40" i="6"/>
  <c r="F40" i="6" s="1"/>
  <c r="E41" i="6" a="1"/>
  <c r="E41" i="6"/>
  <c r="F41" i="6" s="1"/>
  <c r="E42" i="6" a="1"/>
  <c r="E42" i="6"/>
  <c r="F42" i="6" s="1"/>
  <c r="E43" i="6" a="1"/>
  <c r="E43" i="6"/>
  <c r="F43" i="6" s="1"/>
  <c r="E44" i="6" a="1"/>
  <c r="E44" i="6"/>
  <c r="F44" i="6" s="1"/>
  <c r="E45" i="6" a="1"/>
  <c r="E45" i="6"/>
  <c r="F45" i="6" s="1"/>
  <c r="E46" i="6" a="1"/>
  <c r="E46" i="6"/>
  <c r="F46" i="6" s="1"/>
  <c r="E47" i="6" a="1"/>
  <c r="E47" i="6"/>
  <c r="F47" i="6" s="1"/>
  <c r="E48" i="6" a="1"/>
  <c r="E48" i="6"/>
  <c r="F48" i="6" s="1"/>
  <c r="E49" i="6" a="1"/>
  <c r="E49" i="6"/>
  <c r="F49" i="6" s="1"/>
  <c r="E50" i="6" a="1"/>
  <c r="E50" i="6"/>
  <c r="F50" i="6" s="1"/>
  <c r="E51" i="6" a="1"/>
  <c r="E51" i="6"/>
  <c r="F51" i="6" s="1"/>
  <c r="E52" i="6" a="1"/>
  <c r="E52" i="6"/>
  <c r="F52" i="6" s="1"/>
  <c r="E53" i="6" a="1"/>
  <c r="E53" i="6"/>
  <c r="F53" i="6" s="1"/>
  <c r="E54" i="6" a="1"/>
  <c r="E54" i="6"/>
  <c r="F54" i="6" s="1"/>
  <c r="E55" i="6" a="1"/>
  <c r="E55" i="6"/>
  <c r="F55" i="6" s="1"/>
  <c r="E56" i="6" a="1"/>
  <c r="E56" i="6"/>
  <c r="F56" i="6" s="1"/>
  <c r="E57" i="6" a="1"/>
  <c r="E57" i="6"/>
  <c r="F57" i="6" s="1"/>
  <c r="E58" i="6" a="1"/>
  <c r="E58" i="6"/>
  <c r="F58" i="6" s="1"/>
  <c r="E59" i="6" a="1"/>
  <c r="E59" i="6"/>
  <c r="F59" i="6" s="1"/>
  <c r="E60" i="6" a="1"/>
  <c r="E60" i="6"/>
  <c r="F60" i="6" s="1"/>
  <c r="E61" i="6" a="1"/>
  <c r="E61" i="6"/>
  <c r="F61" i="6" s="1"/>
  <c r="E62" i="6" a="1"/>
  <c r="E62" i="6"/>
  <c r="F62" i="6" s="1"/>
  <c r="E63" i="6" a="1"/>
  <c r="E63" i="6"/>
  <c r="F63" i="6" s="1"/>
  <c r="E64" i="6" a="1"/>
  <c r="E64" i="6"/>
  <c r="F64" i="6" s="1"/>
  <c r="E65" i="6" a="1"/>
  <c r="E65" i="6"/>
  <c r="F65" i="6" s="1"/>
  <c r="E66" i="6" a="1"/>
  <c r="E66" i="6"/>
  <c r="F66" i="6" s="1"/>
  <c r="E67" i="6" a="1"/>
  <c r="E67" i="6"/>
  <c r="F67" i="6" s="1"/>
  <c r="E68" i="6" a="1"/>
  <c r="E68" i="6"/>
  <c r="F68" i="6" s="1"/>
  <c r="E69" i="6" a="1"/>
  <c r="E69" i="6"/>
  <c r="F69" i="6" s="1"/>
  <c r="E70" i="6" a="1"/>
  <c r="E70" i="6"/>
  <c r="F70" i="6" s="1"/>
  <c r="E71" i="6" a="1"/>
  <c r="E71" i="6"/>
  <c r="F71" i="6" s="1"/>
  <c r="E72" i="6" a="1"/>
  <c r="E72" i="6"/>
  <c r="F72" i="6" s="1"/>
  <c r="E73" i="6" a="1"/>
  <c r="E73" i="6"/>
  <c r="F73" i="6" s="1"/>
  <c r="E74" i="6" a="1"/>
  <c r="E74" i="6"/>
  <c r="F74" i="6" s="1"/>
  <c r="E75" i="6" a="1"/>
  <c r="E75" i="6"/>
  <c r="F75" i="6" s="1"/>
  <c r="E76" i="6" a="1"/>
  <c r="E76" i="6"/>
  <c r="F76" i="6" s="1"/>
  <c r="E77" i="6" a="1"/>
  <c r="E77" i="6"/>
  <c r="F77" i="6" s="1"/>
  <c r="E78" i="6" a="1"/>
  <c r="E78" i="6"/>
  <c r="F78" i="6" s="1"/>
  <c r="E79" i="6" a="1"/>
  <c r="E79" i="6"/>
  <c r="F79" i="6" s="1"/>
  <c r="E80" i="6" a="1"/>
  <c r="E80" i="6"/>
  <c r="F80" i="6" s="1"/>
  <c r="E81" i="6" a="1"/>
  <c r="E81" i="6"/>
  <c r="F81" i="6" s="1"/>
  <c r="E82" i="6" a="1"/>
  <c r="E82" i="6"/>
  <c r="F82" i="6" s="1"/>
  <c r="E83" i="6" a="1"/>
  <c r="E83" i="6"/>
  <c r="F83" i="6" s="1"/>
  <c r="E84" i="6" a="1"/>
  <c r="E84" i="6"/>
  <c r="F84" i="6" s="1"/>
  <c r="E85" i="6" a="1"/>
  <c r="E85" i="6"/>
  <c r="F85" i="6" s="1"/>
  <c r="E86" i="6" a="1"/>
  <c r="E86" i="6"/>
  <c r="F86" i="6" s="1"/>
  <c r="E87" i="6" a="1"/>
  <c r="E87" i="6"/>
  <c r="F87" i="6" s="1"/>
  <c r="E88" i="6" a="1"/>
  <c r="E88" i="6"/>
  <c r="F88" i="6" s="1"/>
  <c r="E89" i="6" a="1"/>
  <c r="E89" i="6"/>
  <c r="F89" i="6" s="1"/>
  <c r="E90" i="6" a="1"/>
  <c r="E90" i="6"/>
  <c r="F90" i="6" s="1"/>
  <c r="E91" i="6" a="1"/>
  <c r="E91" i="6"/>
  <c r="F91" i="6" s="1"/>
  <c r="E92" i="6" a="1"/>
  <c r="E92" i="6"/>
  <c r="F92" i="6" s="1"/>
  <c r="E93" i="6" a="1"/>
  <c r="E93" i="6"/>
  <c r="F93" i="6" s="1"/>
  <c r="E94" i="6" a="1"/>
  <c r="E94" i="6"/>
  <c r="F94" i="6" s="1"/>
  <c r="E95" i="6" a="1"/>
  <c r="E95" i="6"/>
  <c r="F95" i="6" s="1"/>
  <c r="E96" i="6" a="1"/>
  <c r="E96" i="6"/>
  <c r="F96" i="6" s="1"/>
  <c r="E97" i="6" a="1"/>
  <c r="E97" i="6"/>
  <c r="F97" i="6" s="1"/>
  <c r="E98" i="6" a="1"/>
  <c r="E98" i="6"/>
  <c r="F98" i="6" s="1"/>
  <c r="E99" i="6" a="1"/>
  <c r="E99" i="6"/>
  <c r="F99" i="6" s="1"/>
  <c r="E100" i="6" a="1"/>
  <c r="E100" i="6"/>
  <c r="F100" i="6" s="1"/>
  <c r="E101" i="6" a="1"/>
  <c r="E101" i="6"/>
  <c r="F101" i="6" s="1"/>
  <c r="E102" i="6" a="1"/>
  <c r="E102" i="6"/>
  <c r="F102" i="6" s="1"/>
  <c r="E103" i="6" a="1"/>
  <c r="E103" i="6"/>
  <c r="F103" i="6" s="1"/>
  <c r="E104" i="6" a="1"/>
  <c r="E104" i="6"/>
  <c r="F104" i="6" s="1"/>
  <c r="E105" i="6" a="1"/>
  <c r="E105" i="6"/>
  <c r="F105" i="6" s="1"/>
  <c r="E106" i="6" a="1"/>
  <c r="E106" i="6"/>
  <c r="F106" i="6" s="1"/>
  <c r="E107" i="6" a="1"/>
  <c r="E107" i="6"/>
  <c r="F107" i="6" s="1"/>
  <c r="E108" i="6" a="1"/>
  <c r="E108" i="6"/>
  <c r="F108" i="6" s="1"/>
  <c r="E109" i="6" a="1"/>
  <c r="E109" i="6"/>
  <c r="F109" i="6" s="1"/>
  <c r="E110" i="6" a="1"/>
  <c r="E110" i="6"/>
  <c r="F110" i="6" s="1"/>
  <c r="E111" i="6" a="1"/>
  <c r="E111" i="6"/>
  <c r="F111" i="6" s="1"/>
  <c r="E112" i="6" a="1"/>
  <c r="E112" i="6"/>
  <c r="F112" i="6" s="1"/>
  <c r="E113" i="6" a="1"/>
  <c r="E113" i="6"/>
  <c r="F113" i="6" s="1"/>
  <c r="E114" i="6" a="1"/>
  <c r="E114" i="6"/>
  <c r="F114" i="6" s="1"/>
  <c r="E115" i="6" a="1"/>
  <c r="E115" i="6"/>
  <c r="F115" i="6" s="1"/>
  <c r="E116" i="6" a="1"/>
  <c r="E116" i="6"/>
  <c r="F116" i="6" s="1"/>
  <c r="E117" i="6" a="1"/>
  <c r="E117" i="6"/>
  <c r="F117" i="6" s="1"/>
  <c r="E118" i="6" a="1"/>
  <c r="E118" i="6"/>
  <c r="F118" i="6" s="1"/>
  <c r="E119" i="6" a="1"/>
  <c r="E119" i="6"/>
  <c r="F119" i="6" s="1"/>
  <c r="E120" i="6" a="1"/>
  <c r="E120" i="6"/>
  <c r="F120" i="6" s="1"/>
  <c r="E121" i="6" a="1"/>
  <c r="E121" i="6"/>
  <c r="F121" i="6" s="1"/>
  <c r="E122" i="6" a="1"/>
  <c r="E122" i="6"/>
  <c r="F122" i="6" s="1"/>
  <c r="E123" i="6" a="1"/>
  <c r="E123" i="6"/>
  <c r="F123" i="6" s="1"/>
  <c r="E124" i="6" a="1"/>
  <c r="E124" i="6"/>
  <c r="F124" i="6" s="1"/>
  <c r="E2" i="6" a="1"/>
  <c r="E2" i="6"/>
  <c r="F2" i="6" s="1"/>
  <c r="C3" i="6" a="1"/>
  <c r="C3" i="6"/>
  <c r="D3" i="6" s="1"/>
  <c r="C4" i="6" a="1"/>
  <c r="C4" i="6"/>
  <c r="D4" i="6" s="1"/>
  <c r="C5" i="6" a="1"/>
  <c r="C5" i="6"/>
  <c r="D5" i="6" s="1"/>
  <c r="C6" i="6" a="1"/>
  <c r="C6" i="6"/>
  <c r="D6" i="6" s="1"/>
  <c r="C7" i="6" a="1"/>
  <c r="C7" i="6"/>
  <c r="D7" i="6" s="1"/>
  <c r="C8" i="6" a="1"/>
  <c r="C8" i="6"/>
  <c r="D8" i="6" s="1"/>
  <c r="C9" i="6" a="1"/>
  <c r="C9" i="6"/>
  <c r="D9" i="6" s="1"/>
  <c r="C10" i="6" a="1"/>
  <c r="C10" i="6"/>
  <c r="D10" i="6" s="1"/>
  <c r="C11" i="6" a="1"/>
  <c r="C11" i="6"/>
  <c r="D11" i="6" s="1"/>
  <c r="C12" i="6" a="1"/>
  <c r="C12" i="6"/>
  <c r="D12" i="6" s="1"/>
  <c r="C13" i="6" a="1"/>
  <c r="C13" i="6"/>
  <c r="D13" i="6" s="1"/>
  <c r="C14" i="6" a="1"/>
  <c r="C14" i="6"/>
  <c r="D14" i="6" s="1"/>
  <c r="C15" i="6" a="1"/>
  <c r="C15" i="6"/>
  <c r="D15" i="6" s="1"/>
  <c r="C16" i="6" a="1"/>
  <c r="C16" i="6"/>
  <c r="D16" i="6" s="1"/>
  <c r="C17" i="6" a="1"/>
  <c r="C17" i="6"/>
  <c r="D17" i="6" s="1"/>
  <c r="C18" i="6" a="1"/>
  <c r="C18" i="6"/>
  <c r="D18" i="6" s="1"/>
  <c r="C19" i="6" a="1"/>
  <c r="C19" i="6"/>
  <c r="D19" i="6" s="1"/>
  <c r="C20" i="6" a="1"/>
  <c r="C20" i="6"/>
  <c r="D20" i="6" s="1"/>
  <c r="C21" i="6" a="1"/>
  <c r="C21" i="6"/>
  <c r="D21" i="6" s="1"/>
  <c r="C22" i="6" a="1"/>
  <c r="C22" i="6"/>
  <c r="D22" i="6" s="1"/>
  <c r="C23" i="6" a="1"/>
  <c r="C23" i="6"/>
  <c r="D23" i="6" s="1"/>
  <c r="C24" i="6" a="1"/>
  <c r="C24" i="6"/>
  <c r="D24" i="6" s="1"/>
  <c r="C25" i="6" a="1"/>
  <c r="C25" i="6"/>
  <c r="D25" i="6" s="1"/>
  <c r="C26" i="6" a="1"/>
  <c r="C26" i="6"/>
  <c r="D26" i="6" s="1"/>
  <c r="C27" i="6" a="1"/>
  <c r="C27" i="6"/>
  <c r="D27" i="6" s="1"/>
  <c r="C28" i="6" a="1"/>
  <c r="C28" i="6"/>
  <c r="D28" i="6" s="1"/>
  <c r="C29" i="6" a="1"/>
  <c r="C29" i="6"/>
  <c r="D29" i="6" s="1"/>
  <c r="C30" i="6" a="1"/>
  <c r="C30" i="6"/>
  <c r="D30" i="6" s="1"/>
  <c r="C31" i="6" a="1"/>
  <c r="C31" i="6"/>
  <c r="D31" i="6" s="1"/>
  <c r="C32" i="6" a="1"/>
  <c r="C32" i="6"/>
  <c r="D32" i="6" s="1"/>
  <c r="C33" i="6" a="1"/>
  <c r="C33" i="6"/>
  <c r="D33" i="6" s="1"/>
  <c r="C34" i="6" a="1"/>
  <c r="C34" i="6"/>
  <c r="D34" i="6" s="1"/>
  <c r="C35" i="6" a="1"/>
  <c r="C35" i="6"/>
  <c r="D35" i="6" s="1"/>
  <c r="C36" i="6" a="1"/>
  <c r="C36" i="6"/>
  <c r="D36" i="6" s="1"/>
  <c r="C37" i="6" a="1"/>
  <c r="C37" i="6"/>
  <c r="D37" i="6" s="1"/>
  <c r="C38" i="6" a="1"/>
  <c r="C38" i="6"/>
  <c r="D38" i="6" s="1"/>
  <c r="C39" i="6" a="1"/>
  <c r="C39" i="6"/>
  <c r="D39" i="6" s="1"/>
  <c r="C40" i="6" a="1"/>
  <c r="C40" i="6"/>
  <c r="D40" i="6" s="1"/>
  <c r="C41" i="6" a="1"/>
  <c r="C41" i="6"/>
  <c r="D41" i="6" s="1"/>
  <c r="C42" i="6" a="1"/>
  <c r="C42" i="6"/>
  <c r="D42" i="6" s="1"/>
  <c r="C43" i="6" a="1"/>
  <c r="C43" i="6"/>
  <c r="D43" i="6" s="1"/>
  <c r="C44" i="6" a="1"/>
  <c r="C44" i="6"/>
  <c r="D44" i="6" s="1"/>
  <c r="C45" i="6" a="1"/>
  <c r="C45" i="6"/>
  <c r="D45" i="6" s="1"/>
  <c r="C46" i="6" a="1"/>
  <c r="C46" i="6"/>
  <c r="D46" i="6" s="1"/>
  <c r="C47" i="6" a="1"/>
  <c r="C47" i="6"/>
  <c r="D47" i="6" s="1"/>
  <c r="C48" i="6" a="1"/>
  <c r="C48" i="6"/>
  <c r="D48" i="6" s="1"/>
  <c r="C49" i="6" a="1"/>
  <c r="C49" i="6"/>
  <c r="D49" i="6" s="1"/>
  <c r="C50" i="6" a="1"/>
  <c r="C50" i="6"/>
  <c r="D50" i="6" s="1"/>
  <c r="C51" i="6" a="1"/>
  <c r="C51" i="6"/>
  <c r="D51" i="6" s="1"/>
  <c r="C52" i="6" a="1"/>
  <c r="C52" i="6"/>
  <c r="D52" i="6" s="1"/>
  <c r="C53" i="6" a="1"/>
  <c r="C53" i="6"/>
  <c r="D53" i="6" s="1"/>
  <c r="C54" i="6" a="1"/>
  <c r="C54" i="6"/>
  <c r="D54" i="6" s="1"/>
  <c r="C55" i="6" a="1"/>
  <c r="C55" i="6"/>
  <c r="D55" i="6" s="1"/>
  <c r="C56" i="6" a="1"/>
  <c r="C56" i="6"/>
  <c r="D56" i="6" s="1"/>
  <c r="C57" i="6" a="1"/>
  <c r="C57" i="6"/>
  <c r="D57" i="6" s="1"/>
  <c r="C58" i="6" a="1"/>
  <c r="C58" i="6"/>
  <c r="D58" i="6" s="1"/>
  <c r="C59" i="6" a="1"/>
  <c r="C59" i="6"/>
  <c r="D59" i="6" s="1"/>
  <c r="C60" i="6" a="1"/>
  <c r="C60" i="6"/>
  <c r="D60" i="6" s="1"/>
  <c r="C61" i="6" a="1"/>
  <c r="C61" i="6"/>
  <c r="D61" i="6" s="1"/>
  <c r="C62" i="6" a="1"/>
  <c r="C62" i="6"/>
  <c r="D62" i="6" s="1"/>
  <c r="C63" i="6" a="1"/>
  <c r="C63" i="6"/>
  <c r="D63" i="6" s="1"/>
  <c r="C64" i="6" a="1"/>
  <c r="C64" i="6"/>
  <c r="D64" i="6" s="1"/>
  <c r="C65" i="6" a="1"/>
  <c r="C65" i="6"/>
  <c r="D65" i="6" s="1"/>
  <c r="C66" i="6" a="1"/>
  <c r="C66" i="6"/>
  <c r="D66" i="6" s="1"/>
  <c r="C67" i="6" a="1"/>
  <c r="C67" i="6"/>
  <c r="D67" i="6" s="1"/>
  <c r="C68" i="6" a="1"/>
  <c r="C68" i="6"/>
  <c r="D68" i="6" s="1"/>
  <c r="C69" i="6" a="1"/>
  <c r="C69" i="6"/>
  <c r="D69" i="6" s="1"/>
  <c r="C70" i="6" a="1"/>
  <c r="C70" i="6"/>
  <c r="D70" i="6" s="1"/>
  <c r="C71" i="6" a="1"/>
  <c r="C71" i="6"/>
  <c r="D71" i="6" s="1"/>
  <c r="C72" i="6" a="1"/>
  <c r="C72" i="6"/>
  <c r="D72" i="6" s="1"/>
  <c r="C73" i="6" a="1"/>
  <c r="C73" i="6"/>
  <c r="D73" i="6" s="1"/>
  <c r="C74" i="6" a="1"/>
  <c r="C74" i="6"/>
  <c r="D74" i="6" s="1"/>
  <c r="C75" i="6" a="1"/>
  <c r="C75" i="6"/>
  <c r="D75" i="6" s="1"/>
  <c r="C76" i="6" a="1"/>
  <c r="C76" i="6"/>
  <c r="D76" i="6" s="1"/>
  <c r="C77" i="6" a="1"/>
  <c r="C77" i="6"/>
  <c r="D77" i="6" s="1"/>
  <c r="C78" i="6" a="1"/>
  <c r="C78" i="6"/>
  <c r="D78" i="6" s="1"/>
  <c r="C79" i="6" a="1"/>
  <c r="C79" i="6"/>
  <c r="D79" i="6" s="1"/>
  <c r="C80" i="6" a="1"/>
  <c r="C80" i="6"/>
  <c r="D80" i="6" s="1"/>
  <c r="C81" i="6" a="1"/>
  <c r="C81" i="6"/>
  <c r="D81" i="6" s="1"/>
  <c r="C82" i="6" a="1"/>
  <c r="C82" i="6"/>
  <c r="D82" i="6" s="1"/>
  <c r="C83" i="6" a="1"/>
  <c r="C83" i="6"/>
  <c r="D83" i="6" s="1"/>
  <c r="C84" i="6" a="1"/>
  <c r="C84" i="6"/>
  <c r="D84" i="6" s="1"/>
  <c r="C85" i="6" a="1"/>
  <c r="C85" i="6"/>
  <c r="D85" i="6" s="1"/>
  <c r="C86" i="6" a="1"/>
  <c r="C86" i="6"/>
  <c r="D86" i="6" s="1"/>
  <c r="C87" i="6" a="1"/>
  <c r="C87" i="6"/>
  <c r="D87" i="6" s="1"/>
  <c r="C88" i="6" a="1"/>
  <c r="C88" i="6"/>
  <c r="D88" i="6" s="1"/>
  <c r="C89" i="6" a="1"/>
  <c r="C89" i="6"/>
  <c r="D89" i="6" s="1"/>
  <c r="C90" i="6" a="1"/>
  <c r="C90" i="6"/>
  <c r="D90" i="6" s="1"/>
  <c r="C91" i="6" a="1"/>
  <c r="C91" i="6"/>
  <c r="D91" i="6" s="1"/>
  <c r="C92" i="6" a="1"/>
  <c r="C92" i="6"/>
  <c r="D92" i="6" s="1"/>
  <c r="C93" i="6" a="1"/>
  <c r="C93" i="6"/>
  <c r="D93" i="6" s="1"/>
  <c r="C94" i="6" a="1"/>
  <c r="C94" i="6"/>
  <c r="D94" i="6" s="1"/>
  <c r="C95" i="6" a="1"/>
  <c r="C95" i="6"/>
  <c r="D95" i="6" s="1"/>
  <c r="C96" i="6" a="1"/>
  <c r="C96" i="6"/>
  <c r="D96" i="6" s="1"/>
  <c r="C97" i="6" a="1"/>
  <c r="C97" i="6"/>
  <c r="D97" i="6" s="1"/>
  <c r="C98" i="6" a="1"/>
  <c r="C98" i="6"/>
  <c r="D98" i="6" s="1"/>
  <c r="C99" i="6" a="1"/>
  <c r="C99" i="6"/>
  <c r="D99" i="6" s="1"/>
  <c r="C100" i="6" a="1"/>
  <c r="C100" i="6"/>
  <c r="D100" i="6" s="1"/>
  <c r="C101" i="6" a="1"/>
  <c r="C101" i="6"/>
  <c r="D101" i="6" s="1"/>
  <c r="C102" i="6" a="1"/>
  <c r="C102" i="6"/>
  <c r="D102" i="6" s="1"/>
  <c r="C103" i="6" a="1"/>
  <c r="C103" i="6"/>
  <c r="D103" i="6" s="1"/>
  <c r="C104" i="6" a="1"/>
  <c r="C104" i="6"/>
  <c r="D104" i="6" s="1"/>
  <c r="C105" i="6" a="1"/>
  <c r="C105" i="6"/>
  <c r="D105" i="6" s="1"/>
  <c r="C106" i="6" a="1"/>
  <c r="C106" i="6"/>
  <c r="D106" i="6" s="1"/>
  <c r="C107" i="6" a="1"/>
  <c r="C107" i="6"/>
  <c r="D107" i="6" s="1"/>
  <c r="C108" i="6" a="1"/>
  <c r="C108" i="6"/>
  <c r="D108" i="6" s="1"/>
  <c r="C109" i="6" a="1"/>
  <c r="C109" i="6"/>
  <c r="D109" i="6" s="1"/>
  <c r="C110" i="6" a="1"/>
  <c r="C110" i="6"/>
  <c r="D110" i="6" s="1"/>
  <c r="C111" i="6" a="1"/>
  <c r="C111" i="6"/>
  <c r="D111" i="6" s="1"/>
  <c r="C112" i="6" a="1"/>
  <c r="C112" i="6"/>
  <c r="D112" i="6" s="1"/>
  <c r="C113" i="6" a="1"/>
  <c r="C113" i="6"/>
  <c r="D113" i="6" s="1"/>
  <c r="C114" i="6" a="1"/>
  <c r="C114" i="6"/>
  <c r="D114" i="6" s="1"/>
  <c r="C115" i="6" a="1"/>
  <c r="C115" i="6"/>
  <c r="D115" i="6" s="1"/>
  <c r="C116" i="6" a="1"/>
  <c r="C116" i="6"/>
  <c r="D116" i="6" s="1"/>
  <c r="C117" i="6" a="1"/>
  <c r="C117" i="6"/>
  <c r="D117" i="6" s="1"/>
  <c r="C118" i="6" a="1"/>
  <c r="C118" i="6"/>
  <c r="D118" i="6" s="1"/>
  <c r="C119" i="6" a="1"/>
  <c r="C119" i="6"/>
  <c r="D119" i="6" s="1"/>
  <c r="C120" i="6" a="1"/>
  <c r="C120" i="6"/>
  <c r="D120" i="6" s="1"/>
  <c r="C121" i="6" a="1"/>
  <c r="C121" i="6"/>
  <c r="D121" i="6" s="1"/>
  <c r="C122" i="6" a="1"/>
  <c r="C122" i="6"/>
  <c r="D122" i="6" s="1"/>
  <c r="C123" i="6" a="1"/>
  <c r="C123" i="6"/>
  <c r="D123" i="6" s="1"/>
  <c r="C124" i="6" a="1"/>
  <c r="C124" i="6"/>
  <c r="D124" i="6" s="1"/>
  <c r="C2" i="6" a="1"/>
  <c r="C2" i="6"/>
  <c r="D2" i="6" s="1"/>
  <c r="D2" i="1"/>
  <c r="C2" i="1"/>
  <c r="B2" i="1"/>
  <c r="D2" i="2"/>
  <c r="C2" i="2"/>
  <c r="B2" i="2"/>
  <c r="D2" i="4"/>
  <c r="C2" i="4"/>
  <c r="B2" i="4"/>
  <c r="D20" i="1"/>
  <c r="D27" i="1"/>
  <c r="D5" i="1"/>
  <c r="D6" i="1"/>
  <c r="D7" i="1"/>
  <c r="D8" i="1"/>
  <c r="D10" i="1"/>
  <c r="D11" i="1"/>
  <c r="D13" i="1"/>
  <c r="D15" i="1"/>
  <c r="D16" i="1"/>
  <c r="D18" i="1"/>
  <c r="D21" i="1"/>
  <c r="D22" i="1"/>
  <c r="D23" i="1"/>
  <c r="D24" i="1"/>
  <c r="D3" i="1"/>
  <c r="C4" i="1"/>
  <c r="C5" i="1"/>
  <c r="C6" i="1"/>
  <c r="C7" i="1"/>
  <c r="C8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3" i="1"/>
  <c r="D3" i="5"/>
  <c r="D2" i="5"/>
  <c r="C4" i="5"/>
  <c r="C3" i="5"/>
  <c r="C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<sst xmlns="http://schemas.openxmlformats.org/spreadsheetml/2006/main" count="243" uniqueCount="56">
  <si>
    <t>Абакан</t>
  </si>
  <si>
    <t>Архангельск</t>
  </si>
  <si>
    <t>Астрахань</t>
  </si>
  <si>
    <t>Барнаул</t>
  </si>
  <si>
    <t>Белгород</t>
  </si>
  <si>
    <t>Благовещенск</t>
  </si>
  <si>
    <t>Брянск</t>
  </si>
  <si>
    <t>Великие Луки</t>
  </si>
  <si>
    <t>Великий Устюг</t>
  </si>
  <si>
    <t>Винница</t>
  </si>
  <si>
    <t>Владивосток</t>
  </si>
  <si>
    <t>Владимир</t>
  </si>
  <si>
    <t>Вологда</t>
  </si>
  <si>
    <t>Воркута</t>
  </si>
  <si>
    <t>Воронеж</t>
  </si>
  <si>
    <t>Выборг</t>
  </si>
  <si>
    <t>Гомель</t>
  </si>
  <si>
    <t>Гродно</t>
  </si>
  <si>
    <t>Гдов</t>
  </si>
  <si>
    <t>Днепропетровск</t>
  </si>
  <si>
    <t>Донецк</t>
  </si>
  <si>
    <t>Дубна</t>
  </si>
  <si>
    <t>Ейск</t>
  </si>
  <si>
    <t>Екатеринбург</t>
  </si>
  <si>
    <t>др города</t>
  </si>
  <si>
    <t>10 кг/ цена за 1 кг</t>
  </si>
  <si>
    <t>20 кг/ цена за 1 кг</t>
  </si>
  <si>
    <t>50 кг/ цена за 1 кг</t>
  </si>
  <si>
    <t xml:space="preserve">потребность, кг </t>
  </si>
  <si>
    <t xml:space="preserve"> </t>
  </si>
  <si>
    <t>"Требуется поставить продукт в разные города. Фирмы А, В и С предложили cвои прайс-листы на перевозку. (в зависимости от объемов поставки)</t>
  </si>
  <si>
    <t>Фирма А имеет тариф 1,12 за перевозку, т.е. стоимость перевозки: цена за 1 кг * кол-во кг * 1,12.</t>
  </si>
  <si>
    <t>Фирма В дала скидку 5%, в прайс-листе цены указаны без скидки.</t>
  </si>
  <si>
    <t>Фирма С имеет тариф 1,12 за перевозку и при определении стоимости перевозки использует коэффициент города, т.е. стоимость перевозки: цена за 1 кг * кол-во кг * 1,12 * коэф. города.</t>
  </si>
  <si>
    <t>Чье предложение, учитывая потребность, указанную на листе demand, выгоднее? Насколько выгоднее?</t>
  </si>
  <si>
    <t>кг</t>
  </si>
  <si>
    <t>Доп. Условия</t>
  </si>
  <si>
    <t>Стоимость с Фирмой A</t>
  </si>
  <si>
    <t>Стоимость с Фирмой С</t>
  </si>
  <si>
    <t>Стоимость с Фирмой B</t>
  </si>
  <si>
    <t>Скидка Фирмы B</t>
  </si>
  <si>
    <t>Тариф Фирмы A</t>
  </si>
  <si>
    <t>Тариф Фирмы С</t>
  </si>
  <si>
    <t>Итог с Фирмой A</t>
  </si>
  <si>
    <t>Итог с Фирмой B</t>
  </si>
  <si>
    <t>Итог с Фирмой C</t>
  </si>
  <si>
    <t>Коэф. Города Фирмы C</t>
  </si>
  <si>
    <t>Итоги</t>
  </si>
  <si>
    <t>Sum of Итог с Фирмой A</t>
  </si>
  <si>
    <t>Sum of Итог с Фирмой B</t>
  </si>
  <si>
    <t>Sum of Итог с Фирмой C</t>
  </si>
  <si>
    <t>Итог</t>
  </si>
  <si>
    <t>Экономия в единицах относительно самого дорогого</t>
  </si>
  <si>
    <t>Экономия в процентах относительно самого дорогого</t>
  </si>
  <si>
    <t>Расчет суммы затрат для удовлетворения потребности по предлагаемым тарифам выявил, что наиболее выгодным предложением является тариф фирмы В, который дешевле самого дорого тарифа фирмы A на 10% или 204288 единиц</t>
  </si>
  <si>
    <t>Итог по фирмам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</si>
</sst>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</font>
    <font>
      <sz val="8"/>
      <name val="Arial"/>
    </font>
    <font>
      <sz val="10"/>
      <name val="Courier New"/>
    </font>
    <font>
      <sz val="10"/>
      <name val="Arial"/>
    </font>
    <font>
      <sz val="22"/>
      <name val="Arial"/>
      <family val="2"/>
    </font>
    <font>
      <b/>
      <sz val="1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9" fontId="0" fillId="0" borderId="0" xfId="0" applyNumberFormat="1"/>
    <xf numFmtId="0" fontId="4" fillId="0" borderId="0" xfId="0" pivotButton="1" applyFont="1"/>
    <xf numFmtId="0" fontId="4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164" fontId="4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wrapText="1"/>
    </xf>
    <xf numFmtId="1" fontId="4" fillId="0" borderId="0" xfId="0" applyNumberFormat="1" applyFont="1"/>
    <xf numFmtId="9" fontId="4" fillId="0" borderId="0" xfId="1" applyFont="1"/>
    <xf numFmtId="0" fontId="6" fillId="0" borderId="0" xfId="0" applyFont="1" applyAlignment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" refreshedDate="45984.69745" createdVersion="8" refreshedVersion="8" minRefreshableVersion="3" recordCount="123" xr:uid="{76505BAC-699A-406E-9052-E074EED93897}">
  <cacheSource type="worksheet">
    <worksheetSource ref="B1:I124" sheet="demand"/>
  </cacheSource>
  <cacheFields count="8">
    <cacheField name="потребность, кг " numFmtId="0">
      <sharedItems containsSemiMixedTypes="0" containsString="0" containsNumber="1" containsInteger="1" minValue="10" maxValue="50"/>
    </cacheField>
    <cacheField name="Стоимость с Фирмой A" numFmtId="0">
      <sharedItems containsSemiMixedTypes="0" containsString="0" containsNumber="1" containsInteger="1" minValue="380" maxValue="1500"/>
    </cacheField>
    <cacheField name="Итог с Фирмой A" numFmtId="0">
      <sharedItems containsSemiMixedTypes="0" containsString="0" containsNumber="1" minValue="4480.0000000000009" maxValue="79800.000000000015" count="30">
        <n v="4480.0000000000009"/>
        <n v="5040.0000000000009"/>
        <n v="7840.0000000000009"/>
        <n v="6384.0000000000009"/>
        <n v="6720.0000000000009"/>
        <n v="5600"/>
        <n v="13440.000000000002"/>
        <n v="14560.000000000002"/>
        <n v="16800.000000000004"/>
        <n v="6160.0000000000009"/>
        <n v="8780.8000000000011"/>
        <n v="9878.4000000000015"/>
        <n v="15366.400000000001"/>
        <n v="12521.6"/>
        <n v="13171.2"/>
        <n v="12073.600000000002"/>
        <n v="10976.000000000002"/>
        <n v="26342.400000000001"/>
        <n v="28537.600000000002"/>
        <n v="32928"/>
        <n v="21280"/>
        <n v="23968.000000000004"/>
        <n v="37240"/>
        <n v="30352.000000000004"/>
        <n v="31920.000000000004"/>
        <n v="29232.000000000004"/>
        <n v="26600"/>
        <n v="63840.000000000007"/>
        <n v="69160"/>
        <n v="79800.000000000015"/>
      </sharedItems>
    </cacheField>
    <cacheField name="Стоимость с Фирмой B" numFmtId="0">
      <sharedItems containsSemiMixedTypes="0" containsString="0" containsNumber="1" containsInteger="1" minValue="399" maxValue="1575"/>
    </cacheField>
    <cacheField name="Итог с Фирмой B" numFmtId="0">
      <sharedItems containsSemiMixedTypes="0" containsString="0" containsNumber="1" minValue="3990" maxValue="71060" count="29">
        <n v="3990"/>
        <n v="4493.5"/>
        <n v="6982.5"/>
        <n v="5690.5"/>
        <n v="5985"/>
        <n v="4987.5"/>
        <n v="11970"/>
        <n v="12967.5"/>
        <n v="14962.5"/>
        <n v="5491"/>
        <n v="7980"/>
        <n v="8987"/>
        <n v="13965"/>
        <n v="11381"/>
        <n v="10982"/>
        <n v="9975"/>
        <n v="23940"/>
        <n v="25935"/>
        <n v="29925"/>
        <n v="18952.499999999996"/>
        <n v="21327.499999999996"/>
        <n v="33155"/>
        <n v="27027.499999999996"/>
        <n v="28452.499999999996"/>
        <n v="26077.499999999996"/>
        <n v="23702.499999999996"/>
        <n v="56857.499999999993"/>
        <n v="61607.499999999993"/>
        <n v="71060"/>
      </sharedItems>
    </cacheField>
    <cacheField name="Стоимость с Фирмой С" numFmtId="0">
      <sharedItems containsSemiMixedTypes="0" containsString="0" containsNumber="1" containsInteger="1" minValue="400" maxValue="450"/>
    </cacheField>
    <cacheField name="Коэф. Города Фирмы C" numFmtId="0">
      <sharedItems containsSemiMixedTypes="0" containsString="0" containsNumber="1" minValue="0.5" maxValue="3"/>
    </cacheField>
    <cacheField name="Итог с Фирмой C" numFmtId="0">
      <sharedItems containsSemiMixedTypes="0" containsString="0" containsNumber="1" minValue="2520.0000000000005" maxValue="67200.000000000015" count="33">
        <n v="4788.0000000000009"/>
        <n v="4939.2000000000007"/>
        <n v="10080.000000000002"/>
        <n v="2520.0000000000005"/>
        <n v="6048.0000000000009"/>
        <n v="5040.0000000000009"/>
        <n v="6552"/>
        <n v="4536"/>
        <n v="7560.0000000000009"/>
        <n v="3528"/>
        <n v="15120.000000000002"/>
        <n v="9150.4000000000015"/>
        <n v="9439.36"/>
        <n v="19264"/>
        <n v="4816"/>
        <n v="11558.400000000001"/>
        <n v="9632"/>
        <n v="12521.6"/>
        <n v="8668.8000000000011"/>
        <n v="14448.000000000002"/>
        <n v="6742.4"/>
        <n v="28896.000000000004"/>
        <n v="21280"/>
        <n v="21952"/>
        <n v="44800.000000000007"/>
        <n v="11200.000000000002"/>
        <n v="26880"/>
        <n v="22400.000000000004"/>
        <n v="29120.000000000004"/>
        <n v="20160.000000000004"/>
        <n v="33600.000000000007"/>
        <n v="15680.000000000002"/>
        <n v="67200.0000000000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">
  <r>
    <n v="10"/>
    <n v="400"/>
    <x v="0"/>
    <n v="420"/>
    <x v="0"/>
    <n v="450"/>
    <n v="0.95"/>
    <x v="0"/>
  </r>
  <r>
    <n v="10"/>
    <n v="450"/>
    <x v="1"/>
    <n v="473"/>
    <x v="1"/>
    <n v="450"/>
    <n v="0.98"/>
    <x v="1"/>
  </r>
  <r>
    <n v="10"/>
    <n v="700"/>
    <x v="2"/>
    <n v="735"/>
    <x v="2"/>
    <n v="450"/>
    <n v="2"/>
    <x v="2"/>
  </r>
  <r>
    <n v="10"/>
    <n v="400"/>
    <x v="0"/>
    <n v="420"/>
    <x v="0"/>
    <n v="450"/>
    <n v="0.5"/>
    <x v="3"/>
  </r>
  <r>
    <n v="10"/>
    <n v="400"/>
    <x v="0"/>
    <n v="420"/>
    <x v="0"/>
    <n v="450"/>
    <n v="1.2"/>
    <x v="4"/>
  </r>
  <r>
    <n v="10"/>
    <n v="400"/>
    <x v="0"/>
    <n v="420"/>
    <x v="0"/>
    <n v="450"/>
    <n v="1"/>
    <x v="5"/>
  </r>
  <r>
    <n v="10"/>
    <n v="570"/>
    <x v="3"/>
    <n v="599"/>
    <x v="3"/>
    <n v="450"/>
    <n v="1.3"/>
    <x v="6"/>
  </r>
  <r>
    <n v="10"/>
    <n v="700"/>
    <x v="2"/>
    <n v="735"/>
    <x v="2"/>
    <n v="450"/>
    <n v="2"/>
    <x v="2"/>
  </r>
  <r>
    <n v="10"/>
    <n v="600"/>
    <x v="4"/>
    <n v="630"/>
    <x v="4"/>
    <n v="450"/>
    <n v="0.95"/>
    <x v="0"/>
  </r>
  <r>
    <n v="10"/>
    <n v="700"/>
    <x v="2"/>
    <n v="735"/>
    <x v="2"/>
    <n v="450"/>
    <n v="0.9"/>
    <x v="7"/>
  </r>
  <r>
    <n v="10"/>
    <n v="450"/>
    <x v="1"/>
    <n v="473"/>
    <x v="1"/>
    <n v="450"/>
    <n v="1.5"/>
    <x v="8"/>
  </r>
  <r>
    <n v="10"/>
    <n v="500"/>
    <x v="5"/>
    <n v="525"/>
    <x v="5"/>
    <n v="450"/>
    <n v="1"/>
    <x v="5"/>
  </r>
  <r>
    <n v="10"/>
    <n v="600"/>
    <x v="4"/>
    <n v="630"/>
    <x v="4"/>
    <n v="450"/>
    <n v="0.7"/>
    <x v="9"/>
  </r>
  <r>
    <n v="10"/>
    <n v="450"/>
    <x v="1"/>
    <n v="473"/>
    <x v="1"/>
    <n v="450"/>
    <n v="1.5"/>
    <x v="8"/>
  </r>
  <r>
    <n v="10"/>
    <n v="500"/>
    <x v="5"/>
    <n v="525"/>
    <x v="5"/>
    <n v="450"/>
    <n v="1.5"/>
    <x v="8"/>
  </r>
  <r>
    <n v="10"/>
    <n v="450"/>
    <x v="1"/>
    <n v="473"/>
    <x v="1"/>
    <n v="450"/>
    <n v="1.5"/>
    <x v="8"/>
  </r>
  <r>
    <n v="10"/>
    <n v="1200"/>
    <x v="6"/>
    <n v="1260"/>
    <x v="6"/>
    <n v="450"/>
    <n v="3"/>
    <x v="10"/>
  </r>
  <r>
    <n v="10"/>
    <n v="1200"/>
    <x v="6"/>
    <n v="1260"/>
    <x v="6"/>
    <n v="450"/>
    <n v="3"/>
    <x v="10"/>
  </r>
  <r>
    <n v="10"/>
    <n v="1300"/>
    <x v="7"/>
    <n v="1365"/>
    <x v="7"/>
    <n v="450"/>
    <n v="3"/>
    <x v="10"/>
  </r>
  <r>
    <n v="10"/>
    <n v="1300"/>
    <x v="7"/>
    <n v="1365"/>
    <x v="7"/>
    <n v="450"/>
    <n v="3"/>
    <x v="10"/>
  </r>
  <r>
    <n v="10"/>
    <n v="1500"/>
    <x v="8"/>
    <n v="1575"/>
    <x v="8"/>
    <n v="450"/>
    <n v="3"/>
    <x v="10"/>
  </r>
  <r>
    <n v="10"/>
    <n v="450"/>
    <x v="1"/>
    <n v="473"/>
    <x v="1"/>
    <n v="450"/>
    <n v="0.9"/>
    <x v="7"/>
  </r>
  <r>
    <n v="10"/>
    <n v="700"/>
    <x v="2"/>
    <n v="735"/>
    <x v="2"/>
    <n v="450"/>
    <n v="1.5"/>
    <x v="8"/>
  </r>
  <r>
    <n v="10"/>
    <n v="400"/>
    <x v="0"/>
    <n v="420"/>
    <x v="0"/>
    <n v="450"/>
    <n v="0.95"/>
    <x v="0"/>
  </r>
  <r>
    <n v="10"/>
    <n v="450"/>
    <x v="1"/>
    <n v="473"/>
    <x v="1"/>
    <n v="450"/>
    <n v="0.98"/>
    <x v="1"/>
  </r>
  <r>
    <n v="10"/>
    <n v="700"/>
    <x v="2"/>
    <n v="735"/>
    <x v="2"/>
    <n v="450"/>
    <n v="2"/>
    <x v="2"/>
  </r>
  <r>
    <n v="10"/>
    <n v="400"/>
    <x v="0"/>
    <n v="420"/>
    <x v="0"/>
    <n v="450"/>
    <n v="0.5"/>
    <x v="3"/>
  </r>
  <r>
    <n v="10"/>
    <n v="400"/>
    <x v="0"/>
    <n v="420"/>
    <x v="0"/>
    <n v="450"/>
    <n v="1.2"/>
    <x v="4"/>
  </r>
  <r>
    <n v="10"/>
    <n v="400"/>
    <x v="0"/>
    <n v="420"/>
    <x v="0"/>
    <n v="450"/>
    <n v="1"/>
    <x v="5"/>
  </r>
  <r>
    <n v="10"/>
    <n v="570"/>
    <x v="3"/>
    <n v="599"/>
    <x v="3"/>
    <n v="450"/>
    <n v="1.3"/>
    <x v="6"/>
  </r>
  <r>
    <n v="10"/>
    <n v="700"/>
    <x v="2"/>
    <n v="735"/>
    <x v="2"/>
    <n v="450"/>
    <n v="2"/>
    <x v="2"/>
  </r>
  <r>
    <n v="10"/>
    <n v="600"/>
    <x v="4"/>
    <n v="630"/>
    <x v="4"/>
    <n v="450"/>
    <n v="0.95"/>
    <x v="0"/>
  </r>
  <r>
    <n v="10"/>
    <n v="550"/>
    <x v="9"/>
    <n v="578"/>
    <x v="9"/>
    <n v="450"/>
    <n v="0.9"/>
    <x v="7"/>
  </r>
  <r>
    <n v="10"/>
    <n v="700"/>
    <x v="2"/>
    <n v="735"/>
    <x v="2"/>
    <n v="450"/>
    <n v="0.9"/>
    <x v="7"/>
  </r>
  <r>
    <n v="10"/>
    <n v="450"/>
    <x v="1"/>
    <n v="473"/>
    <x v="1"/>
    <n v="450"/>
    <n v="1.5"/>
    <x v="8"/>
  </r>
  <r>
    <n v="10"/>
    <n v="500"/>
    <x v="5"/>
    <n v="525"/>
    <x v="5"/>
    <n v="450"/>
    <n v="1"/>
    <x v="5"/>
  </r>
  <r>
    <n v="10"/>
    <n v="600"/>
    <x v="4"/>
    <n v="630"/>
    <x v="4"/>
    <n v="450"/>
    <n v="0.7"/>
    <x v="9"/>
  </r>
  <r>
    <n v="10"/>
    <n v="450"/>
    <x v="1"/>
    <n v="473"/>
    <x v="1"/>
    <n v="450"/>
    <n v="1.5"/>
    <x v="8"/>
  </r>
  <r>
    <n v="10"/>
    <n v="500"/>
    <x v="5"/>
    <n v="525"/>
    <x v="5"/>
    <n v="450"/>
    <n v="1.5"/>
    <x v="8"/>
  </r>
  <r>
    <n v="10"/>
    <n v="450"/>
    <x v="1"/>
    <n v="473"/>
    <x v="1"/>
    <n v="450"/>
    <n v="1.5"/>
    <x v="8"/>
  </r>
  <r>
    <n v="10"/>
    <n v="1200"/>
    <x v="6"/>
    <n v="1260"/>
    <x v="6"/>
    <n v="450"/>
    <n v="3"/>
    <x v="10"/>
  </r>
  <r>
    <n v="10"/>
    <n v="1200"/>
    <x v="6"/>
    <n v="1260"/>
    <x v="6"/>
    <n v="450"/>
    <n v="3"/>
    <x v="10"/>
  </r>
  <r>
    <n v="10"/>
    <n v="1300"/>
    <x v="7"/>
    <n v="1365"/>
    <x v="7"/>
    <n v="450"/>
    <n v="3"/>
    <x v="10"/>
  </r>
  <r>
    <n v="10"/>
    <n v="1300"/>
    <x v="7"/>
    <n v="1365"/>
    <x v="7"/>
    <n v="450"/>
    <n v="3"/>
    <x v="10"/>
  </r>
  <r>
    <n v="10"/>
    <n v="1500"/>
    <x v="8"/>
    <n v="1575"/>
    <x v="8"/>
    <n v="450"/>
    <n v="3"/>
    <x v="10"/>
  </r>
  <r>
    <n v="10"/>
    <n v="450"/>
    <x v="1"/>
    <n v="473"/>
    <x v="1"/>
    <n v="450"/>
    <n v="1"/>
    <x v="5"/>
  </r>
  <r>
    <n v="10"/>
    <n v="450"/>
    <x v="1"/>
    <n v="473"/>
    <x v="1"/>
    <n v="450"/>
    <n v="0.9"/>
    <x v="7"/>
  </r>
  <r>
    <n v="10"/>
    <n v="700"/>
    <x v="2"/>
    <n v="735"/>
    <x v="2"/>
    <n v="450"/>
    <n v="1.5"/>
    <x v="8"/>
  </r>
  <r>
    <n v="20"/>
    <n v="392"/>
    <x v="10"/>
    <n v="420"/>
    <x v="10"/>
    <n v="430"/>
    <n v="0.95"/>
    <x v="11"/>
  </r>
  <r>
    <n v="20"/>
    <n v="441"/>
    <x v="11"/>
    <n v="473"/>
    <x v="11"/>
    <n v="430"/>
    <n v="0.98"/>
    <x v="12"/>
  </r>
  <r>
    <n v="20"/>
    <n v="686"/>
    <x v="12"/>
    <n v="735"/>
    <x v="12"/>
    <n v="430"/>
    <n v="2"/>
    <x v="13"/>
  </r>
  <r>
    <n v="20"/>
    <n v="392"/>
    <x v="10"/>
    <n v="420"/>
    <x v="10"/>
    <n v="430"/>
    <n v="0.5"/>
    <x v="14"/>
  </r>
  <r>
    <n v="20"/>
    <n v="392"/>
    <x v="10"/>
    <n v="420"/>
    <x v="10"/>
    <n v="430"/>
    <n v="1.2"/>
    <x v="15"/>
  </r>
  <r>
    <n v="20"/>
    <n v="392"/>
    <x v="10"/>
    <n v="420"/>
    <x v="10"/>
    <n v="430"/>
    <n v="1"/>
    <x v="16"/>
  </r>
  <r>
    <n v="20"/>
    <n v="559"/>
    <x v="13"/>
    <n v="599"/>
    <x v="13"/>
    <n v="430"/>
    <n v="1.3"/>
    <x v="17"/>
  </r>
  <r>
    <n v="20"/>
    <n v="686"/>
    <x v="12"/>
    <n v="735"/>
    <x v="12"/>
    <n v="430"/>
    <n v="2"/>
    <x v="13"/>
  </r>
  <r>
    <n v="20"/>
    <n v="588"/>
    <x v="14"/>
    <n v="630"/>
    <x v="6"/>
    <n v="430"/>
    <n v="0.95"/>
    <x v="11"/>
  </r>
  <r>
    <n v="20"/>
    <n v="539"/>
    <x v="15"/>
    <n v="578"/>
    <x v="14"/>
    <n v="430"/>
    <n v="0.9"/>
    <x v="18"/>
  </r>
  <r>
    <n v="20"/>
    <n v="686"/>
    <x v="12"/>
    <n v="735"/>
    <x v="12"/>
    <n v="430"/>
    <n v="0.9"/>
    <x v="18"/>
  </r>
  <r>
    <n v="20"/>
    <n v="441"/>
    <x v="11"/>
    <n v="473"/>
    <x v="11"/>
    <n v="430"/>
    <n v="1.5"/>
    <x v="19"/>
  </r>
  <r>
    <n v="20"/>
    <n v="490"/>
    <x v="16"/>
    <n v="525"/>
    <x v="15"/>
    <n v="430"/>
    <n v="1"/>
    <x v="16"/>
  </r>
  <r>
    <n v="20"/>
    <n v="588"/>
    <x v="14"/>
    <n v="630"/>
    <x v="6"/>
    <n v="430"/>
    <n v="0.7"/>
    <x v="20"/>
  </r>
  <r>
    <n v="20"/>
    <n v="441"/>
    <x v="11"/>
    <n v="473"/>
    <x v="11"/>
    <n v="430"/>
    <n v="1.5"/>
    <x v="19"/>
  </r>
  <r>
    <n v="20"/>
    <n v="490"/>
    <x v="16"/>
    <n v="525"/>
    <x v="15"/>
    <n v="430"/>
    <n v="1.5"/>
    <x v="19"/>
  </r>
  <r>
    <n v="20"/>
    <n v="441"/>
    <x v="11"/>
    <n v="473"/>
    <x v="11"/>
    <n v="430"/>
    <n v="1.5"/>
    <x v="19"/>
  </r>
  <r>
    <n v="20"/>
    <n v="1176"/>
    <x v="17"/>
    <n v="1260"/>
    <x v="16"/>
    <n v="430"/>
    <n v="3"/>
    <x v="21"/>
  </r>
  <r>
    <n v="20"/>
    <n v="1176"/>
    <x v="17"/>
    <n v="1260"/>
    <x v="16"/>
    <n v="430"/>
    <n v="3"/>
    <x v="21"/>
  </r>
  <r>
    <n v="20"/>
    <n v="1274"/>
    <x v="18"/>
    <n v="1365"/>
    <x v="17"/>
    <n v="430"/>
    <n v="3"/>
    <x v="21"/>
  </r>
  <r>
    <n v="20"/>
    <n v="1274"/>
    <x v="18"/>
    <n v="1365"/>
    <x v="17"/>
    <n v="430"/>
    <n v="3"/>
    <x v="21"/>
  </r>
  <r>
    <n v="20"/>
    <n v="1470"/>
    <x v="19"/>
    <n v="1575"/>
    <x v="18"/>
    <n v="430"/>
    <n v="3"/>
    <x v="21"/>
  </r>
  <r>
    <n v="20"/>
    <n v="441"/>
    <x v="11"/>
    <n v="473"/>
    <x v="11"/>
    <n v="430"/>
    <n v="1"/>
    <x v="16"/>
  </r>
  <r>
    <n v="20"/>
    <n v="441"/>
    <x v="11"/>
    <n v="473"/>
    <x v="11"/>
    <n v="430"/>
    <n v="0.9"/>
    <x v="18"/>
  </r>
  <r>
    <n v="20"/>
    <n v="686"/>
    <x v="12"/>
    <n v="735"/>
    <x v="12"/>
    <n v="430"/>
    <n v="1.5"/>
    <x v="19"/>
  </r>
  <r>
    <n v="20"/>
    <n v="392"/>
    <x v="10"/>
    <n v="420"/>
    <x v="10"/>
    <n v="430"/>
    <n v="0.95"/>
    <x v="11"/>
  </r>
  <r>
    <n v="20"/>
    <n v="441"/>
    <x v="11"/>
    <n v="473"/>
    <x v="11"/>
    <n v="430"/>
    <n v="0.98"/>
    <x v="12"/>
  </r>
  <r>
    <n v="20"/>
    <n v="686"/>
    <x v="12"/>
    <n v="735"/>
    <x v="12"/>
    <n v="430"/>
    <n v="2"/>
    <x v="13"/>
  </r>
  <r>
    <n v="20"/>
    <n v="392"/>
    <x v="10"/>
    <n v="420"/>
    <x v="10"/>
    <n v="430"/>
    <n v="0.5"/>
    <x v="14"/>
  </r>
  <r>
    <n v="20"/>
    <n v="392"/>
    <x v="10"/>
    <n v="420"/>
    <x v="10"/>
    <n v="430"/>
    <n v="1.2"/>
    <x v="15"/>
  </r>
  <r>
    <n v="20"/>
    <n v="392"/>
    <x v="10"/>
    <n v="420"/>
    <x v="10"/>
    <n v="430"/>
    <n v="1"/>
    <x v="16"/>
  </r>
  <r>
    <n v="20"/>
    <n v="559"/>
    <x v="13"/>
    <n v="599"/>
    <x v="13"/>
    <n v="430"/>
    <n v="1.3"/>
    <x v="17"/>
  </r>
  <r>
    <n v="20"/>
    <n v="686"/>
    <x v="12"/>
    <n v="735"/>
    <x v="12"/>
    <n v="430"/>
    <n v="2"/>
    <x v="13"/>
  </r>
  <r>
    <n v="20"/>
    <n v="588"/>
    <x v="14"/>
    <n v="630"/>
    <x v="6"/>
    <n v="430"/>
    <n v="0.95"/>
    <x v="11"/>
  </r>
  <r>
    <n v="20"/>
    <n v="539"/>
    <x v="15"/>
    <n v="578"/>
    <x v="14"/>
    <n v="430"/>
    <n v="0.9"/>
    <x v="18"/>
  </r>
  <r>
    <n v="20"/>
    <n v="686"/>
    <x v="12"/>
    <n v="735"/>
    <x v="12"/>
    <n v="430"/>
    <n v="0.9"/>
    <x v="18"/>
  </r>
  <r>
    <n v="20"/>
    <n v="441"/>
    <x v="11"/>
    <n v="473"/>
    <x v="11"/>
    <n v="430"/>
    <n v="1.5"/>
    <x v="19"/>
  </r>
  <r>
    <n v="20"/>
    <n v="490"/>
    <x v="16"/>
    <n v="525"/>
    <x v="15"/>
    <n v="430"/>
    <n v="1"/>
    <x v="16"/>
  </r>
  <r>
    <n v="20"/>
    <n v="588"/>
    <x v="14"/>
    <n v="630"/>
    <x v="6"/>
    <n v="430"/>
    <n v="0.7"/>
    <x v="20"/>
  </r>
  <r>
    <n v="20"/>
    <n v="441"/>
    <x v="11"/>
    <n v="473"/>
    <x v="11"/>
    <n v="430"/>
    <n v="1.5"/>
    <x v="19"/>
  </r>
  <r>
    <n v="20"/>
    <n v="490"/>
    <x v="16"/>
    <n v="525"/>
    <x v="15"/>
    <n v="430"/>
    <n v="1.5"/>
    <x v="19"/>
  </r>
  <r>
    <n v="20"/>
    <n v="441"/>
    <x v="11"/>
    <n v="473"/>
    <x v="11"/>
    <n v="430"/>
    <n v="1.5"/>
    <x v="19"/>
  </r>
  <r>
    <n v="20"/>
    <n v="1176"/>
    <x v="17"/>
    <n v="1260"/>
    <x v="16"/>
    <n v="430"/>
    <n v="3"/>
    <x v="21"/>
  </r>
  <r>
    <n v="20"/>
    <n v="1176"/>
    <x v="17"/>
    <n v="1260"/>
    <x v="16"/>
    <n v="430"/>
    <n v="3"/>
    <x v="21"/>
  </r>
  <r>
    <n v="20"/>
    <n v="1274"/>
    <x v="18"/>
    <n v="1365"/>
    <x v="17"/>
    <n v="430"/>
    <n v="3"/>
    <x v="21"/>
  </r>
  <r>
    <n v="20"/>
    <n v="1274"/>
    <x v="18"/>
    <n v="1365"/>
    <x v="17"/>
    <n v="430"/>
    <n v="3"/>
    <x v="21"/>
  </r>
  <r>
    <n v="20"/>
    <n v="1470"/>
    <x v="19"/>
    <n v="1575"/>
    <x v="18"/>
    <n v="430"/>
    <n v="3"/>
    <x v="21"/>
  </r>
  <r>
    <n v="20"/>
    <n v="441"/>
    <x v="11"/>
    <n v="473"/>
    <x v="11"/>
    <n v="430"/>
    <n v="1"/>
    <x v="16"/>
  </r>
  <r>
    <n v="20"/>
    <n v="441"/>
    <x v="11"/>
    <n v="473"/>
    <x v="11"/>
    <n v="430"/>
    <n v="0.9"/>
    <x v="18"/>
  </r>
  <r>
    <n v="20"/>
    <n v="686"/>
    <x v="12"/>
    <n v="735"/>
    <x v="12"/>
    <n v="430"/>
    <n v="1.5"/>
    <x v="19"/>
  </r>
  <r>
    <n v="50"/>
    <n v="380"/>
    <x v="20"/>
    <n v="399"/>
    <x v="19"/>
    <n v="400"/>
    <n v="0.95"/>
    <x v="22"/>
  </r>
  <r>
    <n v="50"/>
    <n v="428"/>
    <x v="21"/>
    <n v="449"/>
    <x v="20"/>
    <n v="400"/>
    <n v="0.98"/>
    <x v="23"/>
  </r>
  <r>
    <n v="50"/>
    <n v="665"/>
    <x v="22"/>
    <n v="698"/>
    <x v="21"/>
    <n v="400"/>
    <n v="2"/>
    <x v="24"/>
  </r>
  <r>
    <n v="50"/>
    <n v="380"/>
    <x v="20"/>
    <n v="399"/>
    <x v="19"/>
    <n v="400"/>
    <n v="0.5"/>
    <x v="25"/>
  </r>
  <r>
    <n v="50"/>
    <n v="380"/>
    <x v="20"/>
    <n v="399"/>
    <x v="19"/>
    <n v="400"/>
    <n v="1.2"/>
    <x v="26"/>
  </r>
  <r>
    <n v="50"/>
    <n v="380"/>
    <x v="20"/>
    <n v="399"/>
    <x v="19"/>
    <n v="400"/>
    <n v="1"/>
    <x v="27"/>
  </r>
  <r>
    <n v="50"/>
    <n v="542"/>
    <x v="23"/>
    <n v="569"/>
    <x v="22"/>
    <n v="400"/>
    <n v="1.3"/>
    <x v="28"/>
  </r>
  <r>
    <n v="50"/>
    <n v="665"/>
    <x v="22"/>
    <n v="698"/>
    <x v="21"/>
    <n v="400"/>
    <n v="2"/>
    <x v="24"/>
  </r>
  <r>
    <n v="50"/>
    <n v="570"/>
    <x v="24"/>
    <n v="599"/>
    <x v="23"/>
    <n v="400"/>
    <n v="0.95"/>
    <x v="22"/>
  </r>
  <r>
    <n v="50"/>
    <n v="522"/>
    <x v="25"/>
    <n v="549"/>
    <x v="24"/>
    <n v="400"/>
    <n v="0.9"/>
    <x v="29"/>
  </r>
  <r>
    <n v="50"/>
    <n v="665"/>
    <x v="22"/>
    <n v="698"/>
    <x v="21"/>
    <n v="400"/>
    <n v="0.9"/>
    <x v="29"/>
  </r>
  <r>
    <n v="50"/>
    <n v="428"/>
    <x v="21"/>
    <n v="449"/>
    <x v="20"/>
    <n v="400"/>
    <n v="1.5"/>
    <x v="30"/>
  </r>
  <r>
    <n v="50"/>
    <n v="475"/>
    <x v="26"/>
    <n v="499"/>
    <x v="25"/>
    <n v="400"/>
    <n v="1"/>
    <x v="27"/>
  </r>
  <r>
    <n v="50"/>
    <n v="570"/>
    <x v="24"/>
    <n v="599"/>
    <x v="23"/>
    <n v="400"/>
    <n v="0.7"/>
    <x v="31"/>
  </r>
  <r>
    <n v="50"/>
    <n v="428"/>
    <x v="21"/>
    <n v="449"/>
    <x v="20"/>
    <n v="400"/>
    <n v="1.5"/>
    <x v="30"/>
  </r>
  <r>
    <n v="50"/>
    <n v="475"/>
    <x v="26"/>
    <n v="499"/>
    <x v="25"/>
    <n v="400"/>
    <n v="1.5"/>
    <x v="30"/>
  </r>
  <r>
    <n v="50"/>
    <n v="428"/>
    <x v="21"/>
    <n v="449"/>
    <x v="20"/>
    <n v="400"/>
    <n v="1.5"/>
    <x v="30"/>
  </r>
  <r>
    <n v="50"/>
    <n v="1140"/>
    <x v="27"/>
    <n v="1197"/>
    <x v="26"/>
    <n v="400"/>
    <n v="3"/>
    <x v="32"/>
  </r>
  <r>
    <n v="50"/>
    <n v="1140"/>
    <x v="27"/>
    <n v="1197"/>
    <x v="26"/>
    <n v="400"/>
    <n v="3"/>
    <x v="32"/>
  </r>
  <r>
    <n v="50"/>
    <n v="1235"/>
    <x v="28"/>
    <n v="1297"/>
    <x v="27"/>
    <n v="400"/>
    <n v="3"/>
    <x v="32"/>
  </r>
  <r>
    <n v="50"/>
    <n v="1235"/>
    <x v="28"/>
    <n v="1297"/>
    <x v="27"/>
    <n v="400"/>
    <n v="3"/>
    <x v="32"/>
  </r>
  <r>
    <n v="50"/>
    <n v="1425"/>
    <x v="29"/>
    <n v="1496"/>
    <x v="28"/>
    <n v="400"/>
    <n v="3"/>
    <x v="32"/>
  </r>
  <r>
    <n v="50"/>
    <n v="428"/>
    <x v="21"/>
    <n v="449"/>
    <x v="20"/>
    <n v="400"/>
    <n v="1"/>
    <x v="27"/>
  </r>
  <r>
    <n v="50"/>
    <n v="428"/>
    <x v="21"/>
    <n v="449"/>
    <x v="20"/>
    <n v="400"/>
    <n v="0.9"/>
    <x v="29"/>
  </r>
  <r>
    <n v="50"/>
    <n v="665"/>
    <x v="22"/>
    <n v="698"/>
    <x v="21"/>
    <n v="400"/>
    <n v="1.5"/>
    <x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4BF114-07C5-4C8B-85BD-5DF17FF4B748}" name="PivotTable1" cacheId="0" dataOnRows="1" applyNumberFormats="0" applyBorderFormats="0" applyFontFormats="0" applyPatternFormats="0" applyAlignmentFormats="0" applyWidthHeightFormats="1" dataCaption="Итог по фирмам" updatedVersion="8" minRefreshableVersion="3" useAutoFormatting="1" itemPrintTitles="1" createdVersion="8" indent="0" outline="1" outlineData="1" multipleFieldFilters="0">
  <location ref="A3:B6" firstHeaderRow="1" firstDataRow="1" firstDataCol="1"/>
  <pivotFields count="8">
    <pivotField showAll="0"/>
    <pivotField showAll="0"/>
    <pivotField dataField="1" showAll="0">
      <items count="31">
        <item x="0"/>
        <item x="1"/>
        <item x="5"/>
        <item x="9"/>
        <item x="3"/>
        <item x="4"/>
        <item x="2"/>
        <item x="10"/>
        <item x="11"/>
        <item x="16"/>
        <item x="15"/>
        <item x="13"/>
        <item x="14"/>
        <item x="6"/>
        <item x="7"/>
        <item x="12"/>
        <item x="8"/>
        <item x="20"/>
        <item x="21"/>
        <item x="17"/>
        <item x="26"/>
        <item x="18"/>
        <item x="25"/>
        <item x="23"/>
        <item x="24"/>
        <item x="19"/>
        <item x="22"/>
        <item x="27"/>
        <item x="28"/>
        <item x="29"/>
        <item t="default"/>
      </items>
    </pivotField>
    <pivotField showAll="0"/>
    <pivotField dataField="1" showAll="0">
      <items count="30">
        <item x="0"/>
        <item x="1"/>
        <item x="5"/>
        <item x="9"/>
        <item x="3"/>
        <item x="4"/>
        <item x="2"/>
        <item x="10"/>
        <item x="11"/>
        <item x="15"/>
        <item x="14"/>
        <item x="13"/>
        <item x="6"/>
        <item x="7"/>
        <item x="12"/>
        <item x="8"/>
        <item x="19"/>
        <item x="20"/>
        <item x="25"/>
        <item x="16"/>
        <item x="17"/>
        <item x="24"/>
        <item x="22"/>
        <item x="23"/>
        <item x="18"/>
        <item x="21"/>
        <item x="26"/>
        <item x="27"/>
        <item x="28"/>
        <item t="default"/>
      </items>
    </pivotField>
    <pivotField showAll="0"/>
    <pivotField showAll="0"/>
    <pivotField dataField="1" showAll="0">
      <items count="34">
        <item x="3"/>
        <item x="9"/>
        <item x="7"/>
        <item x="0"/>
        <item x="14"/>
        <item x="1"/>
        <item x="5"/>
        <item x="4"/>
        <item x="6"/>
        <item x="20"/>
        <item x="8"/>
        <item x="18"/>
        <item x="11"/>
        <item x="12"/>
        <item x="16"/>
        <item x="2"/>
        <item x="25"/>
        <item x="15"/>
        <item x="17"/>
        <item x="19"/>
        <item x="10"/>
        <item x="31"/>
        <item x="13"/>
        <item x="29"/>
        <item x="22"/>
        <item x="23"/>
        <item x="27"/>
        <item x="26"/>
        <item x="21"/>
        <item x="28"/>
        <item x="30"/>
        <item x="24"/>
        <item x="32"/>
        <item t="default"/>
      </items>
    </pivotField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Sum of Итог с Фирмой A" fld="2" baseField="0" baseItem="0"/>
    <dataField name="Sum of Итог с Фирмой B" fld="4" baseField="0" baseItem="0"/>
    <dataField name="Sum of Итог с Фирмой C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zoomScale="205" zoomScaleNormal="205" workbookViewId="0">
      <selection activeCell="A6" sqref="A6"/>
    </sheetView>
  </sheetViews>
  <sheetFormatPr defaultRowHeight="12.75" x14ac:dyDescent="0.2"/>
  <cols>
    <col min="1" max="1" width="172.7109375" customWidth="1"/>
  </cols>
  <sheetData>
    <row r="1" spans="1:1" ht="13.5" x14ac:dyDescent="0.25">
      <c r="A1" s="2" t="s">
        <v>30</v>
      </c>
    </row>
    <row r="2" spans="1:1" ht="13.5" x14ac:dyDescent="0.25">
      <c r="A2" s="2" t="s">
        <v>29</v>
      </c>
    </row>
    <row r="3" spans="1:1" ht="13.5" x14ac:dyDescent="0.25">
      <c r="A3" s="2" t="s">
        <v>31</v>
      </c>
    </row>
    <row r="4" spans="1:1" ht="13.5" x14ac:dyDescent="0.25">
      <c r="A4" s="2" t="s">
        <v>29</v>
      </c>
    </row>
    <row r="5" spans="1:1" ht="13.5" x14ac:dyDescent="0.25">
      <c r="A5" s="2" t="s">
        <v>32</v>
      </c>
    </row>
    <row r="6" spans="1:1" ht="13.5" x14ac:dyDescent="0.25">
      <c r="A6" s="2" t="s">
        <v>29</v>
      </c>
    </row>
    <row r="7" spans="1:1" ht="13.5" x14ac:dyDescent="0.25">
      <c r="A7" s="2" t="s">
        <v>33</v>
      </c>
    </row>
    <row r="8" spans="1:1" ht="13.5" x14ac:dyDescent="0.25">
      <c r="A8" s="2" t="s">
        <v>29</v>
      </c>
    </row>
    <row r="9" spans="1:1" ht="13.5" x14ac:dyDescent="0.25">
      <c r="A9" s="2" t="s">
        <v>34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selection activeCell="B2" sqref="B2:D2"/>
    </sheetView>
  </sheetViews>
  <sheetFormatPr defaultRowHeight="12.75" x14ac:dyDescent="0.2"/>
  <cols>
    <col min="1" max="1" width="15.85546875" customWidth="1"/>
    <col min="2" max="4" width="10.140625" style="4" customWidth="1"/>
  </cols>
  <sheetData>
    <row r="1" spans="1:5" ht="25.5" customHeight="1" x14ac:dyDescent="0.2">
      <c r="B1" s="3" t="s">
        <v>25</v>
      </c>
      <c r="C1" s="3" t="s">
        <v>26</v>
      </c>
      <c r="D1" s="3" t="s">
        <v>27</v>
      </c>
      <c r="E1" s="3"/>
    </row>
    <row r="2" spans="1:5" ht="25.5" customHeight="1" x14ac:dyDescent="0.2">
      <c r="A2" t="s">
        <v>35</v>
      </c>
      <c r="B2" s="3">
        <f>10</f>
        <v>10</v>
      </c>
      <c r="C2" s="3">
        <f>20</f>
        <v>20</v>
      </c>
      <c r="D2" s="3">
        <f>50</f>
        <v>50</v>
      </c>
    </row>
    <row r="3" spans="1:5" x14ac:dyDescent="0.2">
      <c r="A3" t="s">
        <v>0</v>
      </c>
      <c r="B3" s="4">
        <v>400</v>
      </c>
      <c r="C3" s="4">
        <f>B3*0.98</f>
        <v>392</v>
      </c>
      <c r="D3" s="4">
        <f>B3*0.95</f>
        <v>380</v>
      </c>
    </row>
    <row r="4" spans="1:5" x14ac:dyDescent="0.2">
      <c r="A4" t="s">
        <v>1</v>
      </c>
      <c r="B4" s="4">
        <v>450</v>
      </c>
      <c r="C4" s="4">
        <f t="shared" ref="C4:C27" si="0">B4*0.98</f>
        <v>441</v>
      </c>
      <c r="D4" s="4">
        <v>428</v>
      </c>
    </row>
    <row r="5" spans="1:5" x14ac:dyDescent="0.2">
      <c r="A5" t="s">
        <v>2</v>
      </c>
      <c r="B5" s="4">
        <v>700</v>
      </c>
      <c r="C5" s="4">
        <f t="shared" si="0"/>
        <v>686</v>
      </c>
      <c r="D5" s="4">
        <f t="shared" ref="D5:D24" si="1">B5*0.95</f>
        <v>665</v>
      </c>
    </row>
    <row r="6" spans="1:5" x14ac:dyDescent="0.2">
      <c r="A6" t="s">
        <v>3</v>
      </c>
      <c r="B6" s="4">
        <v>400</v>
      </c>
      <c r="C6" s="4">
        <f t="shared" si="0"/>
        <v>392</v>
      </c>
      <c r="D6" s="4">
        <f t="shared" si="1"/>
        <v>380</v>
      </c>
    </row>
    <row r="7" spans="1:5" x14ac:dyDescent="0.2">
      <c r="A7" t="s">
        <v>4</v>
      </c>
      <c r="B7" s="4">
        <v>400</v>
      </c>
      <c r="C7" s="4">
        <f t="shared" si="0"/>
        <v>392</v>
      </c>
      <c r="D7" s="4">
        <f t="shared" si="1"/>
        <v>380</v>
      </c>
    </row>
    <row r="8" spans="1:5" x14ac:dyDescent="0.2">
      <c r="A8" t="s">
        <v>5</v>
      </c>
      <c r="B8" s="4">
        <v>400</v>
      </c>
      <c r="C8" s="4">
        <f t="shared" si="0"/>
        <v>392</v>
      </c>
      <c r="D8" s="4">
        <f t="shared" si="1"/>
        <v>380</v>
      </c>
    </row>
    <row r="9" spans="1:5" x14ac:dyDescent="0.2">
      <c r="A9" t="s">
        <v>6</v>
      </c>
      <c r="B9" s="4">
        <v>570</v>
      </c>
      <c r="C9" s="4">
        <v>559</v>
      </c>
      <c r="D9" s="4">
        <v>542</v>
      </c>
    </row>
    <row r="10" spans="1:5" x14ac:dyDescent="0.2">
      <c r="A10" t="s">
        <v>7</v>
      </c>
      <c r="B10" s="4">
        <v>700</v>
      </c>
      <c r="C10" s="4">
        <f t="shared" si="0"/>
        <v>686</v>
      </c>
      <c r="D10" s="4">
        <f t="shared" si="1"/>
        <v>665</v>
      </c>
    </row>
    <row r="11" spans="1:5" x14ac:dyDescent="0.2">
      <c r="A11" t="s">
        <v>8</v>
      </c>
      <c r="B11" s="4">
        <v>600</v>
      </c>
      <c r="C11" s="4">
        <f t="shared" si="0"/>
        <v>588</v>
      </c>
      <c r="D11" s="4">
        <f t="shared" si="1"/>
        <v>570</v>
      </c>
    </row>
    <row r="12" spans="1:5" x14ac:dyDescent="0.2">
      <c r="A12" t="s">
        <v>9</v>
      </c>
      <c r="B12" s="4">
        <v>550</v>
      </c>
      <c r="C12" s="4">
        <f t="shared" si="0"/>
        <v>539</v>
      </c>
      <c r="D12" s="4">
        <v>522</v>
      </c>
    </row>
    <row r="13" spans="1:5" x14ac:dyDescent="0.2">
      <c r="A13" t="s">
        <v>10</v>
      </c>
      <c r="B13" s="4">
        <v>700</v>
      </c>
      <c r="C13" s="4">
        <f t="shared" si="0"/>
        <v>686</v>
      </c>
      <c r="D13" s="4">
        <f t="shared" si="1"/>
        <v>665</v>
      </c>
    </row>
    <row r="14" spans="1:5" x14ac:dyDescent="0.2">
      <c r="A14" t="s">
        <v>11</v>
      </c>
      <c r="B14" s="4">
        <v>450</v>
      </c>
      <c r="C14" s="4">
        <f t="shared" si="0"/>
        <v>441</v>
      </c>
      <c r="D14" s="4">
        <v>428</v>
      </c>
    </row>
    <row r="15" spans="1:5" x14ac:dyDescent="0.2">
      <c r="A15" t="s">
        <v>12</v>
      </c>
      <c r="B15" s="4">
        <v>500</v>
      </c>
      <c r="C15" s="4">
        <f t="shared" si="0"/>
        <v>490</v>
      </c>
      <c r="D15" s="4">
        <f t="shared" si="1"/>
        <v>475</v>
      </c>
    </row>
    <row r="16" spans="1:5" x14ac:dyDescent="0.2">
      <c r="A16" t="s">
        <v>13</v>
      </c>
      <c r="B16" s="4">
        <v>600</v>
      </c>
      <c r="C16" s="4">
        <f t="shared" si="0"/>
        <v>588</v>
      </c>
      <c r="D16" s="4">
        <f t="shared" si="1"/>
        <v>570</v>
      </c>
    </row>
    <row r="17" spans="1:4" x14ac:dyDescent="0.2">
      <c r="A17" t="s">
        <v>14</v>
      </c>
      <c r="B17" s="4">
        <v>450</v>
      </c>
      <c r="C17" s="4">
        <f t="shared" si="0"/>
        <v>441</v>
      </c>
      <c r="D17" s="4">
        <v>428</v>
      </c>
    </row>
    <row r="18" spans="1:4" x14ac:dyDescent="0.2">
      <c r="A18" t="s">
        <v>15</v>
      </c>
      <c r="B18" s="4">
        <v>500</v>
      </c>
      <c r="C18" s="4">
        <f t="shared" si="0"/>
        <v>490</v>
      </c>
      <c r="D18" s="4">
        <f t="shared" si="1"/>
        <v>475</v>
      </c>
    </row>
    <row r="19" spans="1:4" x14ac:dyDescent="0.2">
      <c r="A19" t="s">
        <v>18</v>
      </c>
      <c r="B19" s="4">
        <v>450</v>
      </c>
      <c r="C19" s="4">
        <f t="shared" si="0"/>
        <v>441</v>
      </c>
      <c r="D19" s="4">
        <v>428</v>
      </c>
    </row>
    <row r="20" spans="1:4" x14ac:dyDescent="0.2">
      <c r="A20" t="s">
        <v>16</v>
      </c>
      <c r="B20" s="4">
        <v>1200</v>
      </c>
      <c r="C20" s="4">
        <f t="shared" si="0"/>
        <v>1176</v>
      </c>
      <c r="D20" s="4">
        <f t="shared" si="1"/>
        <v>1140</v>
      </c>
    </row>
    <row r="21" spans="1:4" x14ac:dyDescent="0.2">
      <c r="A21" t="s">
        <v>17</v>
      </c>
      <c r="B21" s="4">
        <v>1200</v>
      </c>
      <c r="C21" s="4">
        <f t="shared" si="0"/>
        <v>1176</v>
      </c>
      <c r="D21" s="4">
        <f t="shared" si="1"/>
        <v>1140</v>
      </c>
    </row>
    <row r="22" spans="1:4" x14ac:dyDescent="0.2">
      <c r="A22" t="s">
        <v>19</v>
      </c>
      <c r="B22" s="4">
        <v>1300</v>
      </c>
      <c r="C22" s="4">
        <f t="shared" si="0"/>
        <v>1274</v>
      </c>
      <c r="D22" s="4">
        <f t="shared" si="1"/>
        <v>1235</v>
      </c>
    </row>
    <row r="23" spans="1:4" x14ac:dyDescent="0.2">
      <c r="A23" t="s">
        <v>20</v>
      </c>
      <c r="B23" s="4">
        <v>1300</v>
      </c>
      <c r="C23" s="4">
        <f t="shared" si="0"/>
        <v>1274</v>
      </c>
      <c r="D23" s="4">
        <f t="shared" si="1"/>
        <v>1235</v>
      </c>
    </row>
    <row r="24" spans="1:4" x14ac:dyDescent="0.2">
      <c r="A24" t="s">
        <v>21</v>
      </c>
      <c r="B24" s="4">
        <v>1500</v>
      </c>
      <c r="C24" s="4">
        <f t="shared" si="0"/>
        <v>1470</v>
      </c>
      <c r="D24" s="4">
        <f t="shared" si="1"/>
        <v>1425</v>
      </c>
    </row>
    <row r="25" spans="1:4" x14ac:dyDescent="0.2">
      <c r="A25" t="s">
        <v>22</v>
      </c>
      <c r="B25" s="4">
        <v>450</v>
      </c>
      <c r="C25" s="4">
        <f t="shared" si="0"/>
        <v>441</v>
      </c>
      <c r="D25" s="4">
        <v>428</v>
      </c>
    </row>
    <row r="26" spans="1:4" x14ac:dyDescent="0.2">
      <c r="A26" t="s">
        <v>23</v>
      </c>
      <c r="B26" s="4">
        <v>450</v>
      </c>
      <c r="C26" s="4">
        <f t="shared" si="0"/>
        <v>441</v>
      </c>
      <c r="D26" s="4">
        <v>428</v>
      </c>
    </row>
    <row r="27" spans="1:4" x14ac:dyDescent="0.2">
      <c r="A27" t="s">
        <v>24</v>
      </c>
      <c r="B27" s="4">
        <v>700</v>
      </c>
      <c r="C27" s="4">
        <f t="shared" si="0"/>
        <v>686</v>
      </c>
      <c r="D27" s="4">
        <f>B27*0.95</f>
        <v>665</v>
      </c>
    </row>
  </sheetData>
  <phoneticPr fontId="0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>
      <selection activeCell="B2" sqref="B2:D2"/>
    </sheetView>
  </sheetViews>
  <sheetFormatPr defaultRowHeight="12.75" x14ac:dyDescent="0.2"/>
  <cols>
    <col min="1" max="1" width="16.42578125" customWidth="1"/>
  </cols>
  <sheetData>
    <row r="1" spans="1:4" ht="38.25" x14ac:dyDescent="0.2">
      <c r="B1" s="1" t="s">
        <v>25</v>
      </c>
      <c r="C1" s="1" t="s">
        <v>26</v>
      </c>
      <c r="D1" s="1" t="s">
        <v>27</v>
      </c>
    </row>
    <row r="2" spans="1:4" ht="25.5" customHeight="1" x14ac:dyDescent="0.2">
      <c r="A2" t="s">
        <v>35</v>
      </c>
      <c r="B2" s="3">
        <f>10</f>
        <v>10</v>
      </c>
      <c r="C2" s="3">
        <f>20</f>
        <v>20</v>
      </c>
      <c r="D2" s="3">
        <f>50</f>
        <v>50</v>
      </c>
    </row>
    <row r="3" spans="1:4" x14ac:dyDescent="0.2">
      <c r="A3" t="s">
        <v>0</v>
      </c>
      <c r="B3">
        <v>420</v>
      </c>
      <c r="C3">
        <v>420</v>
      </c>
      <c r="D3">
        <v>399</v>
      </c>
    </row>
    <row r="4" spans="1:4" x14ac:dyDescent="0.2">
      <c r="A4" t="s">
        <v>1</v>
      </c>
      <c r="B4">
        <v>473</v>
      </c>
      <c r="C4">
        <v>473</v>
      </c>
      <c r="D4">
        <v>449</v>
      </c>
    </row>
    <row r="5" spans="1:4" x14ac:dyDescent="0.2">
      <c r="A5" t="s">
        <v>2</v>
      </c>
      <c r="B5">
        <v>735</v>
      </c>
      <c r="C5">
        <v>735</v>
      </c>
      <c r="D5">
        <v>698</v>
      </c>
    </row>
    <row r="6" spans="1:4" x14ac:dyDescent="0.2">
      <c r="A6" t="s">
        <v>3</v>
      </c>
      <c r="B6">
        <v>420</v>
      </c>
      <c r="C6">
        <v>420</v>
      </c>
      <c r="D6">
        <v>399</v>
      </c>
    </row>
    <row r="7" spans="1:4" x14ac:dyDescent="0.2">
      <c r="A7" t="s">
        <v>4</v>
      </c>
      <c r="B7">
        <v>420</v>
      </c>
      <c r="C7">
        <v>420</v>
      </c>
      <c r="D7">
        <v>399</v>
      </c>
    </row>
    <row r="8" spans="1:4" x14ac:dyDescent="0.2">
      <c r="A8" t="s">
        <v>5</v>
      </c>
      <c r="B8">
        <v>420</v>
      </c>
      <c r="C8">
        <v>420</v>
      </c>
      <c r="D8">
        <v>399</v>
      </c>
    </row>
    <row r="9" spans="1:4" x14ac:dyDescent="0.2">
      <c r="A9" t="s">
        <v>6</v>
      </c>
      <c r="B9">
        <v>599</v>
      </c>
      <c r="C9">
        <v>599</v>
      </c>
      <c r="D9">
        <v>569</v>
      </c>
    </row>
    <row r="10" spans="1:4" x14ac:dyDescent="0.2">
      <c r="A10" t="s">
        <v>7</v>
      </c>
      <c r="B10">
        <v>735</v>
      </c>
      <c r="C10">
        <v>735</v>
      </c>
      <c r="D10">
        <v>698</v>
      </c>
    </row>
    <row r="11" spans="1:4" x14ac:dyDescent="0.2">
      <c r="A11" t="s">
        <v>8</v>
      </c>
      <c r="B11">
        <v>630</v>
      </c>
      <c r="C11">
        <v>630</v>
      </c>
      <c r="D11">
        <v>599</v>
      </c>
    </row>
    <row r="12" spans="1:4" x14ac:dyDescent="0.2">
      <c r="A12" t="s">
        <v>9</v>
      </c>
      <c r="B12">
        <v>578</v>
      </c>
      <c r="C12">
        <v>578</v>
      </c>
      <c r="D12">
        <v>549</v>
      </c>
    </row>
    <row r="13" spans="1:4" x14ac:dyDescent="0.2">
      <c r="A13" t="s">
        <v>10</v>
      </c>
      <c r="B13">
        <v>735</v>
      </c>
      <c r="C13">
        <v>735</v>
      </c>
      <c r="D13">
        <v>698</v>
      </c>
    </row>
    <row r="14" spans="1:4" x14ac:dyDescent="0.2">
      <c r="A14" t="s">
        <v>11</v>
      </c>
      <c r="B14">
        <v>473</v>
      </c>
      <c r="C14">
        <v>473</v>
      </c>
      <c r="D14">
        <v>449</v>
      </c>
    </row>
    <row r="15" spans="1:4" x14ac:dyDescent="0.2">
      <c r="A15" t="s">
        <v>12</v>
      </c>
      <c r="B15">
        <v>525</v>
      </c>
      <c r="C15">
        <v>525</v>
      </c>
      <c r="D15">
        <v>499</v>
      </c>
    </row>
    <row r="16" spans="1:4" x14ac:dyDescent="0.2">
      <c r="A16" t="s">
        <v>13</v>
      </c>
      <c r="B16">
        <v>630</v>
      </c>
      <c r="C16">
        <v>630</v>
      </c>
      <c r="D16">
        <v>599</v>
      </c>
    </row>
    <row r="17" spans="1:4" x14ac:dyDescent="0.2">
      <c r="A17" t="s">
        <v>14</v>
      </c>
      <c r="B17">
        <v>473</v>
      </c>
      <c r="C17">
        <v>473</v>
      </c>
      <c r="D17">
        <v>449</v>
      </c>
    </row>
    <row r="18" spans="1:4" x14ac:dyDescent="0.2">
      <c r="A18" t="s">
        <v>15</v>
      </c>
      <c r="B18">
        <v>525</v>
      </c>
      <c r="C18">
        <v>525</v>
      </c>
      <c r="D18">
        <v>499</v>
      </c>
    </row>
    <row r="19" spans="1:4" x14ac:dyDescent="0.2">
      <c r="A19" t="s">
        <v>18</v>
      </c>
      <c r="B19">
        <v>473</v>
      </c>
      <c r="C19">
        <v>473</v>
      </c>
      <c r="D19">
        <v>449</v>
      </c>
    </row>
    <row r="20" spans="1:4" x14ac:dyDescent="0.2">
      <c r="A20" t="s">
        <v>16</v>
      </c>
      <c r="B20">
        <v>1260</v>
      </c>
      <c r="C20">
        <v>1260</v>
      </c>
      <c r="D20">
        <v>1197</v>
      </c>
    </row>
    <row r="21" spans="1:4" x14ac:dyDescent="0.2">
      <c r="A21" t="s">
        <v>17</v>
      </c>
      <c r="B21">
        <v>1260</v>
      </c>
      <c r="C21">
        <v>1260</v>
      </c>
      <c r="D21">
        <v>1197</v>
      </c>
    </row>
    <row r="22" spans="1:4" x14ac:dyDescent="0.2">
      <c r="A22" t="s">
        <v>19</v>
      </c>
      <c r="B22">
        <v>1365</v>
      </c>
      <c r="C22">
        <v>1365</v>
      </c>
      <c r="D22">
        <v>1297</v>
      </c>
    </row>
    <row r="23" spans="1:4" x14ac:dyDescent="0.2">
      <c r="A23" t="s">
        <v>20</v>
      </c>
      <c r="B23">
        <v>1365</v>
      </c>
      <c r="C23">
        <v>1365</v>
      </c>
      <c r="D23">
        <v>1297</v>
      </c>
    </row>
    <row r="24" spans="1:4" x14ac:dyDescent="0.2">
      <c r="A24" t="s">
        <v>21</v>
      </c>
      <c r="B24">
        <v>1575</v>
      </c>
      <c r="C24">
        <v>1575</v>
      </c>
      <c r="D24">
        <v>1496</v>
      </c>
    </row>
    <row r="25" spans="1:4" x14ac:dyDescent="0.2">
      <c r="A25" t="s">
        <v>22</v>
      </c>
      <c r="B25">
        <v>473</v>
      </c>
      <c r="C25">
        <v>473</v>
      </c>
      <c r="D25">
        <v>449</v>
      </c>
    </row>
    <row r="26" spans="1:4" x14ac:dyDescent="0.2">
      <c r="A26" t="s">
        <v>23</v>
      </c>
      <c r="B26">
        <v>473</v>
      </c>
      <c r="C26">
        <v>473</v>
      </c>
      <c r="D26">
        <v>449</v>
      </c>
    </row>
    <row r="27" spans="1:4" x14ac:dyDescent="0.2">
      <c r="A27" t="s">
        <v>24</v>
      </c>
      <c r="B27">
        <v>735</v>
      </c>
      <c r="C27">
        <v>735</v>
      </c>
      <c r="D27">
        <v>698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7"/>
  <sheetViews>
    <sheetView workbookViewId="0">
      <selection activeCell="B2" sqref="B2:D2"/>
    </sheetView>
  </sheetViews>
  <sheetFormatPr defaultRowHeight="12.75" x14ac:dyDescent="0.2"/>
  <cols>
    <col min="1" max="1" width="15.28515625" customWidth="1"/>
    <col min="2" max="5" width="9.140625" style="4"/>
  </cols>
  <sheetData>
    <row r="1" spans="1:5" ht="38.25" x14ac:dyDescent="0.2">
      <c r="B1" s="3" t="s">
        <v>25</v>
      </c>
      <c r="C1" s="3" t="s">
        <v>26</v>
      </c>
      <c r="D1" s="3" t="s">
        <v>27</v>
      </c>
    </row>
    <row r="2" spans="1:5" ht="25.5" customHeight="1" x14ac:dyDescent="0.2">
      <c r="A2" t="s">
        <v>35</v>
      </c>
      <c r="B2" s="3">
        <f>10</f>
        <v>10</v>
      </c>
      <c r="C2" s="3">
        <f>20</f>
        <v>20</v>
      </c>
      <c r="D2" s="3">
        <f>50</f>
        <v>50</v>
      </c>
      <c r="E2"/>
    </row>
    <row r="3" spans="1:5" x14ac:dyDescent="0.2">
      <c r="A3" t="s">
        <v>0</v>
      </c>
      <c r="B3" s="4">
        <v>450</v>
      </c>
      <c r="C3" s="4">
        <v>430</v>
      </c>
      <c r="D3" s="4">
        <v>400</v>
      </c>
      <c r="E3" s="4">
        <v>0.95</v>
      </c>
    </row>
    <row r="4" spans="1:5" x14ac:dyDescent="0.2">
      <c r="A4" t="s">
        <v>1</v>
      </c>
      <c r="B4" s="4">
        <v>450</v>
      </c>
      <c r="C4" s="4">
        <v>430</v>
      </c>
      <c r="D4" s="4">
        <v>400</v>
      </c>
      <c r="E4" s="4">
        <v>0.98</v>
      </c>
    </row>
    <row r="5" spans="1:5" x14ac:dyDescent="0.2">
      <c r="A5" t="s">
        <v>2</v>
      </c>
      <c r="B5" s="4">
        <v>450</v>
      </c>
      <c r="C5" s="4">
        <v>430</v>
      </c>
      <c r="D5" s="4">
        <v>400</v>
      </c>
      <c r="E5" s="4">
        <v>2</v>
      </c>
    </row>
    <row r="6" spans="1:5" x14ac:dyDescent="0.2">
      <c r="A6" t="s">
        <v>3</v>
      </c>
      <c r="B6" s="4">
        <v>450</v>
      </c>
      <c r="C6" s="4">
        <v>430</v>
      </c>
      <c r="D6" s="4">
        <v>400</v>
      </c>
      <c r="E6" s="4">
        <v>0.5</v>
      </c>
    </row>
    <row r="7" spans="1:5" x14ac:dyDescent="0.2">
      <c r="A7" t="s">
        <v>4</v>
      </c>
      <c r="B7" s="4">
        <v>450</v>
      </c>
      <c r="C7" s="4">
        <v>430</v>
      </c>
      <c r="D7" s="4">
        <v>400</v>
      </c>
      <c r="E7" s="4">
        <v>1.2</v>
      </c>
    </row>
    <row r="8" spans="1:5" x14ac:dyDescent="0.2">
      <c r="A8" t="s">
        <v>5</v>
      </c>
      <c r="B8" s="4">
        <v>450</v>
      </c>
      <c r="C8" s="4">
        <v>430</v>
      </c>
      <c r="D8" s="4">
        <v>400</v>
      </c>
      <c r="E8" s="4">
        <v>1</v>
      </c>
    </row>
    <row r="9" spans="1:5" x14ac:dyDescent="0.2">
      <c r="A9" t="s">
        <v>6</v>
      </c>
      <c r="B9" s="4">
        <v>450</v>
      </c>
      <c r="C9" s="4">
        <v>430</v>
      </c>
      <c r="D9" s="4">
        <v>400</v>
      </c>
      <c r="E9" s="4">
        <v>1.3</v>
      </c>
    </row>
    <row r="10" spans="1:5" x14ac:dyDescent="0.2">
      <c r="A10" t="s">
        <v>7</v>
      </c>
      <c r="B10" s="4">
        <v>450</v>
      </c>
      <c r="C10" s="4">
        <v>430</v>
      </c>
      <c r="D10" s="4">
        <v>400</v>
      </c>
      <c r="E10" s="4">
        <v>2</v>
      </c>
    </row>
    <row r="11" spans="1:5" x14ac:dyDescent="0.2">
      <c r="A11" t="s">
        <v>8</v>
      </c>
      <c r="B11" s="4">
        <v>450</v>
      </c>
      <c r="C11" s="4">
        <v>430</v>
      </c>
      <c r="D11" s="4">
        <v>400</v>
      </c>
      <c r="E11" s="4">
        <v>0.95</v>
      </c>
    </row>
    <row r="12" spans="1:5" x14ac:dyDescent="0.2">
      <c r="A12" t="s">
        <v>9</v>
      </c>
      <c r="B12" s="4">
        <v>450</v>
      </c>
      <c r="C12" s="4">
        <v>430</v>
      </c>
      <c r="D12" s="4">
        <v>400</v>
      </c>
      <c r="E12" s="4">
        <v>0.9</v>
      </c>
    </row>
    <row r="13" spans="1:5" x14ac:dyDescent="0.2">
      <c r="A13" t="s">
        <v>10</v>
      </c>
      <c r="B13" s="4">
        <v>450</v>
      </c>
      <c r="C13" s="4">
        <v>430</v>
      </c>
      <c r="D13" s="4">
        <v>400</v>
      </c>
      <c r="E13" s="4">
        <v>0.9</v>
      </c>
    </row>
    <row r="14" spans="1:5" x14ac:dyDescent="0.2">
      <c r="A14" t="s">
        <v>11</v>
      </c>
      <c r="B14" s="4">
        <v>450</v>
      </c>
      <c r="C14" s="4">
        <v>430</v>
      </c>
      <c r="D14" s="4">
        <v>400</v>
      </c>
      <c r="E14" s="4">
        <v>1.5</v>
      </c>
    </row>
    <row r="15" spans="1:5" x14ac:dyDescent="0.2">
      <c r="A15" t="s">
        <v>12</v>
      </c>
      <c r="B15" s="4">
        <v>450</v>
      </c>
      <c r="C15" s="4">
        <v>430</v>
      </c>
      <c r="D15" s="4">
        <v>400</v>
      </c>
      <c r="E15" s="4">
        <v>1</v>
      </c>
    </row>
    <row r="16" spans="1:5" x14ac:dyDescent="0.2">
      <c r="A16" t="s">
        <v>13</v>
      </c>
      <c r="B16" s="4">
        <v>450</v>
      </c>
      <c r="C16" s="4">
        <v>430</v>
      </c>
      <c r="D16" s="4">
        <v>400</v>
      </c>
      <c r="E16" s="4">
        <v>0.7</v>
      </c>
    </row>
    <row r="17" spans="1:5" x14ac:dyDescent="0.2">
      <c r="A17" t="s">
        <v>14</v>
      </c>
      <c r="B17" s="4">
        <v>450</v>
      </c>
      <c r="C17" s="4">
        <v>430</v>
      </c>
      <c r="D17" s="4">
        <v>400</v>
      </c>
      <c r="E17" s="4">
        <v>1.5</v>
      </c>
    </row>
    <row r="18" spans="1:5" x14ac:dyDescent="0.2">
      <c r="A18" t="s">
        <v>15</v>
      </c>
      <c r="B18" s="4">
        <v>450</v>
      </c>
      <c r="C18" s="4">
        <v>430</v>
      </c>
      <c r="D18" s="4">
        <v>400</v>
      </c>
      <c r="E18" s="4">
        <v>1.5</v>
      </c>
    </row>
    <row r="19" spans="1:5" x14ac:dyDescent="0.2">
      <c r="A19" t="s">
        <v>18</v>
      </c>
      <c r="B19" s="4">
        <v>450</v>
      </c>
      <c r="C19" s="4">
        <v>430</v>
      </c>
      <c r="D19" s="4">
        <v>400</v>
      </c>
      <c r="E19" s="4">
        <v>1.5</v>
      </c>
    </row>
    <row r="20" spans="1:5" x14ac:dyDescent="0.2">
      <c r="A20" t="s">
        <v>16</v>
      </c>
      <c r="B20" s="4">
        <v>450</v>
      </c>
      <c r="C20" s="4">
        <v>430</v>
      </c>
      <c r="D20" s="4">
        <v>400</v>
      </c>
      <c r="E20" s="4">
        <v>3</v>
      </c>
    </row>
    <row r="21" spans="1:5" x14ac:dyDescent="0.2">
      <c r="A21" t="s">
        <v>17</v>
      </c>
      <c r="B21" s="4">
        <v>450</v>
      </c>
      <c r="C21" s="4">
        <v>430</v>
      </c>
      <c r="D21" s="4">
        <v>400</v>
      </c>
      <c r="E21" s="4">
        <v>3</v>
      </c>
    </row>
    <row r="22" spans="1:5" x14ac:dyDescent="0.2">
      <c r="A22" t="s">
        <v>19</v>
      </c>
      <c r="B22" s="4">
        <v>450</v>
      </c>
      <c r="C22" s="4">
        <v>430</v>
      </c>
      <c r="D22" s="4">
        <v>400</v>
      </c>
      <c r="E22" s="4">
        <v>3</v>
      </c>
    </row>
    <row r="23" spans="1:5" x14ac:dyDescent="0.2">
      <c r="A23" t="s">
        <v>20</v>
      </c>
      <c r="B23" s="4">
        <v>450</v>
      </c>
      <c r="C23" s="4">
        <v>430</v>
      </c>
      <c r="D23" s="4">
        <v>400</v>
      </c>
      <c r="E23" s="4">
        <v>3</v>
      </c>
    </row>
    <row r="24" spans="1:5" x14ac:dyDescent="0.2">
      <c r="A24" t="s">
        <v>21</v>
      </c>
      <c r="B24" s="4">
        <v>450</v>
      </c>
      <c r="C24" s="4">
        <v>430</v>
      </c>
      <c r="D24" s="4">
        <v>400</v>
      </c>
      <c r="E24" s="4">
        <v>3</v>
      </c>
    </row>
    <row r="25" spans="1:5" x14ac:dyDescent="0.2">
      <c r="A25" t="s">
        <v>22</v>
      </c>
      <c r="B25" s="4">
        <v>450</v>
      </c>
      <c r="C25" s="4">
        <v>430</v>
      </c>
      <c r="D25" s="4">
        <v>400</v>
      </c>
      <c r="E25" s="4">
        <v>1</v>
      </c>
    </row>
    <row r="26" spans="1:5" x14ac:dyDescent="0.2">
      <c r="A26" t="s">
        <v>23</v>
      </c>
      <c r="B26" s="4">
        <v>450</v>
      </c>
      <c r="C26" s="4">
        <v>430</v>
      </c>
      <c r="D26" s="4">
        <v>400</v>
      </c>
      <c r="E26" s="4">
        <v>0.9</v>
      </c>
    </row>
    <row r="27" spans="1:5" x14ac:dyDescent="0.2">
      <c r="A27" t="s">
        <v>24</v>
      </c>
      <c r="B27" s="4">
        <v>450</v>
      </c>
      <c r="C27" s="4">
        <v>430</v>
      </c>
      <c r="D27" s="4">
        <v>400</v>
      </c>
      <c r="E27" s="4">
        <v>1.5</v>
      </c>
    </row>
  </sheetData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5"/>
  <sheetViews>
    <sheetView topLeftCell="A111" workbookViewId="0">
      <selection activeCell="F2" sqref="F2"/>
    </sheetView>
  </sheetViews>
  <sheetFormatPr defaultRowHeight="12.75" x14ac:dyDescent="0.2"/>
  <cols>
    <col min="1" max="1" width="32.85546875" customWidth="1"/>
    <col min="2" max="2" width="12.28515625" style="4" customWidth="1"/>
    <col min="3" max="3" width="22" bestFit="1" customWidth="1"/>
    <col min="4" max="4" width="22" customWidth="1"/>
    <col min="5" max="5" width="22" bestFit="1" customWidth="1"/>
    <col min="6" max="6" width="22" customWidth="1"/>
    <col min="7" max="7" width="22" bestFit="1" customWidth="1"/>
    <col min="8" max="9" width="22" customWidth="1"/>
    <col min="11" max="11" width="15.85546875" bestFit="1" customWidth="1"/>
    <col min="14" max="14" width="27.85546875" bestFit="1" customWidth="1"/>
    <col min="15" max="15" width="6" bestFit="1" customWidth="1"/>
    <col min="16" max="16" width="30.140625" bestFit="1" customWidth="1"/>
  </cols>
  <sheetData>
    <row r="1" spans="1:12" ht="24.75" customHeight="1" x14ac:dyDescent="0.2">
      <c r="B1" s="3" t="s">
        <v>28</v>
      </c>
      <c r="C1" t="s">
        <v>37</v>
      </c>
      <c r="D1" t="s">
        <v>43</v>
      </c>
      <c r="E1" t="s">
        <v>39</v>
      </c>
      <c r="F1" t="s">
        <v>44</v>
      </c>
      <c r="G1" t="s">
        <v>38</v>
      </c>
      <c r="H1" t="s">
        <v>46</v>
      </c>
      <c r="I1" t="s">
        <v>45</v>
      </c>
      <c r="K1" t="s">
        <v>36</v>
      </c>
    </row>
    <row r="2" spans="1:12" x14ac:dyDescent="0.2">
      <c r="A2" t="s">
        <v>0</v>
      </c>
      <c r="B2" s="4">
        <v>10</v>
      </c>
      <c r="C2" cm="1">
        <f t="array" ref="C2">_xlfn.XLOOKUP(1, ('price A'!$A$3:$A$27 = demand!$A2) * 1, _xlfn.XLOOKUP(1, ( 'price A'!$B$2:$D$2 = demand!$B2) * 1, 'price A'!$B$3:$D$27))</f>
        <v>400</v>
      </c>
      <c r="D2">
        <f>$L$2 * $C2 * $B2</f>
        <v>4480.0000000000009</v>
      </c>
      <c r="E2" cm="1">
        <f t="array" ref="E2">_xlfn.XLOOKUP(1, ('price B'!$A$3:$A$27 = demand!$A2) * 1, _xlfn.XLOOKUP(1, ( 'price B'!$B$2:$D$2 = demand!$B2) * 1, 'price B'!$B$3:$D$27))</f>
        <v>420</v>
      </c>
      <c r="F2">
        <f>(1 - $L$3) * $E2 * $B2</f>
        <v>3990</v>
      </c>
      <c r="G2" cm="1">
        <f t="array" ref="G2">_xlfn.XLOOKUP(1, ('price C'!$A$3:$A$27 = demand!$A2) * 1, _xlfn.XLOOKUP(1, ( 'price C'!$B$2:$D$2 = demand!$B2) * 1, 'price C'!$B$3:$D$27))</f>
        <v>450</v>
      </c>
      <c r="H2" cm="1">
        <f t="array" ref="H2">_xlfn.XLOOKUP(1, ('price C'!$A$3:$A$27 = demand!$A2) * 1,  'price C'!$E$3:$E$27)</f>
        <v>0.95</v>
      </c>
      <c r="I2">
        <f xml:space="preserve"> $G2 * $H2 * $L$4 * $B2</f>
        <v>4788.0000000000009</v>
      </c>
      <c r="K2" t="s">
        <v>41</v>
      </c>
      <c r="L2">
        <v>1.1200000000000001</v>
      </c>
    </row>
    <row r="3" spans="1:12" x14ac:dyDescent="0.2">
      <c r="A3" t="s">
        <v>1</v>
      </c>
      <c r="B3" s="4">
        <v>10</v>
      </c>
      <c r="C3" cm="1">
        <f t="array" ref="C3">_xlfn.XLOOKUP(1, ('price A'!$A$3:$A$27 = demand!$A3) * 1, _xlfn.XLOOKUP(1, ( 'price A'!$B$2:$D$2 = demand!$B3) * 1, 'price A'!$B$3:$D$27))</f>
        <v>450</v>
      </c>
      <c r="D3">
        <f t="shared" ref="D3:D66" si="0">$L$2 * $C3 * $B3</f>
        <v>5040.0000000000009</v>
      </c>
      <c r="E3" cm="1">
        <f t="array" ref="E3">_xlfn.XLOOKUP(1, ('price B'!$A$3:$A$27 = demand!$A3) * 1, _xlfn.XLOOKUP(1, ( 'price B'!$B$2:$D$2 = demand!$B3) * 1, 'price B'!$B$3:$D$27))</f>
        <v>473</v>
      </c>
      <c r="F3">
        <f t="shared" ref="F3:F66" si="1">(1 - $L$3) * $E3 * $B3</f>
        <v>4493.5</v>
      </c>
      <c r="G3" cm="1">
        <f t="array" ref="G3">_xlfn.XLOOKUP(1, ('price C'!$A$3:$A$27 = demand!$A3) * 1, _xlfn.XLOOKUP(1, ( 'price C'!$B$2:$D$2 = demand!$B3) * 1, 'price C'!$B$3:$D$27))</f>
        <v>450</v>
      </c>
      <c r="H3" cm="1">
        <f t="array" ref="H3">_xlfn.XLOOKUP(1, ('price C'!$A$3:$A$27 = demand!$A3) * 1,  'price C'!$E$3:$E$27)</f>
        <v>0.98</v>
      </c>
      <c r="I3">
        <f xml:space="preserve"> $G3 * $H3 * $L$4 * $B3</f>
        <v>4939.2000000000007</v>
      </c>
      <c r="K3" t="s">
        <v>40</v>
      </c>
      <c r="L3" s="5">
        <v>0.05</v>
      </c>
    </row>
    <row r="4" spans="1:12" x14ac:dyDescent="0.2">
      <c r="A4" t="s">
        <v>2</v>
      </c>
      <c r="B4" s="4">
        <v>10</v>
      </c>
      <c r="C4" cm="1">
        <f t="array" ref="C4">_xlfn.XLOOKUP(1, ('price A'!$A$3:$A$27 = demand!$A4) * 1, _xlfn.XLOOKUP(1, ( 'price A'!$B$2:$D$2 = demand!$B4) * 1, 'price A'!$B$3:$D$27))</f>
        <v>700</v>
      </c>
      <c r="D4">
        <f t="shared" si="0"/>
        <v>7840.0000000000009</v>
      </c>
      <c r="E4" cm="1">
        <f t="array" ref="E4">_xlfn.XLOOKUP(1, ('price B'!$A$3:$A$27 = demand!$A4) * 1, _xlfn.XLOOKUP(1, ( 'price B'!$B$2:$D$2 = demand!$B4) * 1, 'price B'!$B$3:$D$27))</f>
        <v>735</v>
      </c>
      <c r="F4">
        <f t="shared" si="1"/>
        <v>6982.5</v>
      </c>
      <c r="G4" cm="1">
        <f t="array" ref="G4">_xlfn.XLOOKUP(1, ('price C'!$A$3:$A$27 = demand!$A4) * 1, _xlfn.XLOOKUP(1, ( 'price C'!$B$2:$D$2 = demand!$B4) * 1, 'price C'!$B$3:$D$27))</f>
        <v>450</v>
      </c>
      <c r="H4" cm="1">
        <f t="array" ref="H4">_xlfn.XLOOKUP(1, ('price C'!$A$3:$A$27 = demand!$A4) * 1,  'price C'!$E$3:$E$27)</f>
        <v>2</v>
      </c>
      <c r="I4">
        <f t="shared" ref="I4:I66" si="2" xml:space="preserve"> $G4 * $H4 * $L$4 * $B4</f>
        <v>10080.000000000002</v>
      </c>
      <c r="K4" t="s">
        <v>42</v>
      </c>
      <c r="L4">
        <v>1.1200000000000001</v>
      </c>
    </row>
    <row r="5" spans="1:12" x14ac:dyDescent="0.2">
      <c r="A5" t="s">
        <v>3</v>
      </c>
      <c r="B5" s="4">
        <v>10</v>
      </c>
      <c r="C5" cm="1">
        <f t="array" ref="C5">_xlfn.XLOOKUP(1, ('price A'!$A$3:$A$27 = demand!$A5) * 1, _xlfn.XLOOKUP(1, ( 'price A'!$B$2:$D$2 = demand!$B5) * 1, 'price A'!$B$3:$D$27))</f>
        <v>400</v>
      </c>
      <c r="D5">
        <f t="shared" si="0"/>
        <v>4480.0000000000009</v>
      </c>
      <c r="E5" cm="1">
        <f t="array" ref="E5">_xlfn.XLOOKUP(1, ('price B'!$A$3:$A$27 = demand!$A5) * 1, _xlfn.XLOOKUP(1, ( 'price B'!$B$2:$D$2 = demand!$B5) * 1, 'price B'!$B$3:$D$27))</f>
        <v>420</v>
      </c>
      <c r="F5">
        <f t="shared" si="1"/>
        <v>3990</v>
      </c>
      <c r="G5" cm="1">
        <f t="array" ref="G5">_xlfn.XLOOKUP(1, ('price C'!$A$3:$A$27 = demand!$A5) * 1, _xlfn.XLOOKUP(1, ( 'price C'!$B$2:$D$2 = demand!$B5) * 1, 'price C'!$B$3:$D$27))</f>
        <v>450</v>
      </c>
      <c r="H5" cm="1">
        <f t="array" ref="H5">_xlfn.XLOOKUP(1, ('price C'!$A$3:$A$27 = demand!$A5) * 1,  'price C'!$E$3:$E$27)</f>
        <v>0.5</v>
      </c>
      <c r="I5">
        <f t="shared" si="2"/>
        <v>2520.0000000000005</v>
      </c>
    </row>
    <row r="6" spans="1:12" x14ac:dyDescent="0.2">
      <c r="A6" t="s">
        <v>4</v>
      </c>
      <c r="B6" s="4">
        <v>10</v>
      </c>
      <c r="C6" cm="1">
        <f t="array" ref="C6">_xlfn.XLOOKUP(1, ('price A'!$A$3:$A$27 = demand!$A6) * 1, _xlfn.XLOOKUP(1, ( 'price A'!$B$2:$D$2 = demand!$B6) * 1, 'price A'!$B$3:$D$27))</f>
        <v>400</v>
      </c>
      <c r="D6">
        <f t="shared" si="0"/>
        <v>4480.0000000000009</v>
      </c>
      <c r="E6" cm="1">
        <f t="array" ref="E6">_xlfn.XLOOKUP(1, ('price B'!$A$3:$A$27 = demand!$A6) * 1, _xlfn.XLOOKUP(1, ( 'price B'!$B$2:$D$2 = demand!$B6) * 1, 'price B'!$B$3:$D$27))</f>
        <v>420</v>
      </c>
      <c r="F6">
        <f t="shared" si="1"/>
        <v>3990</v>
      </c>
      <c r="G6" cm="1">
        <f t="array" ref="G6">_xlfn.XLOOKUP(1, ('price C'!$A$3:$A$27 = demand!$A6) * 1, _xlfn.XLOOKUP(1, ( 'price C'!$B$2:$D$2 = demand!$B6) * 1, 'price C'!$B$3:$D$27))</f>
        <v>450</v>
      </c>
      <c r="H6" cm="1">
        <f t="array" ref="H6">_xlfn.XLOOKUP(1, ('price C'!$A$3:$A$27 = demand!$A6) * 1,  'price C'!$E$3:$E$27)</f>
        <v>1.2</v>
      </c>
      <c r="I6">
        <f t="shared" si="2"/>
        <v>6048.0000000000009</v>
      </c>
    </row>
    <row r="7" spans="1:12" x14ac:dyDescent="0.2">
      <c r="A7" t="s">
        <v>5</v>
      </c>
      <c r="B7" s="4">
        <v>10</v>
      </c>
      <c r="C7" cm="1">
        <f t="array" ref="C7">_xlfn.XLOOKUP(1, ('price A'!$A$3:$A$27 = demand!$A7) * 1, _xlfn.XLOOKUP(1, ( 'price A'!$B$2:$D$2 = demand!$B7) * 1, 'price A'!$B$3:$D$27))</f>
        <v>400</v>
      </c>
      <c r="D7">
        <f t="shared" si="0"/>
        <v>4480.0000000000009</v>
      </c>
      <c r="E7" cm="1">
        <f t="array" ref="E7">_xlfn.XLOOKUP(1, ('price B'!$A$3:$A$27 = demand!$A7) * 1, _xlfn.XLOOKUP(1, ( 'price B'!$B$2:$D$2 = demand!$B7) * 1, 'price B'!$B$3:$D$27))</f>
        <v>420</v>
      </c>
      <c r="F7">
        <f t="shared" si="1"/>
        <v>3990</v>
      </c>
      <c r="G7" cm="1">
        <f t="array" ref="G7">_xlfn.XLOOKUP(1, ('price C'!$A$3:$A$27 = demand!$A7) * 1, _xlfn.XLOOKUP(1, ( 'price C'!$B$2:$D$2 = demand!$B7) * 1, 'price C'!$B$3:$D$27))</f>
        <v>450</v>
      </c>
      <c r="H7" cm="1">
        <f t="array" ref="H7">_xlfn.XLOOKUP(1, ('price C'!$A$3:$A$27 = demand!$A7) * 1,  'price C'!$E$3:$E$27)</f>
        <v>1</v>
      </c>
      <c r="I7">
        <f t="shared" si="2"/>
        <v>5040.0000000000009</v>
      </c>
    </row>
    <row r="8" spans="1:12" x14ac:dyDescent="0.2">
      <c r="A8" t="s">
        <v>6</v>
      </c>
      <c r="B8" s="4">
        <v>10</v>
      </c>
      <c r="C8" cm="1">
        <f t="array" ref="C8">_xlfn.XLOOKUP(1, ('price A'!$A$3:$A$27 = demand!$A8) * 1, _xlfn.XLOOKUP(1, ( 'price A'!$B$2:$D$2 = demand!$B8) * 1, 'price A'!$B$3:$D$27))</f>
        <v>570</v>
      </c>
      <c r="D8">
        <f t="shared" si="0"/>
        <v>6384.0000000000009</v>
      </c>
      <c r="E8" cm="1">
        <f t="array" ref="E8">_xlfn.XLOOKUP(1, ('price B'!$A$3:$A$27 = demand!$A8) * 1, _xlfn.XLOOKUP(1, ( 'price B'!$B$2:$D$2 = demand!$B8) * 1, 'price B'!$B$3:$D$27))</f>
        <v>599</v>
      </c>
      <c r="F8">
        <f t="shared" si="1"/>
        <v>5690.5</v>
      </c>
      <c r="G8" cm="1">
        <f t="array" ref="G8">_xlfn.XLOOKUP(1, ('price C'!$A$3:$A$27 = demand!$A8) * 1, _xlfn.XLOOKUP(1, ( 'price C'!$B$2:$D$2 = demand!$B8) * 1, 'price C'!$B$3:$D$27))</f>
        <v>450</v>
      </c>
      <c r="H8" cm="1">
        <f t="array" ref="H8">_xlfn.XLOOKUP(1, ('price C'!$A$3:$A$27 = demand!$A8) * 1,  'price C'!$E$3:$E$27)</f>
        <v>1.3</v>
      </c>
      <c r="I8">
        <f t="shared" si="2"/>
        <v>6552</v>
      </c>
    </row>
    <row r="9" spans="1:12" x14ac:dyDescent="0.2">
      <c r="A9" t="s">
        <v>7</v>
      </c>
      <c r="B9" s="4">
        <v>10</v>
      </c>
      <c r="C9" cm="1">
        <f t="array" ref="C9">_xlfn.XLOOKUP(1, ('price A'!$A$3:$A$27 = demand!$A9) * 1, _xlfn.XLOOKUP(1, ( 'price A'!$B$2:$D$2 = demand!$B9) * 1, 'price A'!$B$3:$D$27))</f>
        <v>700</v>
      </c>
      <c r="D9">
        <f t="shared" si="0"/>
        <v>7840.0000000000009</v>
      </c>
      <c r="E9" cm="1">
        <f t="array" ref="E9">_xlfn.XLOOKUP(1, ('price B'!$A$3:$A$27 = demand!$A9) * 1, _xlfn.XLOOKUP(1, ( 'price B'!$B$2:$D$2 = demand!$B9) * 1, 'price B'!$B$3:$D$27))</f>
        <v>735</v>
      </c>
      <c r="F9">
        <f t="shared" si="1"/>
        <v>6982.5</v>
      </c>
      <c r="G9" cm="1">
        <f t="array" ref="G9">_xlfn.XLOOKUP(1, ('price C'!$A$3:$A$27 = demand!$A9) * 1, _xlfn.XLOOKUP(1, ( 'price C'!$B$2:$D$2 = demand!$B9) * 1, 'price C'!$B$3:$D$27))</f>
        <v>450</v>
      </c>
      <c r="H9" cm="1">
        <f t="array" ref="H9">_xlfn.XLOOKUP(1, ('price C'!$A$3:$A$27 = demand!$A9) * 1,  'price C'!$E$3:$E$27)</f>
        <v>2</v>
      </c>
      <c r="I9">
        <f t="shared" si="2"/>
        <v>10080.000000000002</v>
      </c>
    </row>
    <row r="10" spans="1:12" x14ac:dyDescent="0.2">
      <c r="A10" t="s">
        <v>8</v>
      </c>
      <c r="B10" s="4">
        <v>10</v>
      </c>
      <c r="C10" cm="1">
        <f t="array" ref="C10">_xlfn.XLOOKUP(1, ('price A'!$A$3:$A$27 = demand!$A10) * 1, _xlfn.XLOOKUP(1, ( 'price A'!$B$2:$D$2 = demand!$B10) * 1, 'price A'!$B$3:$D$27))</f>
        <v>600</v>
      </c>
      <c r="D10">
        <f t="shared" si="0"/>
        <v>6720.0000000000009</v>
      </c>
      <c r="E10" cm="1">
        <f t="array" ref="E10">_xlfn.XLOOKUP(1, ('price B'!$A$3:$A$27 = demand!$A10) * 1, _xlfn.XLOOKUP(1, ( 'price B'!$B$2:$D$2 = demand!$B10) * 1, 'price B'!$B$3:$D$27))</f>
        <v>630</v>
      </c>
      <c r="F10">
        <f t="shared" si="1"/>
        <v>5985</v>
      </c>
      <c r="G10" cm="1">
        <f t="array" ref="G10">_xlfn.XLOOKUP(1, ('price C'!$A$3:$A$27 = demand!$A10) * 1, _xlfn.XLOOKUP(1, ( 'price C'!$B$2:$D$2 = demand!$B10) * 1, 'price C'!$B$3:$D$27))</f>
        <v>450</v>
      </c>
      <c r="H10" cm="1">
        <f t="array" ref="H10">_xlfn.XLOOKUP(1, ('price C'!$A$3:$A$27 = demand!$A10) * 1,  'price C'!$E$3:$E$27)</f>
        <v>0.95</v>
      </c>
      <c r="I10">
        <f t="shared" si="2"/>
        <v>4788.0000000000009</v>
      </c>
    </row>
    <row r="11" spans="1:12" x14ac:dyDescent="0.2">
      <c r="A11" t="s">
        <v>10</v>
      </c>
      <c r="B11" s="4">
        <v>10</v>
      </c>
      <c r="C11" cm="1">
        <f t="array" ref="C11">_xlfn.XLOOKUP(1, ('price A'!$A$3:$A$27 = demand!$A11) * 1, _xlfn.XLOOKUP(1, ( 'price A'!$B$2:$D$2 = demand!$B11) * 1, 'price A'!$B$3:$D$27))</f>
        <v>700</v>
      </c>
      <c r="D11">
        <f t="shared" si="0"/>
        <v>7840.0000000000009</v>
      </c>
      <c r="E11" cm="1">
        <f t="array" ref="E11">_xlfn.XLOOKUP(1, ('price B'!$A$3:$A$27 = demand!$A11) * 1, _xlfn.XLOOKUP(1, ( 'price B'!$B$2:$D$2 = demand!$B11) * 1, 'price B'!$B$3:$D$27))</f>
        <v>735</v>
      </c>
      <c r="F11">
        <f t="shared" si="1"/>
        <v>6982.5</v>
      </c>
      <c r="G11" cm="1">
        <f t="array" ref="G11">_xlfn.XLOOKUP(1, ('price C'!$A$3:$A$27 = demand!$A11) * 1, _xlfn.XLOOKUP(1, ( 'price C'!$B$2:$D$2 = demand!$B11) * 1, 'price C'!$B$3:$D$27))</f>
        <v>450</v>
      </c>
      <c r="H11" cm="1">
        <f t="array" ref="H11">_xlfn.XLOOKUP(1, ('price C'!$A$3:$A$27 = demand!$A11) * 1,  'price C'!$E$3:$E$27)</f>
        <v>0.9</v>
      </c>
      <c r="I11">
        <f t="shared" si="2"/>
        <v>4536</v>
      </c>
    </row>
    <row r="12" spans="1:12" x14ac:dyDescent="0.2">
      <c r="A12" t="s">
        <v>11</v>
      </c>
      <c r="B12" s="4">
        <v>10</v>
      </c>
      <c r="C12" cm="1">
        <f t="array" ref="C12">_xlfn.XLOOKUP(1, ('price A'!$A$3:$A$27 = demand!$A12) * 1, _xlfn.XLOOKUP(1, ( 'price A'!$B$2:$D$2 = demand!$B12) * 1, 'price A'!$B$3:$D$27))</f>
        <v>450</v>
      </c>
      <c r="D12">
        <f t="shared" si="0"/>
        <v>5040.0000000000009</v>
      </c>
      <c r="E12" cm="1">
        <f t="array" ref="E12">_xlfn.XLOOKUP(1, ('price B'!$A$3:$A$27 = demand!$A12) * 1, _xlfn.XLOOKUP(1, ( 'price B'!$B$2:$D$2 = demand!$B12) * 1, 'price B'!$B$3:$D$27))</f>
        <v>473</v>
      </c>
      <c r="F12">
        <f t="shared" si="1"/>
        <v>4493.5</v>
      </c>
      <c r="G12" cm="1">
        <f t="array" ref="G12">_xlfn.XLOOKUP(1, ('price C'!$A$3:$A$27 = demand!$A12) * 1, _xlfn.XLOOKUP(1, ( 'price C'!$B$2:$D$2 = demand!$B12) * 1, 'price C'!$B$3:$D$27))</f>
        <v>450</v>
      </c>
      <c r="H12" cm="1">
        <f t="array" ref="H12">_xlfn.XLOOKUP(1, ('price C'!$A$3:$A$27 = demand!$A12) * 1,  'price C'!$E$3:$E$27)</f>
        <v>1.5</v>
      </c>
      <c r="I12">
        <f t="shared" si="2"/>
        <v>7560.0000000000009</v>
      </c>
    </row>
    <row r="13" spans="1:12" x14ac:dyDescent="0.2">
      <c r="A13" t="s">
        <v>12</v>
      </c>
      <c r="B13" s="4">
        <v>10</v>
      </c>
      <c r="C13" cm="1">
        <f t="array" ref="C13">_xlfn.XLOOKUP(1, ('price A'!$A$3:$A$27 = demand!$A13) * 1, _xlfn.XLOOKUP(1, ( 'price A'!$B$2:$D$2 = demand!$B13) * 1, 'price A'!$B$3:$D$27))</f>
        <v>500</v>
      </c>
      <c r="D13">
        <f t="shared" si="0"/>
        <v>5600</v>
      </c>
      <c r="E13" cm="1">
        <f t="array" ref="E13">_xlfn.XLOOKUP(1, ('price B'!$A$3:$A$27 = demand!$A13) * 1, _xlfn.XLOOKUP(1, ( 'price B'!$B$2:$D$2 = demand!$B13) * 1, 'price B'!$B$3:$D$27))</f>
        <v>525</v>
      </c>
      <c r="F13">
        <f t="shared" si="1"/>
        <v>4987.5</v>
      </c>
      <c r="G13" cm="1">
        <f t="array" ref="G13">_xlfn.XLOOKUP(1, ('price C'!$A$3:$A$27 = demand!$A13) * 1, _xlfn.XLOOKUP(1, ( 'price C'!$B$2:$D$2 = demand!$B13) * 1, 'price C'!$B$3:$D$27))</f>
        <v>450</v>
      </c>
      <c r="H13" cm="1">
        <f t="array" ref="H13">_xlfn.XLOOKUP(1, ('price C'!$A$3:$A$27 = demand!$A13) * 1,  'price C'!$E$3:$E$27)</f>
        <v>1</v>
      </c>
      <c r="I13">
        <f t="shared" si="2"/>
        <v>5040.0000000000009</v>
      </c>
    </row>
    <row r="14" spans="1:12" x14ac:dyDescent="0.2">
      <c r="A14" t="s">
        <v>13</v>
      </c>
      <c r="B14" s="4">
        <v>10</v>
      </c>
      <c r="C14" cm="1">
        <f t="array" ref="C14">_xlfn.XLOOKUP(1, ('price A'!$A$3:$A$27 = demand!$A14) * 1, _xlfn.XLOOKUP(1, ( 'price A'!$B$2:$D$2 = demand!$B14) * 1, 'price A'!$B$3:$D$27))</f>
        <v>600</v>
      </c>
      <c r="D14">
        <f t="shared" si="0"/>
        <v>6720.0000000000009</v>
      </c>
      <c r="E14" cm="1">
        <f t="array" ref="E14">_xlfn.XLOOKUP(1, ('price B'!$A$3:$A$27 = demand!$A14) * 1, _xlfn.XLOOKUP(1, ( 'price B'!$B$2:$D$2 = demand!$B14) * 1, 'price B'!$B$3:$D$27))</f>
        <v>630</v>
      </c>
      <c r="F14">
        <f t="shared" si="1"/>
        <v>5985</v>
      </c>
      <c r="G14" cm="1">
        <f t="array" ref="G14">_xlfn.XLOOKUP(1, ('price C'!$A$3:$A$27 = demand!$A14) * 1, _xlfn.XLOOKUP(1, ( 'price C'!$B$2:$D$2 = demand!$B14) * 1, 'price C'!$B$3:$D$27))</f>
        <v>450</v>
      </c>
      <c r="H14" cm="1">
        <f t="array" ref="H14">_xlfn.XLOOKUP(1, ('price C'!$A$3:$A$27 = demand!$A14) * 1,  'price C'!$E$3:$E$27)</f>
        <v>0.7</v>
      </c>
      <c r="I14">
        <f t="shared" si="2"/>
        <v>3528</v>
      </c>
    </row>
    <row r="15" spans="1:12" x14ac:dyDescent="0.2">
      <c r="A15" t="s">
        <v>14</v>
      </c>
      <c r="B15" s="4">
        <v>10</v>
      </c>
      <c r="C15" cm="1">
        <f t="array" ref="C15">_xlfn.XLOOKUP(1, ('price A'!$A$3:$A$27 = demand!$A15) * 1, _xlfn.XLOOKUP(1, ( 'price A'!$B$2:$D$2 = demand!$B15) * 1, 'price A'!$B$3:$D$27))</f>
        <v>450</v>
      </c>
      <c r="D15">
        <f t="shared" si="0"/>
        <v>5040.0000000000009</v>
      </c>
      <c r="E15" cm="1">
        <f t="array" ref="E15">_xlfn.XLOOKUP(1, ('price B'!$A$3:$A$27 = demand!$A15) * 1, _xlfn.XLOOKUP(1, ( 'price B'!$B$2:$D$2 = demand!$B15) * 1, 'price B'!$B$3:$D$27))</f>
        <v>473</v>
      </c>
      <c r="F15">
        <f t="shared" si="1"/>
        <v>4493.5</v>
      </c>
      <c r="G15" cm="1">
        <f t="array" ref="G15">_xlfn.XLOOKUP(1, ('price C'!$A$3:$A$27 = demand!$A15) * 1, _xlfn.XLOOKUP(1, ( 'price C'!$B$2:$D$2 = demand!$B15) * 1, 'price C'!$B$3:$D$27))</f>
        <v>450</v>
      </c>
      <c r="H15" cm="1">
        <f t="array" ref="H15">_xlfn.XLOOKUP(1, ('price C'!$A$3:$A$27 = demand!$A15) * 1,  'price C'!$E$3:$E$27)</f>
        <v>1.5</v>
      </c>
      <c r="I15">
        <f t="shared" si="2"/>
        <v>7560.0000000000009</v>
      </c>
    </row>
    <row r="16" spans="1:12" x14ac:dyDescent="0.2">
      <c r="A16" t="s">
        <v>15</v>
      </c>
      <c r="B16" s="4">
        <v>10</v>
      </c>
      <c r="C16" cm="1">
        <f t="array" ref="C16">_xlfn.XLOOKUP(1, ('price A'!$A$3:$A$27 = demand!$A16) * 1, _xlfn.XLOOKUP(1, ( 'price A'!$B$2:$D$2 = demand!$B16) * 1, 'price A'!$B$3:$D$27))</f>
        <v>500</v>
      </c>
      <c r="D16">
        <f t="shared" si="0"/>
        <v>5600</v>
      </c>
      <c r="E16" cm="1">
        <f t="array" ref="E16">_xlfn.XLOOKUP(1, ('price B'!$A$3:$A$27 = demand!$A16) * 1, _xlfn.XLOOKUP(1, ( 'price B'!$B$2:$D$2 = demand!$B16) * 1, 'price B'!$B$3:$D$27))</f>
        <v>525</v>
      </c>
      <c r="F16">
        <f t="shared" si="1"/>
        <v>4987.5</v>
      </c>
      <c r="G16" cm="1">
        <f t="array" ref="G16">_xlfn.XLOOKUP(1, ('price C'!$A$3:$A$27 = demand!$A16) * 1, _xlfn.XLOOKUP(1, ( 'price C'!$B$2:$D$2 = demand!$B16) * 1, 'price C'!$B$3:$D$27))</f>
        <v>450</v>
      </c>
      <c r="H16" cm="1">
        <f t="array" ref="H16">_xlfn.XLOOKUP(1, ('price C'!$A$3:$A$27 = demand!$A16) * 1,  'price C'!$E$3:$E$27)</f>
        <v>1.5</v>
      </c>
      <c r="I16">
        <f t="shared" si="2"/>
        <v>7560.0000000000009</v>
      </c>
    </row>
    <row r="17" spans="1:9" x14ac:dyDescent="0.2">
      <c r="A17" t="s">
        <v>18</v>
      </c>
      <c r="B17" s="4">
        <v>10</v>
      </c>
      <c r="C17" cm="1">
        <f t="array" ref="C17">_xlfn.XLOOKUP(1, ('price A'!$A$3:$A$27 = demand!$A17) * 1, _xlfn.XLOOKUP(1, ( 'price A'!$B$2:$D$2 = demand!$B17) * 1, 'price A'!$B$3:$D$27))</f>
        <v>450</v>
      </c>
      <c r="D17">
        <f t="shared" si="0"/>
        <v>5040.0000000000009</v>
      </c>
      <c r="E17" cm="1">
        <f t="array" ref="E17">_xlfn.XLOOKUP(1, ('price B'!$A$3:$A$27 = demand!$A17) * 1, _xlfn.XLOOKUP(1, ( 'price B'!$B$2:$D$2 = demand!$B17) * 1, 'price B'!$B$3:$D$27))</f>
        <v>473</v>
      </c>
      <c r="F17">
        <f t="shared" si="1"/>
        <v>4493.5</v>
      </c>
      <c r="G17" cm="1">
        <f t="array" ref="G17">_xlfn.XLOOKUP(1, ('price C'!$A$3:$A$27 = demand!$A17) * 1, _xlfn.XLOOKUP(1, ( 'price C'!$B$2:$D$2 = demand!$B17) * 1, 'price C'!$B$3:$D$27))</f>
        <v>450</v>
      </c>
      <c r="H17" cm="1">
        <f t="array" ref="H17">_xlfn.XLOOKUP(1, ('price C'!$A$3:$A$27 = demand!$A17) * 1,  'price C'!$E$3:$E$27)</f>
        <v>1.5</v>
      </c>
      <c r="I17">
        <f t="shared" si="2"/>
        <v>7560.0000000000009</v>
      </c>
    </row>
    <row r="18" spans="1:9" x14ac:dyDescent="0.2">
      <c r="A18" t="s">
        <v>16</v>
      </c>
      <c r="B18" s="4">
        <v>10</v>
      </c>
      <c r="C18" cm="1">
        <f t="array" ref="C18">_xlfn.XLOOKUP(1, ('price A'!$A$3:$A$27 = demand!$A18) * 1, _xlfn.XLOOKUP(1, ( 'price A'!$B$2:$D$2 = demand!$B18) * 1, 'price A'!$B$3:$D$27))</f>
        <v>1200</v>
      </c>
      <c r="D18">
        <f t="shared" si="0"/>
        <v>13440.000000000002</v>
      </c>
      <c r="E18" cm="1">
        <f t="array" ref="E18">_xlfn.XLOOKUP(1, ('price B'!$A$3:$A$27 = demand!$A18) * 1, _xlfn.XLOOKUP(1, ( 'price B'!$B$2:$D$2 = demand!$B18) * 1, 'price B'!$B$3:$D$27))</f>
        <v>1260</v>
      </c>
      <c r="F18">
        <f t="shared" si="1"/>
        <v>11970</v>
      </c>
      <c r="G18" cm="1">
        <f t="array" ref="G18">_xlfn.XLOOKUP(1, ('price C'!$A$3:$A$27 = demand!$A18) * 1, _xlfn.XLOOKUP(1, ( 'price C'!$B$2:$D$2 = demand!$B18) * 1, 'price C'!$B$3:$D$27))</f>
        <v>450</v>
      </c>
      <c r="H18" cm="1">
        <f t="array" ref="H18">_xlfn.XLOOKUP(1, ('price C'!$A$3:$A$27 = demand!$A18) * 1,  'price C'!$E$3:$E$27)</f>
        <v>3</v>
      </c>
      <c r="I18">
        <f t="shared" si="2"/>
        <v>15120.000000000002</v>
      </c>
    </row>
    <row r="19" spans="1:9" x14ac:dyDescent="0.2">
      <c r="A19" t="s">
        <v>17</v>
      </c>
      <c r="B19" s="4">
        <v>10</v>
      </c>
      <c r="C19" cm="1">
        <f t="array" ref="C19">_xlfn.XLOOKUP(1, ('price A'!$A$3:$A$27 = demand!$A19) * 1, _xlfn.XLOOKUP(1, ( 'price A'!$B$2:$D$2 = demand!$B19) * 1, 'price A'!$B$3:$D$27))</f>
        <v>1200</v>
      </c>
      <c r="D19">
        <f t="shared" si="0"/>
        <v>13440.000000000002</v>
      </c>
      <c r="E19" cm="1">
        <f t="array" ref="E19">_xlfn.XLOOKUP(1, ('price B'!$A$3:$A$27 = demand!$A19) * 1, _xlfn.XLOOKUP(1, ( 'price B'!$B$2:$D$2 = demand!$B19) * 1, 'price B'!$B$3:$D$27))</f>
        <v>1260</v>
      </c>
      <c r="F19">
        <f t="shared" si="1"/>
        <v>11970</v>
      </c>
      <c r="G19" cm="1">
        <f t="array" ref="G19">_xlfn.XLOOKUP(1, ('price C'!$A$3:$A$27 = demand!$A19) * 1, _xlfn.XLOOKUP(1, ( 'price C'!$B$2:$D$2 = demand!$B19) * 1, 'price C'!$B$3:$D$27))</f>
        <v>450</v>
      </c>
      <c r="H19" cm="1">
        <f t="array" ref="H19">_xlfn.XLOOKUP(1, ('price C'!$A$3:$A$27 = demand!$A19) * 1,  'price C'!$E$3:$E$27)</f>
        <v>3</v>
      </c>
      <c r="I19">
        <f t="shared" si="2"/>
        <v>15120.000000000002</v>
      </c>
    </row>
    <row r="20" spans="1:9" x14ac:dyDescent="0.2">
      <c r="A20" t="s">
        <v>19</v>
      </c>
      <c r="B20" s="4">
        <v>10</v>
      </c>
      <c r="C20" cm="1">
        <f t="array" ref="C20">_xlfn.XLOOKUP(1, ('price A'!$A$3:$A$27 = demand!$A20) * 1, _xlfn.XLOOKUP(1, ( 'price A'!$B$2:$D$2 = demand!$B20) * 1, 'price A'!$B$3:$D$27))</f>
        <v>1300</v>
      </c>
      <c r="D20">
        <f t="shared" si="0"/>
        <v>14560.000000000002</v>
      </c>
      <c r="E20" cm="1">
        <f t="array" ref="E20">_xlfn.XLOOKUP(1, ('price B'!$A$3:$A$27 = demand!$A20) * 1, _xlfn.XLOOKUP(1, ( 'price B'!$B$2:$D$2 = demand!$B20) * 1, 'price B'!$B$3:$D$27))</f>
        <v>1365</v>
      </c>
      <c r="F20">
        <f t="shared" si="1"/>
        <v>12967.5</v>
      </c>
      <c r="G20" cm="1">
        <f t="array" ref="G20">_xlfn.XLOOKUP(1, ('price C'!$A$3:$A$27 = demand!$A20) * 1, _xlfn.XLOOKUP(1, ( 'price C'!$B$2:$D$2 = demand!$B20) * 1, 'price C'!$B$3:$D$27))</f>
        <v>450</v>
      </c>
      <c r="H20" cm="1">
        <f t="array" ref="H20">_xlfn.XLOOKUP(1, ('price C'!$A$3:$A$27 = demand!$A20) * 1,  'price C'!$E$3:$E$27)</f>
        <v>3</v>
      </c>
      <c r="I20">
        <f t="shared" si="2"/>
        <v>15120.000000000002</v>
      </c>
    </row>
    <row r="21" spans="1:9" x14ac:dyDescent="0.2">
      <c r="A21" t="s">
        <v>20</v>
      </c>
      <c r="B21" s="4">
        <v>10</v>
      </c>
      <c r="C21" cm="1">
        <f t="array" ref="C21">_xlfn.XLOOKUP(1, ('price A'!$A$3:$A$27 = demand!$A21) * 1, _xlfn.XLOOKUP(1, ( 'price A'!$B$2:$D$2 = demand!$B21) * 1, 'price A'!$B$3:$D$27))</f>
        <v>1300</v>
      </c>
      <c r="D21">
        <f t="shared" si="0"/>
        <v>14560.000000000002</v>
      </c>
      <c r="E21" cm="1">
        <f t="array" ref="E21">_xlfn.XLOOKUP(1, ('price B'!$A$3:$A$27 = demand!$A21) * 1, _xlfn.XLOOKUP(1, ( 'price B'!$B$2:$D$2 = demand!$B21) * 1, 'price B'!$B$3:$D$27))</f>
        <v>1365</v>
      </c>
      <c r="F21">
        <f t="shared" si="1"/>
        <v>12967.5</v>
      </c>
      <c r="G21" cm="1">
        <f t="array" ref="G21">_xlfn.XLOOKUP(1, ('price C'!$A$3:$A$27 = demand!$A21) * 1, _xlfn.XLOOKUP(1, ( 'price C'!$B$2:$D$2 = demand!$B21) * 1, 'price C'!$B$3:$D$27))</f>
        <v>450</v>
      </c>
      <c r="H21" cm="1">
        <f t="array" ref="H21">_xlfn.XLOOKUP(1, ('price C'!$A$3:$A$27 = demand!$A21) * 1,  'price C'!$E$3:$E$27)</f>
        <v>3</v>
      </c>
      <c r="I21">
        <f t="shared" si="2"/>
        <v>15120.000000000002</v>
      </c>
    </row>
    <row r="22" spans="1:9" x14ac:dyDescent="0.2">
      <c r="A22" t="s">
        <v>21</v>
      </c>
      <c r="B22" s="4">
        <v>10</v>
      </c>
      <c r="C22" cm="1">
        <f t="array" ref="C22">_xlfn.XLOOKUP(1, ('price A'!$A$3:$A$27 = demand!$A22) * 1, _xlfn.XLOOKUP(1, ( 'price A'!$B$2:$D$2 = demand!$B22) * 1, 'price A'!$B$3:$D$27))</f>
        <v>1500</v>
      </c>
      <c r="D22">
        <f t="shared" si="0"/>
        <v>16800.000000000004</v>
      </c>
      <c r="E22" cm="1">
        <f t="array" ref="E22">_xlfn.XLOOKUP(1, ('price B'!$A$3:$A$27 = demand!$A22) * 1, _xlfn.XLOOKUP(1, ( 'price B'!$B$2:$D$2 = demand!$B22) * 1, 'price B'!$B$3:$D$27))</f>
        <v>1575</v>
      </c>
      <c r="F22">
        <f t="shared" si="1"/>
        <v>14962.5</v>
      </c>
      <c r="G22" cm="1">
        <f t="array" ref="G22">_xlfn.XLOOKUP(1, ('price C'!$A$3:$A$27 = demand!$A22) * 1, _xlfn.XLOOKUP(1, ( 'price C'!$B$2:$D$2 = demand!$B22) * 1, 'price C'!$B$3:$D$27))</f>
        <v>450</v>
      </c>
      <c r="H22" cm="1">
        <f t="array" ref="H22">_xlfn.XLOOKUP(1, ('price C'!$A$3:$A$27 = demand!$A22) * 1,  'price C'!$E$3:$E$27)</f>
        <v>3</v>
      </c>
      <c r="I22">
        <f t="shared" si="2"/>
        <v>15120.000000000002</v>
      </c>
    </row>
    <row r="23" spans="1:9" x14ac:dyDescent="0.2">
      <c r="A23" t="s">
        <v>23</v>
      </c>
      <c r="B23" s="4">
        <v>10</v>
      </c>
      <c r="C23" cm="1">
        <f t="array" ref="C23">_xlfn.XLOOKUP(1, ('price A'!$A$3:$A$27 = demand!$A23) * 1, _xlfn.XLOOKUP(1, ( 'price A'!$B$2:$D$2 = demand!$B23) * 1, 'price A'!$B$3:$D$27))</f>
        <v>450</v>
      </c>
      <c r="D23">
        <f t="shared" si="0"/>
        <v>5040.0000000000009</v>
      </c>
      <c r="E23" cm="1">
        <f t="array" ref="E23">_xlfn.XLOOKUP(1, ('price B'!$A$3:$A$27 = demand!$A23) * 1, _xlfn.XLOOKUP(1, ( 'price B'!$B$2:$D$2 = demand!$B23) * 1, 'price B'!$B$3:$D$27))</f>
        <v>473</v>
      </c>
      <c r="F23">
        <f t="shared" si="1"/>
        <v>4493.5</v>
      </c>
      <c r="G23" cm="1">
        <f t="array" ref="G23">_xlfn.XLOOKUP(1, ('price C'!$A$3:$A$27 = demand!$A23) * 1, _xlfn.XLOOKUP(1, ( 'price C'!$B$2:$D$2 = demand!$B23) * 1, 'price C'!$B$3:$D$27))</f>
        <v>450</v>
      </c>
      <c r="H23" cm="1">
        <f t="array" ref="H23">_xlfn.XLOOKUP(1, ('price C'!$A$3:$A$27 = demand!$A23) * 1,  'price C'!$E$3:$E$27)</f>
        <v>0.9</v>
      </c>
      <c r="I23">
        <f t="shared" si="2"/>
        <v>4536</v>
      </c>
    </row>
    <row r="24" spans="1:9" x14ac:dyDescent="0.2">
      <c r="A24" t="s">
        <v>24</v>
      </c>
      <c r="B24" s="4">
        <v>10</v>
      </c>
      <c r="C24" cm="1">
        <f t="array" ref="C24">_xlfn.XLOOKUP(1, ('price A'!$A$3:$A$27 = demand!$A24) * 1, _xlfn.XLOOKUP(1, ( 'price A'!$B$2:$D$2 = demand!$B24) * 1, 'price A'!$B$3:$D$27))</f>
        <v>700</v>
      </c>
      <c r="D24">
        <f t="shared" si="0"/>
        <v>7840.0000000000009</v>
      </c>
      <c r="E24" cm="1">
        <f t="array" ref="E24">_xlfn.XLOOKUP(1, ('price B'!$A$3:$A$27 = demand!$A24) * 1, _xlfn.XLOOKUP(1, ( 'price B'!$B$2:$D$2 = demand!$B24) * 1, 'price B'!$B$3:$D$27))</f>
        <v>735</v>
      </c>
      <c r="F24">
        <f t="shared" si="1"/>
        <v>6982.5</v>
      </c>
      <c r="G24" cm="1">
        <f t="array" ref="G24">_xlfn.XLOOKUP(1, ('price C'!$A$3:$A$27 = demand!$A24) * 1, _xlfn.XLOOKUP(1, ( 'price C'!$B$2:$D$2 = demand!$B24) * 1, 'price C'!$B$3:$D$27))</f>
        <v>450</v>
      </c>
      <c r="H24" cm="1">
        <f t="array" ref="H24">_xlfn.XLOOKUP(1, ('price C'!$A$3:$A$27 = demand!$A24) * 1,  'price C'!$E$3:$E$27)</f>
        <v>1.5</v>
      </c>
      <c r="I24">
        <f t="shared" si="2"/>
        <v>7560.0000000000009</v>
      </c>
    </row>
    <row r="25" spans="1:9" x14ac:dyDescent="0.2">
      <c r="A25" t="s">
        <v>0</v>
      </c>
      <c r="B25" s="4">
        <v>10</v>
      </c>
      <c r="C25" cm="1">
        <f t="array" ref="C25">_xlfn.XLOOKUP(1, ('price A'!$A$3:$A$27 = demand!$A25) * 1, _xlfn.XLOOKUP(1, ( 'price A'!$B$2:$D$2 = demand!$B25) * 1, 'price A'!$B$3:$D$27))</f>
        <v>400</v>
      </c>
      <c r="D25">
        <f t="shared" si="0"/>
        <v>4480.0000000000009</v>
      </c>
      <c r="E25" cm="1">
        <f t="array" ref="E25">_xlfn.XLOOKUP(1, ('price B'!$A$3:$A$27 = demand!$A25) * 1, _xlfn.XLOOKUP(1, ( 'price B'!$B$2:$D$2 = demand!$B25) * 1, 'price B'!$B$3:$D$27))</f>
        <v>420</v>
      </c>
      <c r="F25">
        <f t="shared" si="1"/>
        <v>3990</v>
      </c>
      <c r="G25" cm="1">
        <f t="array" ref="G25">_xlfn.XLOOKUP(1, ('price C'!$A$3:$A$27 = demand!$A25) * 1, _xlfn.XLOOKUP(1, ( 'price C'!$B$2:$D$2 = demand!$B25) * 1, 'price C'!$B$3:$D$27))</f>
        <v>450</v>
      </c>
      <c r="H25" cm="1">
        <f t="array" ref="H25">_xlfn.XLOOKUP(1, ('price C'!$A$3:$A$27 = demand!$A25) * 1,  'price C'!$E$3:$E$27)</f>
        <v>0.95</v>
      </c>
      <c r="I25">
        <f t="shared" si="2"/>
        <v>4788.0000000000009</v>
      </c>
    </row>
    <row r="26" spans="1:9" x14ac:dyDescent="0.2">
      <c r="A26" t="s">
        <v>1</v>
      </c>
      <c r="B26" s="4">
        <v>10</v>
      </c>
      <c r="C26" cm="1">
        <f t="array" ref="C26">_xlfn.XLOOKUP(1, ('price A'!$A$3:$A$27 = demand!$A26) * 1, _xlfn.XLOOKUP(1, ( 'price A'!$B$2:$D$2 = demand!$B26) * 1, 'price A'!$B$3:$D$27))</f>
        <v>450</v>
      </c>
      <c r="D26">
        <f t="shared" si="0"/>
        <v>5040.0000000000009</v>
      </c>
      <c r="E26" cm="1">
        <f t="array" ref="E26">_xlfn.XLOOKUP(1, ('price B'!$A$3:$A$27 = demand!$A26) * 1, _xlfn.XLOOKUP(1, ( 'price B'!$B$2:$D$2 = demand!$B26) * 1, 'price B'!$B$3:$D$27))</f>
        <v>473</v>
      </c>
      <c r="F26">
        <f t="shared" si="1"/>
        <v>4493.5</v>
      </c>
      <c r="G26" cm="1">
        <f t="array" ref="G26">_xlfn.XLOOKUP(1, ('price C'!$A$3:$A$27 = demand!$A26) * 1, _xlfn.XLOOKUP(1, ( 'price C'!$B$2:$D$2 = demand!$B26) * 1, 'price C'!$B$3:$D$27))</f>
        <v>450</v>
      </c>
      <c r="H26" cm="1">
        <f t="array" ref="H26">_xlfn.XLOOKUP(1, ('price C'!$A$3:$A$27 = demand!$A26) * 1,  'price C'!$E$3:$E$27)</f>
        <v>0.98</v>
      </c>
      <c r="I26">
        <f t="shared" si="2"/>
        <v>4939.2000000000007</v>
      </c>
    </row>
    <row r="27" spans="1:9" x14ac:dyDescent="0.2">
      <c r="A27" t="s">
        <v>2</v>
      </c>
      <c r="B27" s="4">
        <v>10</v>
      </c>
      <c r="C27" cm="1">
        <f t="array" ref="C27">_xlfn.XLOOKUP(1, ('price A'!$A$3:$A$27 = demand!$A27) * 1, _xlfn.XLOOKUP(1, ( 'price A'!$B$2:$D$2 = demand!$B27) * 1, 'price A'!$B$3:$D$27))</f>
        <v>700</v>
      </c>
      <c r="D27">
        <f t="shared" si="0"/>
        <v>7840.0000000000009</v>
      </c>
      <c r="E27" cm="1">
        <f t="array" ref="E27">_xlfn.XLOOKUP(1, ('price B'!$A$3:$A$27 = demand!$A27) * 1, _xlfn.XLOOKUP(1, ( 'price B'!$B$2:$D$2 = demand!$B27) * 1, 'price B'!$B$3:$D$27))</f>
        <v>735</v>
      </c>
      <c r="F27">
        <f t="shared" si="1"/>
        <v>6982.5</v>
      </c>
      <c r="G27" cm="1">
        <f t="array" ref="G27">_xlfn.XLOOKUP(1, ('price C'!$A$3:$A$27 = demand!$A27) * 1, _xlfn.XLOOKUP(1, ( 'price C'!$B$2:$D$2 = demand!$B27) * 1, 'price C'!$B$3:$D$27))</f>
        <v>450</v>
      </c>
      <c r="H27" cm="1">
        <f t="array" ref="H27">_xlfn.XLOOKUP(1, ('price C'!$A$3:$A$27 = demand!$A27) * 1,  'price C'!$E$3:$E$27)</f>
        <v>2</v>
      </c>
      <c r="I27">
        <f t="shared" si="2"/>
        <v>10080.000000000002</v>
      </c>
    </row>
    <row r="28" spans="1:9" x14ac:dyDescent="0.2">
      <c r="A28" t="s">
        <v>3</v>
      </c>
      <c r="B28" s="4">
        <v>10</v>
      </c>
      <c r="C28" cm="1">
        <f t="array" ref="C28">_xlfn.XLOOKUP(1, ('price A'!$A$3:$A$27 = demand!$A28) * 1, _xlfn.XLOOKUP(1, ( 'price A'!$B$2:$D$2 = demand!$B28) * 1, 'price A'!$B$3:$D$27))</f>
        <v>400</v>
      </c>
      <c r="D28">
        <f t="shared" si="0"/>
        <v>4480.0000000000009</v>
      </c>
      <c r="E28" cm="1">
        <f t="array" ref="E28">_xlfn.XLOOKUP(1, ('price B'!$A$3:$A$27 = demand!$A28) * 1, _xlfn.XLOOKUP(1, ( 'price B'!$B$2:$D$2 = demand!$B28) * 1, 'price B'!$B$3:$D$27))</f>
        <v>420</v>
      </c>
      <c r="F28">
        <f t="shared" si="1"/>
        <v>3990</v>
      </c>
      <c r="G28" cm="1">
        <f t="array" ref="G28">_xlfn.XLOOKUP(1, ('price C'!$A$3:$A$27 = demand!$A28) * 1, _xlfn.XLOOKUP(1, ( 'price C'!$B$2:$D$2 = demand!$B28) * 1, 'price C'!$B$3:$D$27))</f>
        <v>450</v>
      </c>
      <c r="H28" cm="1">
        <f t="array" ref="H28">_xlfn.XLOOKUP(1, ('price C'!$A$3:$A$27 = demand!$A28) * 1,  'price C'!$E$3:$E$27)</f>
        <v>0.5</v>
      </c>
      <c r="I28">
        <f t="shared" si="2"/>
        <v>2520.0000000000005</v>
      </c>
    </row>
    <row r="29" spans="1:9" x14ac:dyDescent="0.2">
      <c r="A29" t="s">
        <v>4</v>
      </c>
      <c r="B29" s="4">
        <v>10</v>
      </c>
      <c r="C29" cm="1">
        <f t="array" ref="C29">_xlfn.XLOOKUP(1, ('price A'!$A$3:$A$27 = demand!$A29) * 1, _xlfn.XLOOKUP(1, ( 'price A'!$B$2:$D$2 = demand!$B29) * 1, 'price A'!$B$3:$D$27))</f>
        <v>400</v>
      </c>
      <c r="D29">
        <f t="shared" si="0"/>
        <v>4480.0000000000009</v>
      </c>
      <c r="E29" cm="1">
        <f t="array" ref="E29">_xlfn.XLOOKUP(1, ('price B'!$A$3:$A$27 = demand!$A29) * 1, _xlfn.XLOOKUP(1, ( 'price B'!$B$2:$D$2 = demand!$B29) * 1, 'price B'!$B$3:$D$27))</f>
        <v>420</v>
      </c>
      <c r="F29">
        <f t="shared" si="1"/>
        <v>3990</v>
      </c>
      <c r="G29" cm="1">
        <f t="array" ref="G29">_xlfn.XLOOKUP(1, ('price C'!$A$3:$A$27 = demand!$A29) * 1, _xlfn.XLOOKUP(1, ( 'price C'!$B$2:$D$2 = demand!$B29) * 1, 'price C'!$B$3:$D$27))</f>
        <v>450</v>
      </c>
      <c r="H29" cm="1">
        <f t="array" ref="H29">_xlfn.XLOOKUP(1, ('price C'!$A$3:$A$27 = demand!$A29) * 1,  'price C'!$E$3:$E$27)</f>
        <v>1.2</v>
      </c>
      <c r="I29">
        <f t="shared" si="2"/>
        <v>6048.0000000000009</v>
      </c>
    </row>
    <row r="30" spans="1:9" x14ac:dyDescent="0.2">
      <c r="A30" t="s">
        <v>5</v>
      </c>
      <c r="B30" s="4">
        <v>10</v>
      </c>
      <c r="C30" cm="1">
        <f t="array" ref="C30">_xlfn.XLOOKUP(1, ('price A'!$A$3:$A$27 = demand!$A30) * 1, _xlfn.XLOOKUP(1, ( 'price A'!$B$2:$D$2 = demand!$B30) * 1, 'price A'!$B$3:$D$27))</f>
        <v>400</v>
      </c>
      <c r="D30">
        <f t="shared" si="0"/>
        <v>4480.0000000000009</v>
      </c>
      <c r="E30" cm="1">
        <f t="array" ref="E30">_xlfn.XLOOKUP(1, ('price B'!$A$3:$A$27 = demand!$A30) * 1, _xlfn.XLOOKUP(1, ( 'price B'!$B$2:$D$2 = demand!$B30) * 1, 'price B'!$B$3:$D$27))</f>
        <v>420</v>
      </c>
      <c r="F30">
        <f t="shared" si="1"/>
        <v>3990</v>
      </c>
      <c r="G30" cm="1">
        <f t="array" ref="G30">_xlfn.XLOOKUP(1, ('price C'!$A$3:$A$27 = demand!$A30) * 1, _xlfn.XLOOKUP(1, ( 'price C'!$B$2:$D$2 = demand!$B30) * 1, 'price C'!$B$3:$D$27))</f>
        <v>450</v>
      </c>
      <c r="H30" cm="1">
        <f t="array" ref="H30">_xlfn.XLOOKUP(1, ('price C'!$A$3:$A$27 = demand!$A30) * 1,  'price C'!$E$3:$E$27)</f>
        <v>1</v>
      </c>
      <c r="I30">
        <f t="shared" si="2"/>
        <v>5040.0000000000009</v>
      </c>
    </row>
    <row r="31" spans="1:9" x14ac:dyDescent="0.2">
      <c r="A31" t="s">
        <v>6</v>
      </c>
      <c r="B31" s="4">
        <v>10</v>
      </c>
      <c r="C31" cm="1">
        <f t="array" ref="C31">_xlfn.XLOOKUP(1, ('price A'!$A$3:$A$27 = demand!$A31) * 1, _xlfn.XLOOKUP(1, ( 'price A'!$B$2:$D$2 = demand!$B31) * 1, 'price A'!$B$3:$D$27))</f>
        <v>570</v>
      </c>
      <c r="D31">
        <f t="shared" si="0"/>
        <v>6384.0000000000009</v>
      </c>
      <c r="E31" cm="1">
        <f t="array" ref="E31">_xlfn.XLOOKUP(1, ('price B'!$A$3:$A$27 = demand!$A31) * 1, _xlfn.XLOOKUP(1, ( 'price B'!$B$2:$D$2 = demand!$B31) * 1, 'price B'!$B$3:$D$27))</f>
        <v>599</v>
      </c>
      <c r="F31">
        <f t="shared" si="1"/>
        <v>5690.5</v>
      </c>
      <c r="G31" cm="1">
        <f t="array" ref="G31">_xlfn.XLOOKUP(1, ('price C'!$A$3:$A$27 = demand!$A31) * 1, _xlfn.XLOOKUP(1, ( 'price C'!$B$2:$D$2 = demand!$B31) * 1, 'price C'!$B$3:$D$27))</f>
        <v>450</v>
      </c>
      <c r="H31" cm="1">
        <f t="array" ref="H31">_xlfn.XLOOKUP(1, ('price C'!$A$3:$A$27 = demand!$A31) * 1,  'price C'!$E$3:$E$27)</f>
        <v>1.3</v>
      </c>
      <c r="I31">
        <f t="shared" si="2"/>
        <v>6552</v>
      </c>
    </row>
    <row r="32" spans="1:9" x14ac:dyDescent="0.2">
      <c r="A32" t="s">
        <v>7</v>
      </c>
      <c r="B32" s="4">
        <v>10</v>
      </c>
      <c r="C32" cm="1">
        <f t="array" ref="C32">_xlfn.XLOOKUP(1, ('price A'!$A$3:$A$27 = demand!$A32) * 1, _xlfn.XLOOKUP(1, ( 'price A'!$B$2:$D$2 = demand!$B32) * 1, 'price A'!$B$3:$D$27))</f>
        <v>700</v>
      </c>
      <c r="D32">
        <f t="shared" si="0"/>
        <v>7840.0000000000009</v>
      </c>
      <c r="E32" cm="1">
        <f t="array" ref="E32">_xlfn.XLOOKUP(1, ('price B'!$A$3:$A$27 = demand!$A32) * 1, _xlfn.XLOOKUP(1, ( 'price B'!$B$2:$D$2 = demand!$B32) * 1, 'price B'!$B$3:$D$27))</f>
        <v>735</v>
      </c>
      <c r="F32">
        <f t="shared" si="1"/>
        <v>6982.5</v>
      </c>
      <c r="G32" cm="1">
        <f t="array" ref="G32">_xlfn.XLOOKUP(1, ('price C'!$A$3:$A$27 = demand!$A32) * 1, _xlfn.XLOOKUP(1, ( 'price C'!$B$2:$D$2 = demand!$B32) * 1, 'price C'!$B$3:$D$27))</f>
        <v>450</v>
      </c>
      <c r="H32" cm="1">
        <f t="array" ref="H32">_xlfn.XLOOKUP(1, ('price C'!$A$3:$A$27 = demand!$A32) * 1,  'price C'!$E$3:$E$27)</f>
        <v>2</v>
      </c>
      <c r="I32">
        <f t="shared" si="2"/>
        <v>10080.000000000002</v>
      </c>
    </row>
    <row r="33" spans="1:9" x14ac:dyDescent="0.2">
      <c r="A33" t="s">
        <v>8</v>
      </c>
      <c r="B33" s="4">
        <v>10</v>
      </c>
      <c r="C33" cm="1">
        <f t="array" ref="C33">_xlfn.XLOOKUP(1, ('price A'!$A$3:$A$27 = demand!$A33) * 1, _xlfn.XLOOKUP(1, ( 'price A'!$B$2:$D$2 = demand!$B33) * 1, 'price A'!$B$3:$D$27))</f>
        <v>600</v>
      </c>
      <c r="D33">
        <f t="shared" si="0"/>
        <v>6720.0000000000009</v>
      </c>
      <c r="E33" cm="1">
        <f t="array" ref="E33">_xlfn.XLOOKUP(1, ('price B'!$A$3:$A$27 = demand!$A33) * 1, _xlfn.XLOOKUP(1, ( 'price B'!$B$2:$D$2 = demand!$B33) * 1, 'price B'!$B$3:$D$27))</f>
        <v>630</v>
      </c>
      <c r="F33">
        <f t="shared" si="1"/>
        <v>5985</v>
      </c>
      <c r="G33" cm="1">
        <f t="array" ref="G33">_xlfn.XLOOKUP(1, ('price C'!$A$3:$A$27 = demand!$A33) * 1, _xlfn.XLOOKUP(1, ( 'price C'!$B$2:$D$2 = demand!$B33) * 1, 'price C'!$B$3:$D$27))</f>
        <v>450</v>
      </c>
      <c r="H33" cm="1">
        <f t="array" ref="H33">_xlfn.XLOOKUP(1, ('price C'!$A$3:$A$27 = demand!$A33) * 1,  'price C'!$E$3:$E$27)</f>
        <v>0.95</v>
      </c>
      <c r="I33">
        <f t="shared" si="2"/>
        <v>4788.0000000000009</v>
      </c>
    </row>
    <row r="34" spans="1:9" x14ac:dyDescent="0.2">
      <c r="A34" t="s">
        <v>9</v>
      </c>
      <c r="B34" s="4">
        <v>10</v>
      </c>
      <c r="C34" cm="1">
        <f t="array" ref="C34">_xlfn.XLOOKUP(1, ('price A'!$A$3:$A$27 = demand!$A34) * 1, _xlfn.XLOOKUP(1, ( 'price A'!$B$2:$D$2 = demand!$B34) * 1, 'price A'!$B$3:$D$27))</f>
        <v>550</v>
      </c>
      <c r="D34">
        <f t="shared" si="0"/>
        <v>6160.0000000000009</v>
      </c>
      <c r="E34" cm="1">
        <f t="array" ref="E34">_xlfn.XLOOKUP(1, ('price B'!$A$3:$A$27 = demand!$A34) * 1, _xlfn.XLOOKUP(1, ( 'price B'!$B$2:$D$2 = demand!$B34) * 1, 'price B'!$B$3:$D$27))</f>
        <v>578</v>
      </c>
      <c r="F34">
        <f t="shared" si="1"/>
        <v>5491</v>
      </c>
      <c r="G34" cm="1">
        <f t="array" ref="G34">_xlfn.XLOOKUP(1, ('price C'!$A$3:$A$27 = demand!$A34) * 1, _xlfn.XLOOKUP(1, ( 'price C'!$B$2:$D$2 = demand!$B34) * 1, 'price C'!$B$3:$D$27))</f>
        <v>450</v>
      </c>
      <c r="H34" cm="1">
        <f t="array" ref="H34">_xlfn.XLOOKUP(1, ('price C'!$A$3:$A$27 = demand!$A34) * 1,  'price C'!$E$3:$E$27)</f>
        <v>0.9</v>
      </c>
      <c r="I34">
        <f t="shared" si="2"/>
        <v>4536</v>
      </c>
    </row>
    <row r="35" spans="1:9" x14ac:dyDescent="0.2">
      <c r="A35" t="s">
        <v>10</v>
      </c>
      <c r="B35" s="4">
        <v>10</v>
      </c>
      <c r="C35" cm="1">
        <f t="array" ref="C35">_xlfn.XLOOKUP(1, ('price A'!$A$3:$A$27 = demand!$A35) * 1, _xlfn.XLOOKUP(1, ( 'price A'!$B$2:$D$2 = demand!$B35) * 1, 'price A'!$B$3:$D$27))</f>
        <v>700</v>
      </c>
      <c r="D35">
        <f t="shared" si="0"/>
        <v>7840.0000000000009</v>
      </c>
      <c r="E35" cm="1">
        <f t="array" ref="E35">_xlfn.XLOOKUP(1, ('price B'!$A$3:$A$27 = demand!$A35) * 1, _xlfn.XLOOKUP(1, ( 'price B'!$B$2:$D$2 = demand!$B35) * 1, 'price B'!$B$3:$D$27))</f>
        <v>735</v>
      </c>
      <c r="F35">
        <f t="shared" si="1"/>
        <v>6982.5</v>
      </c>
      <c r="G35" cm="1">
        <f t="array" ref="G35">_xlfn.XLOOKUP(1, ('price C'!$A$3:$A$27 = demand!$A35) * 1, _xlfn.XLOOKUP(1, ( 'price C'!$B$2:$D$2 = demand!$B35) * 1, 'price C'!$B$3:$D$27))</f>
        <v>450</v>
      </c>
      <c r="H35" cm="1">
        <f t="array" ref="H35">_xlfn.XLOOKUP(1, ('price C'!$A$3:$A$27 = demand!$A35) * 1,  'price C'!$E$3:$E$27)</f>
        <v>0.9</v>
      </c>
      <c r="I35">
        <f t="shared" si="2"/>
        <v>4536</v>
      </c>
    </row>
    <row r="36" spans="1:9" x14ac:dyDescent="0.2">
      <c r="A36" t="s">
        <v>11</v>
      </c>
      <c r="B36" s="4">
        <v>10</v>
      </c>
      <c r="C36" cm="1">
        <f t="array" ref="C36">_xlfn.XLOOKUP(1, ('price A'!$A$3:$A$27 = demand!$A36) * 1, _xlfn.XLOOKUP(1, ( 'price A'!$B$2:$D$2 = demand!$B36) * 1, 'price A'!$B$3:$D$27))</f>
        <v>450</v>
      </c>
      <c r="D36">
        <f t="shared" si="0"/>
        <v>5040.0000000000009</v>
      </c>
      <c r="E36" cm="1">
        <f t="array" ref="E36">_xlfn.XLOOKUP(1, ('price B'!$A$3:$A$27 = demand!$A36) * 1, _xlfn.XLOOKUP(1, ( 'price B'!$B$2:$D$2 = demand!$B36) * 1, 'price B'!$B$3:$D$27))</f>
        <v>473</v>
      </c>
      <c r="F36">
        <f t="shared" si="1"/>
        <v>4493.5</v>
      </c>
      <c r="G36" cm="1">
        <f t="array" ref="G36">_xlfn.XLOOKUP(1, ('price C'!$A$3:$A$27 = demand!$A36) * 1, _xlfn.XLOOKUP(1, ( 'price C'!$B$2:$D$2 = demand!$B36) * 1, 'price C'!$B$3:$D$27))</f>
        <v>450</v>
      </c>
      <c r="H36" cm="1">
        <f t="array" ref="H36">_xlfn.XLOOKUP(1, ('price C'!$A$3:$A$27 = demand!$A36) * 1,  'price C'!$E$3:$E$27)</f>
        <v>1.5</v>
      </c>
      <c r="I36">
        <f t="shared" si="2"/>
        <v>7560.0000000000009</v>
      </c>
    </row>
    <row r="37" spans="1:9" x14ac:dyDescent="0.2">
      <c r="A37" t="s">
        <v>12</v>
      </c>
      <c r="B37" s="4">
        <v>10</v>
      </c>
      <c r="C37" cm="1">
        <f t="array" ref="C37">_xlfn.XLOOKUP(1, ('price A'!$A$3:$A$27 = demand!$A37) * 1, _xlfn.XLOOKUP(1, ( 'price A'!$B$2:$D$2 = demand!$B37) * 1, 'price A'!$B$3:$D$27))</f>
        <v>500</v>
      </c>
      <c r="D37">
        <f t="shared" si="0"/>
        <v>5600</v>
      </c>
      <c r="E37" cm="1">
        <f t="array" ref="E37">_xlfn.XLOOKUP(1, ('price B'!$A$3:$A$27 = demand!$A37) * 1, _xlfn.XLOOKUP(1, ( 'price B'!$B$2:$D$2 = demand!$B37) * 1, 'price B'!$B$3:$D$27))</f>
        <v>525</v>
      </c>
      <c r="F37">
        <f t="shared" si="1"/>
        <v>4987.5</v>
      </c>
      <c r="G37" cm="1">
        <f t="array" ref="G37">_xlfn.XLOOKUP(1, ('price C'!$A$3:$A$27 = demand!$A37) * 1, _xlfn.XLOOKUP(1, ( 'price C'!$B$2:$D$2 = demand!$B37) * 1, 'price C'!$B$3:$D$27))</f>
        <v>450</v>
      </c>
      <c r="H37" cm="1">
        <f t="array" ref="H37">_xlfn.XLOOKUP(1, ('price C'!$A$3:$A$27 = demand!$A37) * 1,  'price C'!$E$3:$E$27)</f>
        <v>1</v>
      </c>
      <c r="I37">
        <f t="shared" si="2"/>
        <v>5040.0000000000009</v>
      </c>
    </row>
    <row r="38" spans="1:9" x14ac:dyDescent="0.2">
      <c r="A38" t="s">
        <v>13</v>
      </c>
      <c r="B38" s="4">
        <v>10</v>
      </c>
      <c r="C38" cm="1">
        <f t="array" ref="C38">_xlfn.XLOOKUP(1, ('price A'!$A$3:$A$27 = demand!$A38) * 1, _xlfn.XLOOKUP(1, ( 'price A'!$B$2:$D$2 = demand!$B38) * 1, 'price A'!$B$3:$D$27))</f>
        <v>600</v>
      </c>
      <c r="D38">
        <f t="shared" si="0"/>
        <v>6720.0000000000009</v>
      </c>
      <c r="E38" cm="1">
        <f t="array" ref="E38">_xlfn.XLOOKUP(1, ('price B'!$A$3:$A$27 = demand!$A38) * 1, _xlfn.XLOOKUP(1, ( 'price B'!$B$2:$D$2 = demand!$B38) * 1, 'price B'!$B$3:$D$27))</f>
        <v>630</v>
      </c>
      <c r="F38">
        <f t="shared" si="1"/>
        <v>5985</v>
      </c>
      <c r="G38" cm="1">
        <f t="array" ref="G38">_xlfn.XLOOKUP(1, ('price C'!$A$3:$A$27 = demand!$A38) * 1, _xlfn.XLOOKUP(1, ( 'price C'!$B$2:$D$2 = demand!$B38) * 1, 'price C'!$B$3:$D$27))</f>
        <v>450</v>
      </c>
      <c r="H38" cm="1">
        <f t="array" ref="H38">_xlfn.XLOOKUP(1, ('price C'!$A$3:$A$27 = demand!$A38) * 1,  'price C'!$E$3:$E$27)</f>
        <v>0.7</v>
      </c>
      <c r="I38">
        <f t="shared" si="2"/>
        <v>3528</v>
      </c>
    </row>
    <row r="39" spans="1:9" x14ac:dyDescent="0.2">
      <c r="A39" t="s">
        <v>14</v>
      </c>
      <c r="B39" s="4">
        <v>10</v>
      </c>
      <c r="C39" cm="1">
        <f t="array" ref="C39">_xlfn.XLOOKUP(1, ('price A'!$A$3:$A$27 = demand!$A39) * 1, _xlfn.XLOOKUP(1, ( 'price A'!$B$2:$D$2 = demand!$B39) * 1, 'price A'!$B$3:$D$27))</f>
        <v>450</v>
      </c>
      <c r="D39">
        <f t="shared" si="0"/>
        <v>5040.0000000000009</v>
      </c>
      <c r="E39" cm="1">
        <f t="array" ref="E39">_xlfn.XLOOKUP(1, ('price B'!$A$3:$A$27 = demand!$A39) * 1, _xlfn.XLOOKUP(1, ( 'price B'!$B$2:$D$2 = demand!$B39) * 1, 'price B'!$B$3:$D$27))</f>
        <v>473</v>
      </c>
      <c r="F39">
        <f t="shared" si="1"/>
        <v>4493.5</v>
      </c>
      <c r="G39" cm="1">
        <f t="array" ref="G39">_xlfn.XLOOKUP(1, ('price C'!$A$3:$A$27 = demand!$A39) * 1, _xlfn.XLOOKUP(1, ( 'price C'!$B$2:$D$2 = demand!$B39) * 1, 'price C'!$B$3:$D$27))</f>
        <v>450</v>
      </c>
      <c r="H39" cm="1">
        <f t="array" ref="H39">_xlfn.XLOOKUP(1, ('price C'!$A$3:$A$27 = demand!$A39) * 1,  'price C'!$E$3:$E$27)</f>
        <v>1.5</v>
      </c>
      <c r="I39">
        <f t="shared" si="2"/>
        <v>7560.0000000000009</v>
      </c>
    </row>
    <row r="40" spans="1:9" x14ac:dyDescent="0.2">
      <c r="A40" t="s">
        <v>15</v>
      </c>
      <c r="B40" s="4">
        <v>10</v>
      </c>
      <c r="C40" cm="1">
        <f t="array" ref="C40">_xlfn.XLOOKUP(1, ('price A'!$A$3:$A$27 = demand!$A40) * 1, _xlfn.XLOOKUP(1, ( 'price A'!$B$2:$D$2 = demand!$B40) * 1, 'price A'!$B$3:$D$27))</f>
        <v>500</v>
      </c>
      <c r="D40">
        <f t="shared" si="0"/>
        <v>5600</v>
      </c>
      <c r="E40" cm="1">
        <f t="array" ref="E40">_xlfn.XLOOKUP(1, ('price B'!$A$3:$A$27 = demand!$A40) * 1, _xlfn.XLOOKUP(1, ( 'price B'!$B$2:$D$2 = demand!$B40) * 1, 'price B'!$B$3:$D$27))</f>
        <v>525</v>
      </c>
      <c r="F40">
        <f t="shared" si="1"/>
        <v>4987.5</v>
      </c>
      <c r="G40" cm="1">
        <f t="array" ref="G40">_xlfn.XLOOKUP(1, ('price C'!$A$3:$A$27 = demand!$A40) * 1, _xlfn.XLOOKUP(1, ( 'price C'!$B$2:$D$2 = demand!$B40) * 1, 'price C'!$B$3:$D$27))</f>
        <v>450</v>
      </c>
      <c r="H40" cm="1">
        <f t="array" ref="H40">_xlfn.XLOOKUP(1, ('price C'!$A$3:$A$27 = demand!$A40) * 1,  'price C'!$E$3:$E$27)</f>
        <v>1.5</v>
      </c>
      <c r="I40">
        <f t="shared" si="2"/>
        <v>7560.0000000000009</v>
      </c>
    </row>
    <row r="41" spans="1:9" x14ac:dyDescent="0.2">
      <c r="A41" t="s">
        <v>18</v>
      </c>
      <c r="B41" s="4">
        <v>10</v>
      </c>
      <c r="C41" cm="1">
        <f t="array" ref="C41">_xlfn.XLOOKUP(1, ('price A'!$A$3:$A$27 = demand!$A41) * 1, _xlfn.XLOOKUP(1, ( 'price A'!$B$2:$D$2 = demand!$B41) * 1, 'price A'!$B$3:$D$27))</f>
        <v>450</v>
      </c>
      <c r="D41">
        <f t="shared" si="0"/>
        <v>5040.0000000000009</v>
      </c>
      <c r="E41" cm="1">
        <f t="array" ref="E41">_xlfn.XLOOKUP(1, ('price B'!$A$3:$A$27 = demand!$A41) * 1, _xlfn.XLOOKUP(1, ( 'price B'!$B$2:$D$2 = demand!$B41) * 1, 'price B'!$B$3:$D$27))</f>
        <v>473</v>
      </c>
      <c r="F41">
        <f t="shared" si="1"/>
        <v>4493.5</v>
      </c>
      <c r="G41" cm="1">
        <f t="array" ref="G41">_xlfn.XLOOKUP(1, ('price C'!$A$3:$A$27 = demand!$A41) * 1, _xlfn.XLOOKUP(1, ( 'price C'!$B$2:$D$2 = demand!$B41) * 1, 'price C'!$B$3:$D$27))</f>
        <v>450</v>
      </c>
      <c r="H41" cm="1">
        <f t="array" ref="H41">_xlfn.XLOOKUP(1, ('price C'!$A$3:$A$27 = demand!$A41) * 1,  'price C'!$E$3:$E$27)</f>
        <v>1.5</v>
      </c>
      <c r="I41">
        <f t="shared" si="2"/>
        <v>7560.0000000000009</v>
      </c>
    </row>
    <row r="42" spans="1:9" x14ac:dyDescent="0.2">
      <c r="A42" t="s">
        <v>16</v>
      </c>
      <c r="B42" s="4">
        <v>10</v>
      </c>
      <c r="C42" cm="1">
        <f t="array" ref="C42">_xlfn.XLOOKUP(1, ('price A'!$A$3:$A$27 = demand!$A42) * 1, _xlfn.XLOOKUP(1, ( 'price A'!$B$2:$D$2 = demand!$B42) * 1, 'price A'!$B$3:$D$27))</f>
        <v>1200</v>
      </c>
      <c r="D42">
        <f t="shared" si="0"/>
        <v>13440.000000000002</v>
      </c>
      <c r="E42" cm="1">
        <f t="array" ref="E42">_xlfn.XLOOKUP(1, ('price B'!$A$3:$A$27 = demand!$A42) * 1, _xlfn.XLOOKUP(1, ( 'price B'!$B$2:$D$2 = demand!$B42) * 1, 'price B'!$B$3:$D$27))</f>
        <v>1260</v>
      </c>
      <c r="F42">
        <f t="shared" si="1"/>
        <v>11970</v>
      </c>
      <c r="G42" cm="1">
        <f t="array" ref="G42">_xlfn.XLOOKUP(1, ('price C'!$A$3:$A$27 = demand!$A42) * 1, _xlfn.XLOOKUP(1, ( 'price C'!$B$2:$D$2 = demand!$B42) * 1, 'price C'!$B$3:$D$27))</f>
        <v>450</v>
      </c>
      <c r="H42" cm="1">
        <f t="array" ref="H42">_xlfn.XLOOKUP(1, ('price C'!$A$3:$A$27 = demand!$A42) * 1,  'price C'!$E$3:$E$27)</f>
        <v>3</v>
      </c>
      <c r="I42">
        <f t="shared" si="2"/>
        <v>15120.000000000002</v>
      </c>
    </row>
    <row r="43" spans="1:9" x14ac:dyDescent="0.2">
      <c r="A43" t="s">
        <v>17</v>
      </c>
      <c r="B43" s="4">
        <v>10</v>
      </c>
      <c r="C43" cm="1">
        <f t="array" ref="C43">_xlfn.XLOOKUP(1, ('price A'!$A$3:$A$27 = demand!$A43) * 1, _xlfn.XLOOKUP(1, ( 'price A'!$B$2:$D$2 = demand!$B43) * 1, 'price A'!$B$3:$D$27))</f>
        <v>1200</v>
      </c>
      <c r="D43">
        <f t="shared" si="0"/>
        <v>13440.000000000002</v>
      </c>
      <c r="E43" cm="1">
        <f t="array" ref="E43">_xlfn.XLOOKUP(1, ('price B'!$A$3:$A$27 = demand!$A43) * 1, _xlfn.XLOOKUP(1, ( 'price B'!$B$2:$D$2 = demand!$B43) * 1, 'price B'!$B$3:$D$27))</f>
        <v>1260</v>
      </c>
      <c r="F43">
        <f t="shared" si="1"/>
        <v>11970</v>
      </c>
      <c r="G43" cm="1">
        <f t="array" ref="G43">_xlfn.XLOOKUP(1, ('price C'!$A$3:$A$27 = demand!$A43) * 1, _xlfn.XLOOKUP(1, ( 'price C'!$B$2:$D$2 = demand!$B43) * 1, 'price C'!$B$3:$D$27))</f>
        <v>450</v>
      </c>
      <c r="H43" cm="1">
        <f t="array" ref="H43">_xlfn.XLOOKUP(1, ('price C'!$A$3:$A$27 = demand!$A43) * 1,  'price C'!$E$3:$E$27)</f>
        <v>3</v>
      </c>
      <c r="I43">
        <f t="shared" si="2"/>
        <v>15120.000000000002</v>
      </c>
    </row>
    <row r="44" spans="1:9" x14ac:dyDescent="0.2">
      <c r="A44" t="s">
        <v>19</v>
      </c>
      <c r="B44" s="4">
        <v>10</v>
      </c>
      <c r="C44" cm="1">
        <f t="array" ref="C44">_xlfn.XLOOKUP(1, ('price A'!$A$3:$A$27 = demand!$A44) * 1, _xlfn.XLOOKUP(1, ( 'price A'!$B$2:$D$2 = demand!$B44) * 1, 'price A'!$B$3:$D$27))</f>
        <v>1300</v>
      </c>
      <c r="D44">
        <f t="shared" si="0"/>
        <v>14560.000000000002</v>
      </c>
      <c r="E44" cm="1">
        <f t="array" ref="E44">_xlfn.XLOOKUP(1, ('price B'!$A$3:$A$27 = demand!$A44) * 1, _xlfn.XLOOKUP(1, ( 'price B'!$B$2:$D$2 = demand!$B44) * 1, 'price B'!$B$3:$D$27))</f>
        <v>1365</v>
      </c>
      <c r="F44">
        <f t="shared" si="1"/>
        <v>12967.5</v>
      </c>
      <c r="G44" cm="1">
        <f t="array" ref="G44">_xlfn.XLOOKUP(1, ('price C'!$A$3:$A$27 = demand!$A44) * 1, _xlfn.XLOOKUP(1, ( 'price C'!$B$2:$D$2 = demand!$B44) * 1, 'price C'!$B$3:$D$27))</f>
        <v>450</v>
      </c>
      <c r="H44" cm="1">
        <f t="array" ref="H44">_xlfn.XLOOKUP(1, ('price C'!$A$3:$A$27 = demand!$A44) * 1,  'price C'!$E$3:$E$27)</f>
        <v>3</v>
      </c>
      <c r="I44">
        <f t="shared" si="2"/>
        <v>15120.000000000002</v>
      </c>
    </row>
    <row r="45" spans="1:9" x14ac:dyDescent="0.2">
      <c r="A45" t="s">
        <v>20</v>
      </c>
      <c r="B45" s="4">
        <v>10</v>
      </c>
      <c r="C45" cm="1">
        <f t="array" ref="C45">_xlfn.XLOOKUP(1, ('price A'!$A$3:$A$27 = demand!$A45) * 1, _xlfn.XLOOKUP(1, ( 'price A'!$B$2:$D$2 = demand!$B45) * 1, 'price A'!$B$3:$D$27))</f>
        <v>1300</v>
      </c>
      <c r="D45">
        <f t="shared" si="0"/>
        <v>14560.000000000002</v>
      </c>
      <c r="E45" cm="1">
        <f t="array" ref="E45">_xlfn.XLOOKUP(1, ('price B'!$A$3:$A$27 = demand!$A45) * 1, _xlfn.XLOOKUP(1, ( 'price B'!$B$2:$D$2 = demand!$B45) * 1, 'price B'!$B$3:$D$27))</f>
        <v>1365</v>
      </c>
      <c r="F45">
        <f t="shared" si="1"/>
        <v>12967.5</v>
      </c>
      <c r="G45" cm="1">
        <f t="array" ref="G45">_xlfn.XLOOKUP(1, ('price C'!$A$3:$A$27 = demand!$A45) * 1, _xlfn.XLOOKUP(1, ( 'price C'!$B$2:$D$2 = demand!$B45) * 1, 'price C'!$B$3:$D$27))</f>
        <v>450</v>
      </c>
      <c r="H45" cm="1">
        <f t="array" ref="H45">_xlfn.XLOOKUP(1, ('price C'!$A$3:$A$27 = demand!$A45) * 1,  'price C'!$E$3:$E$27)</f>
        <v>3</v>
      </c>
      <c r="I45">
        <f t="shared" si="2"/>
        <v>15120.000000000002</v>
      </c>
    </row>
    <row r="46" spans="1:9" x14ac:dyDescent="0.2">
      <c r="A46" t="s">
        <v>21</v>
      </c>
      <c r="B46" s="4">
        <v>10</v>
      </c>
      <c r="C46" cm="1">
        <f t="array" ref="C46">_xlfn.XLOOKUP(1, ('price A'!$A$3:$A$27 = demand!$A46) * 1, _xlfn.XLOOKUP(1, ( 'price A'!$B$2:$D$2 = demand!$B46) * 1, 'price A'!$B$3:$D$27))</f>
        <v>1500</v>
      </c>
      <c r="D46">
        <f t="shared" si="0"/>
        <v>16800.000000000004</v>
      </c>
      <c r="E46" cm="1">
        <f t="array" ref="E46">_xlfn.XLOOKUP(1, ('price B'!$A$3:$A$27 = demand!$A46) * 1, _xlfn.XLOOKUP(1, ( 'price B'!$B$2:$D$2 = demand!$B46) * 1, 'price B'!$B$3:$D$27))</f>
        <v>1575</v>
      </c>
      <c r="F46">
        <f t="shared" si="1"/>
        <v>14962.5</v>
      </c>
      <c r="G46" cm="1">
        <f t="array" ref="G46">_xlfn.XLOOKUP(1, ('price C'!$A$3:$A$27 = demand!$A46) * 1, _xlfn.XLOOKUP(1, ( 'price C'!$B$2:$D$2 = demand!$B46) * 1, 'price C'!$B$3:$D$27))</f>
        <v>450</v>
      </c>
      <c r="H46" cm="1">
        <f t="array" ref="H46">_xlfn.XLOOKUP(1, ('price C'!$A$3:$A$27 = demand!$A46) * 1,  'price C'!$E$3:$E$27)</f>
        <v>3</v>
      </c>
      <c r="I46">
        <f t="shared" si="2"/>
        <v>15120.000000000002</v>
      </c>
    </row>
    <row r="47" spans="1:9" x14ac:dyDescent="0.2">
      <c r="A47" t="s">
        <v>22</v>
      </c>
      <c r="B47" s="4">
        <v>10</v>
      </c>
      <c r="C47" cm="1">
        <f t="array" ref="C47">_xlfn.XLOOKUP(1, ('price A'!$A$3:$A$27 = demand!$A47) * 1, _xlfn.XLOOKUP(1, ( 'price A'!$B$2:$D$2 = demand!$B47) * 1, 'price A'!$B$3:$D$27))</f>
        <v>450</v>
      </c>
      <c r="D47">
        <f t="shared" si="0"/>
        <v>5040.0000000000009</v>
      </c>
      <c r="E47" cm="1">
        <f t="array" ref="E47">_xlfn.XLOOKUP(1, ('price B'!$A$3:$A$27 = demand!$A47) * 1, _xlfn.XLOOKUP(1, ( 'price B'!$B$2:$D$2 = demand!$B47) * 1, 'price B'!$B$3:$D$27))</f>
        <v>473</v>
      </c>
      <c r="F47">
        <f t="shared" si="1"/>
        <v>4493.5</v>
      </c>
      <c r="G47" cm="1">
        <f t="array" ref="G47">_xlfn.XLOOKUP(1, ('price C'!$A$3:$A$27 = demand!$A47) * 1, _xlfn.XLOOKUP(1, ( 'price C'!$B$2:$D$2 = demand!$B47) * 1, 'price C'!$B$3:$D$27))</f>
        <v>450</v>
      </c>
      <c r="H47" cm="1">
        <f t="array" ref="H47">_xlfn.XLOOKUP(1, ('price C'!$A$3:$A$27 = demand!$A47) * 1,  'price C'!$E$3:$E$27)</f>
        <v>1</v>
      </c>
      <c r="I47">
        <f t="shared" si="2"/>
        <v>5040.0000000000009</v>
      </c>
    </row>
    <row r="48" spans="1:9" x14ac:dyDescent="0.2">
      <c r="A48" t="s">
        <v>23</v>
      </c>
      <c r="B48" s="4">
        <v>10</v>
      </c>
      <c r="C48" cm="1">
        <f t="array" ref="C48">_xlfn.XLOOKUP(1, ('price A'!$A$3:$A$27 = demand!$A48) * 1, _xlfn.XLOOKUP(1, ( 'price A'!$B$2:$D$2 = demand!$B48) * 1, 'price A'!$B$3:$D$27))</f>
        <v>450</v>
      </c>
      <c r="D48">
        <f t="shared" si="0"/>
        <v>5040.0000000000009</v>
      </c>
      <c r="E48" cm="1">
        <f t="array" ref="E48">_xlfn.XLOOKUP(1, ('price B'!$A$3:$A$27 = demand!$A48) * 1, _xlfn.XLOOKUP(1, ( 'price B'!$B$2:$D$2 = demand!$B48) * 1, 'price B'!$B$3:$D$27))</f>
        <v>473</v>
      </c>
      <c r="F48">
        <f t="shared" si="1"/>
        <v>4493.5</v>
      </c>
      <c r="G48" cm="1">
        <f t="array" ref="G48">_xlfn.XLOOKUP(1, ('price C'!$A$3:$A$27 = demand!$A48) * 1, _xlfn.XLOOKUP(1, ( 'price C'!$B$2:$D$2 = demand!$B48) * 1, 'price C'!$B$3:$D$27))</f>
        <v>450</v>
      </c>
      <c r="H48" cm="1">
        <f t="array" ref="H48">_xlfn.XLOOKUP(1, ('price C'!$A$3:$A$27 = demand!$A48) * 1,  'price C'!$E$3:$E$27)</f>
        <v>0.9</v>
      </c>
      <c r="I48">
        <f t="shared" si="2"/>
        <v>4536</v>
      </c>
    </row>
    <row r="49" spans="1:9" x14ac:dyDescent="0.2">
      <c r="A49" t="s">
        <v>24</v>
      </c>
      <c r="B49" s="4">
        <v>10</v>
      </c>
      <c r="C49" cm="1">
        <f t="array" ref="C49">_xlfn.XLOOKUP(1, ('price A'!$A$3:$A$27 = demand!$A49) * 1, _xlfn.XLOOKUP(1, ( 'price A'!$B$2:$D$2 = demand!$B49) * 1, 'price A'!$B$3:$D$27))</f>
        <v>700</v>
      </c>
      <c r="D49">
        <f t="shared" si="0"/>
        <v>7840.0000000000009</v>
      </c>
      <c r="E49" cm="1">
        <f t="array" ref="E49">_xlfn.XLOOKUP(1, ('price B'!$A$3:$A$27 = demand!$A49) * 1, _xlfn.XLOOKUP(1, ( 'price B'!$B$2:$D$2 = demand!$B49) * 1, 'price B'!$B$3:$D$27))</f>
        <v>735</v>
      </c>
      <c r="F49">
        <f t="shared" si="1"/>
        <v>6982.5</v>
      </c>
      <c r="G49" cm="1">
        <f t="array" ref="G49">_xlfn.XLOOKUP(1, ('price C'!$A$3:$A$27 = demand!$A49) * 1, _xlfn.XLOOKUP(1, ( 'price C'!$B$2:$D$2 = demand!$B49) * 1, 'price C'!$B$3:$D$27))</f>
        <v>450</v>
      </c>
      <c r="H49" cm="1">
        <f t="array" ref="H49">_xlfn.XLOOKUP(1, ('price C'!$A$3:$A$27 = demand!$A49) * 1,  'price C'!$E$3:$E$27)</f>
        <v>1.5</v>
      </c>
      <c r="I49">
        <f t="shared" si="2"/>
        <v>7560.0000000000009</v>
      </c>
    </row>
    <row r="50" spans="1:9" x14ac:dyDescent="0.2">
      <c r="A50" t="s">
        <v>0</v>
      </c>
      <c r="B50" s="4">
        <v>20</v>
      </c>
      <c r="C50" cm="1">
        <f t="array" ref="C50">_xlfn.XLOOKUP(1, ('price A'!$A$3:$A$27 = demand!$A50) * 1, _xlfn.XLOOKUP(1, ( 'price A'!$B$2:$D$2 = demand!$B50) * 1, 'price A'!$B$3:$D$27))</f>
        <v>392</v>
      </c>
      <c r="D50">
        <f t="shared" si="0"/>
        <v>8780.8000000000011</v>
      </c>
      <c r="E50" cm="1">
        <f t="array" ref="E50">_xlfn.XLOOKUP(1, ('price B'!$A$3:$A$27 = demand!$A50) * 1, _xlfn.XLOOKUP(1, ( 'price B'!$B$2:$D$2 = demand!$B50) * 1, 'price B'!$B$3:$D$27))</f>
        <v>420</v>
      </c>
      <c r="F50">
        <f t="shared" si="1"/>
        <v>7980</v>
      </c>
      <c r="G50" cm="1">
        <f t="array" ref="G50">_xlfn.XLOOKUP(1, ('price C'!$A$3:$A$27 = demand!$A50) * 1, _xlfn.XLOOKUP(1, ( 'price C'!$B$2:$D$2 = demand!$B50) * 1, 'price C'!$B$3:$D$27))</f>
        <v>430</v>
      </c>
      <c r="H50" cm="1">
        <f t="array" ref="H50">_xlfn.XLOOKUP(1, ('price C'!$A$3:$A$27 = demand!$A50) * 1,  'price C'!$E$3:$E$27)</f>
        <v>0.95</v>
      </c>
      <c r="I50">
        <f t="shared" si="2"/>
        <v>9150.4000000000015</v>
      </c>
    </row>
    <row r="51" spans="1:9" x14ac:dyDescent="0.2">
      <c r="A51" t="s">
        <v>1</v>
      </c>
      <c r="B51" s="4">
        <v>20</v>
      </c>
      <c r="C51" cm="1">
        <f t="array" ref="C51">_xlfn.XLOOKUP(1, ('price A'!$A$3:$A$27 = demand!$A51) * 1, _xlfn.XLOOKUP(1, ( 'price A'!$B$2:$D$2 = demand!$B51) * 1, 'price A'!$B$3:$D$27))</f>
        <v>441</v>
      </c>
      <c r="D51">
        <f t="shared" si="0"/>
        <v>9878.4000000000015</v>
      </c>
      <c r="E51" cm="1">
        <f t="array" ref="E51">_xlfn.XLOOKUP(1, ('price B'!$A$3:$A$27 = demand!$A51) * 1, _xlfn.XLOOKUP(1, ( 'price B'!$B$2:$D$2 = demand!$B51) * 1, 'price B'!$B$3:$D$27))</f>
        <v>473</v>
      </c>
      <c r="F51">
        <f t="shared" si="1"/>
        <v>8987</v>
      </c>
      <c r="G51" cm="1">
        <f t="array" ref="G51">_xlfn.XLOOKUP(1, ('price C'!$A$3:$A$27 = demand!$A51) * 1, _xlfn.XLOOKUP(1, ( 'price C'!$B$2:$D$2 = demand!$B51) * 1, 'price C'!$B$3:$D$27))</f>
        <v>430</v>
      </c>
      <c r="H51" cm="1">
        <f t="array" ref="H51">_xlfn.XLOOKUP(1, ('price C'!$A$3:$A$27 = demand!$A51) * 1,  'price C'!$E$3:$E$27)</f>
        <v>0.98</v>
      </c>
      <c r="I51">
        <f t="shared" si="2"/>
        <v>9439.36</v>
      </c>
    </row>
    <row r="52" spans="1:9" x14ac:dyDescent="0.2">
      <c r="A52" t="s">
        <v>2</v>
      </c>
      <c r="B52" s="4">
        <v>20</v>
      </c>
      <c r="C52" cm="1">
        <f t="array" ref="C52">_xlfn.XLOOKUP(1, ('price A'!$A$3:$A$27 = demand!$A52) * 1, _xlfn.XLOOKUP(1, ( 'price A'!$B$2:$D$2 = demand!$B52) * 1, 'price A'!$B$3:$D$27))</f>
        <v>686</v>
      </c>
      <c r="D52">
        <f t="shared" si="0"/>
        <v>15366.400000000001</v>
      </c>
      <c r="E52" cm="1">
        <f t="array" ref="E52">_xlfn.XLOOKUP(1, ('price B'!$A$3:$A$27 = demand!$A52) * 1, _xlfn.XLOOKUP(1, ( 'price B'!$B$2:$D$2 = demand!$B52) * 1, 'price B'!$B$3:$D$27))</f>
        <v>735</v>
      </c>
      <c r="F52">
        <f t="shared" si="1"/>
        <v>13965</v>
      </c>
      <c r="G52" cm="1">
        <f t="array" ref="G52">_xlfn.XLOOKUP(1, ('price C'!$A$3:$A$27 = demand!$A52) * 1, _xlfn.XLOOKUP(1, ( 'price C'!$B$2:$D$2 = demand!$B52) * 1, 'price C'!$B$3:$D$27))</f>
        <v>430</v>
      </c>
      <c r="H52" cm="1">
        <f t="array" ref="H52">_xlfn.XLOOKUP(1, ('price C'!$A$3:$A$27 = demand!$A52) * 1,  'price C'!$E$3:$E$27)</f>
        <v>2</v>
      </c>
      <c r="I52">
        <f t="shared" si="2"/>
        <v>19264</v>
      </c>
    </row>
    <row r="53" spans="1:9" x14ac:dyDescent="0.2">
      <c r="A53" t="s">
        <v>3</v>
      </c>
      <c r="B53" s="4">
        <v>20</v>
      </c>
      <c r="C53" cm="1">
        <f t="array" ref="C53">_xlfn.XLOOKUP(1, ('price A'!$A$3:$A$27 = demand!$A53) * 1, _xlfn.XLOOKUP(1, ( 'price A'!$B$2:$D$2 = demand!$B53) * 1, 'price A'!$B$3:$D$27))</f>
        <v>392</v>
      </c>
      <c r="D53">
        <f t="shared" si="0"/>
        <v>8780.8000000000011</v>
      </c>
      <c r="E53" cm="1">
        <f t="array" ref="E53">_xlfn.XLOOKUP(1, ('price B'!$A$3:$A$27 = demand!$A53) * 1, _xlfn.XLOOKUP(1, ( 'price B'!$B$2:$D$2 = demand!$B53) * 1, 'price B'!$B$3:$D$27))</f>
        <v>420</v>
      </c>
      <c r="F53">
        <f t="shared" si="1"/>
        <v>7980</v>
      </c>
      <c r="G53" cm="1">
        <f t="array" ref="G53">_xlfn.XLOOKUP(1, ('price C'!$A$3:$A$27 = demand!$A53) * 1, _xlfn.XLOOKUP(1, ( 'price C'!$B$2:$D$2 = demand!$B53) * 1, 'price C'!$B$3:$D$27))</f>
        <v>430</v>
      </c>
      <c r="H53" cm="1">
        <f t="array" ref="H53">_xlfn.XLOOKUP(1, ('price C'!$A$3:$A$27 = demand!$A53) * 1,  'price C'!$E$3:$E$27)</f>
        <v>0.5</v>
      </c>
      <c r="I53">
        <f t="shared" si="2"/>
        <v>4816</v>
      </c>
    </row>
    <row r="54" spans="1:9" x14ac:dyDescent="0.2">
      <c r="A54" t="s">
        <v>4</v>
      </c>
      <c r="B54" s="4">
        <v>20</v>
      </c>
      <c r="C54" cm="1">
        <f t="array" ref="C54">_xlfn.XLOOKUP(1, ('price A'!$A$3:$A$27 = demand!$A54) * 1, _xlfn.XLOOKUP(1, ( 'price A'!$B$2:$D$2 = demand!$B54) * 1, 'price A'!$B$3:$D$27))</f>
        <v>392</v>
      </c>
      <c r="D54">
        <f t="shared" si="0"/>
        <v>8780.8000000000011</v>
      </c>
      <c r="E54" cm="1">
        <f t="array" ref="E54">_xlfn.XLOOKUP(1, ('price B'!$A$3:$A$27 = demand!$A54) * 1, _xlfn.XLOOKUP(1, ( 'price B'!$B$2:$D$2 = demand!$B54) * 1, 'price B'!$B$3:$D$27))</f>
        <v>420</v>
      </c>
      <c r="F54">
        <f t="shared" si="1"/>
        <v>7980</v>
      </c>
      <c r="G54" cm="1">
        <f t="array" ref="G54">_xlfn.XLOOKUP(1, ('price C'!$A$3:$A$27 = demand!$A54) * 1, _xlfn.XLOOKUP(1, ( 'price C'!$B$2:$D$2 = demand!$B54) * 1, 'price C'!$B$3:$D$27))</f>
        <v>430</v>
      </c>
      <c r="H54" cm="1">
        <f t="array" ref="H54">_xlfn.XLOOKUP(1, ('price C'!$A$3:$A$27 = demand!$A54) * 1,  'price C'!$E$3:$E$27)</f>
        <v>1.2</v>
      </c>
      <c r="I54">
        <f t="shared" si="2"/>
        <v>11558.400000000001</v>
      </c>
    </row>
    <row r="55" spans="1:9" x14ac:dyDescent="0.2">
      <c r="A55" t="s">
        <v>5</v>
      </c>
      <c r="B55" s="4">
        <v>20</v>
      </c>
      <c r="C55" cm="1">
        <f t="array" ref="C55">_xlfn.XLOOKUP(1, ('price A'!$A$3:$A$27 = demand!$A55) * 1, _xlfn.XLOOKUP(1, ( 'price A'!$B$2:$D$2 = demand!$B55) * 1, 'price A'!$B$3:$D$27))</f>
        <v>392</v>
      </c>
      <c r="D55">
        <f t="shared" si="0"/>
        <v>8780.8000000000011</v>
      </c>
      <c r="E55" cm="1">
        <f t="array" ref="E55">_xlfn.XLOOKUP(1, ('price B'!$A$3:$A$27 = demand!$A55) * 1, _xlfn.XLOOKUP(1, ( 'price B'!$B$2:$D$2 = demand!$B55) * 1, 'price B'!$B$3:$D$27))</f>
        <v>420</v>
      </c>
      <c r="F55">
        <f t="shared" si="1"/>
        <v>7980</v>
      </c>
      <c r="G55" cm="1">
        <f t="array" ref="G55">_xlfn.XLOOKUP(1, ('price C'!$A$3:$A$27 = demand!$A55) * 1, _xlfn.XLOOKUP(1, ( 'price C'!$B$2:$D$2 = demand!$B55) * 1, 'price C'!$B$3:$D$27))</f>
        <v>430</v>
      </c>
      <c r="H55" cm="1">
        <f t="array" ref="H55">_xlfn.XLOOKUP(1, ('price C'!$A$3:$A$27 = demand!$A55) * 1,  'price C'!$E$3:$E$27)</f>
        <v>1</v>
      </c>
      <c r="I55">
        <f t="shared" si="2"/>
        <v>9632</v>
      </c>
    </row>
    <row r="56" spans="1:9" x14ac:dyDescent="0.2">
      <c r="A56" t="s">
        <v>6</v>
      </c>
      <c r="B56" s="4">
        <v>20</v>
      </c>
      <c r="C56" cm="1">
        <f t="array" ref="C56">_xlfn.XLOOKUP(1, ('price A'!$A$3:$A$27 = demand!$A56) * 1, _xlfn.XLOOKUP(1, ( 'price A'!$B$2:$D$2 = demand!$B56) * 1, 'price A'!$B$3:$D$27))</f>
        <v>559</v>
      </c>
      <c r="D56">
        <f t="shared" si="0"/>
        <v>12521.6</v>
      </c>
      <c r="E56" cm="1">
        <f t="array" ref="E56">_xlfn.XLOOKUP(1, ('price B'!$A$3:$A$27 = demand!$A56) * 1, _xlfn.XLOOKUP(1, ( 'price B'!$B$2:$D$2 = demand!$B56) * 1, 'price B'!$B$3:$D$27))</f>
        <v>599</v>
      </c>
      <c r="F56">
        <f t="shared" si="1"/>
        <v>11381</v>
      </c>
      <c r="G56" cm="1">
        <f t="array" ref="G56">_xlfn.XLOOKUP(1, ('price C'!$A$3:$A$27 = demand!$A56) * 1, _xlfn.XLOOKUP(1, ( 'price C'!$B$2:$D$2 = demand!$B56) * 1, 'price C'!$B$3:$D$27))</f>
        <v>430</v>
      </c>
      <c r="H56" cm="1">
        <f t="array" ref="H56">_xlfn.XLOOKUP(1, ('price C'!$A$3:$A$27 = demand!$A56) * 1,  'price C'!$E$3:$E$27)</f>
        <v>1.3</v>
      </c>
      <c r="I56">
        <f t="shared" si="2"/>
        <v>12521.6</v>
      </c>
    </row>
    <row r="57" spans="1:9" x14ac:dyDescent="0.2">
      <c r="A57" t="s">
        <v>7</v>
      </c>
      <c r="B57" s="4">
        <v>20</v>
      </c>
      <c r="C57" cm="1">
        <f t="array" ref="C57">_xlfn.XLOOKUP(1, ('price A'!$A$3:$A$27 = demand!$A57) * 1, _xlfn.XLOOKUP(1, ( 'price A'!$B$2:$D$2 = demand!$B57) * 1, 'price A'!$B$3:$D$27))</f>
        <v>686</v>
      </c>
      <c r="D57">
        <f t="shared" si="0"/>
        <v>15366.400000000001</v>
      </c>
      <c r="E57" cm="1">
        <f t="array" ref="E57">_xlfn.XLOOKUP(1, ('price B'!$A$3:$A$27 = demand!$A57) * 1, _xlfn.XLOOKUP(1, ( 'price B'!$B$2:$D$2 = demand!$B57) * 1, 'price B'!$B$3:$D$27))</f>
        <v>735</v>
      </c>
      <c r="F57">
        <f t="shared" si="1"/>
        <v>13965</v>
      </c>
      <c r="G57" cm="1">
        <f t="array" ref="G57">_xlfn.XLOOKUP(1, ('price C'!$A$3:$A$27 = demand!$A57) * 1, _xlfn.XLOOKUP(1, ( 'price C'!$B$2:$D$2 = demand!$B57) * 1, 'price C'!$B$3:$D$27))</f>
        <v>430</v>
      </c>
      <c r="H57" cm="1">
        <f t="array" ref="H57">_xlfn.XLOOKUP(1, ('price C'!$A$3:$A$27 = demand!$A57) * 1,  'price C'!$E$3:$E$27)</f>
        <v>2</v>
      </c>
      <c r="I57">
        <f t="shared" si="2"/>
        <v>19264</v>
      </c>
    </row>
    <row r="58" spans="1:9" x14ac:dyDescent="0.2">
      <c r="A58" t="s">
        <v>8</v>
      </c>
      <c r="B58" s="4">
        <v>20</v>
      </c>
      <c r="C58" cm="1">
        <f t="array" ref="C58">_xlfn.XLOOKUP(1, ('price A'!$A$3:$A$27 = demand!$A58) * 1, _xlfn.XLOOKUP(1, ( 'price A'!$B$2:$D$2 = demand!$B58) * 1, 'price A'!$B$3:$D$27))</f>
        <v>588</v>
      </c>
      <c r="D58">
        <f t="shared" si="0"/>
        <v>13171.2</v>
      </c>
      <c r="E58" cm="1">
        <f t="array" ref="E58">_xlfn.XLOOKUP(1, ('price B'!$A$3:$A$27 = demand!$A58) * 1, _xlfn.XLOOKUP(1, ( 'price B'!$B$2:$D$2 = demand!$B58) * 1, 'price B'!$B$3:$D$27))</f>
        <v>630</v>
      </c>
      <c r="F58">
        <f t="shared" si="1"/>
        <v>11970</v>
      </c>
      <c r="G58" cm="1">
        <f t="array" ref="G58">_xlfn.XLOOKUP(1, ('price C'!$A$3:$A$27 = demand!$A58) * 1, _xlfn.XLOOKUP(1, ( 'price C'!$B$2:$D$2 = demand!$B58) * 1, 'price C'!$B$3:$D$27))</f>
        <v>430</v>
      </c>
      <c r="H58" cm="1">
        <f t="array" ref="H58">_xlfn.XLOOKUP(1, ('price C'!$A$3:$A$27 = demand!$A58) * 1,  'price C'!$E$3:$E$27)</f>
        <v>0.95</v>
      </c>
      <c r="I58">
        <f t="shared" si="2"/>
        <v>9150.4000000000015</v>
      </c>
    </row>
    <row r="59" spans="1:9" x14ac:dyDescent="0.2">
      <c r="A59" t="s">
        <v>9</v>
      </c>
      <c r="B59" s="4">
        <v>20</v>
      </c>
      <c r="C59" cm="1">
        <f t="array" ref="C59">_xlfn.XLOOKUP(1, ('price A'!$A$3:$A$27 = demand!$A59) * 1, _xlfn.XLOOKUP(1, ( 'price A'!$B$2:$D$2 = demand!$B59) * 1, 'price A'!$B$3:$D$27))</f>
        <v>539</v>
      </c>
      <c r="D59">
        <f t="shared" si="0"/>
        <v>12073.600000000002</v>
      </c>
      <c r="E59" cm="1">
        <f t="array" ref="E59">_xlfn.XLOOKUP(1, ('price B'!$A$3:$A$27 = demand!$A59) * 1, _xlfn.XLOOKUP(1, ( 'price B'!$B$2:$D$2 = demand!$B59) * 1, 'price B'!$B$3:$D$27))</f>
        <v>578</v>
      </c>
      <c r="F59">
        <f t="shared" si="1"/>
        <v>10982</v>
      </c>
      <c r="G59" cm="1">
        <f t="array" ref="G59">_xlfn.XLOOKUP(1, ('price C'!$A$3:$A$27 = demand!$A59) * 1, _xlfn.XLOOKUP(1, ( 'price C'!$B$2:$D$2 = demand!$B59) * 1, 'price C'!$B$3:$D$27))</f>
        <v>430</v>
      </c>
      <c r="H59" cm="1">
        <f t="array" ref="H59">_xlfn.XLOOKUP(1, ('price C'!$A$3:$A$27 = demand!$A59) * 1,  'price C'!$E$3:$E$27)</f>
        <v>0.9</v>
      </c>
      <c r="I59">
        <f t="shared" si="2"/>
        <v>8668.8000000000011</v>
      </c>
    </row>
    <row r="60" spans="1:9" x14ac:dyDescent="0.2">
      <c r="A60" t="s">
        <v>10</v>
      </c>
      <c r="B60" s="4">
        <v>20</v>
      </c>
      <c r="C60" cm="1">
        <f t="array" ref="C60">_xlfn.XLOOKUP(1, ('price A'!$A$3:$A$27 = demand!$A60) * 1, _xlfn.XLOOKUP(1, ( 'price A'!$B$2:$D$2 = demand!$B60) * 1, 'price A'!$B$3:$D$27))</f>
        <v>686</v>
      </c>
      <c r="D60">
        <f t="shared" si="0"/>
        <v>15366.400000000001</v>
      </c>
      <c r="E60" cm="1">
        <f t="array" ref="E60">_xlfn.XLOOKUP(1, ('price B'!$A$3:$A$27 = demand!$A60) * 1, _xlfn.XLOOKUP(1, ( 'price B'!$B$2:$D$2 = demand!$B60) * 1, 'price B'!$B$3:$D$27))</f>
        <v>735</v>
      </c>
      <c r="F60">
        <f t="shared" si="1"/>
        <v>13965</v>
      </c>
      <c r="G60" cm="1">
        <f t="array" ref="G60">_xlfn.XLOOKUP(1, ('price C'!$A$3:$A$27 = demand!$A60) * 1, _xlfn.XLOOKUP(1, ( 'price C'!$B$2:$D$2 = demand!$B60) * 1, 'price C'!$B$3:$D$27))</f>
        <v>430</v>
      </c>
      <c r="H60" cm="1">
        <f t="array" ref="H60">_xlfn.XLOOKUP(1, ('price C'!$A$3:$A$27 = demand!$A60) * 1,  'price C'!$E$3:$E$27)</f>
        <v>0.9</v>
      </c>
      <c r="I60">
        <f t="shared" si="2"/>
        <v>8668.8000000000011</v>
      </c>
    </row>
    <row r="61" spans="1:9" x14ac:dyDescent="0.2">
      <c r="A61" t="s">
        <v>11</v>
      </c>
      <c r="B61" s="4">
        <v>20</v>
      </c>
      <c r="C61" cm="1">
        <f t="array" ref="C61">_xlfn.XLOOKUP(1, ('price A'!$A$3:$A$27 = demand!$A61) * 1, _xlfn.XLOOKUP(1, ( 'price A'!$B$2:$D$2 = demand!$B61) * 1, 'price A'!$B$3:$D$27))</f>
        <v>441</v>
      </c>
      <c r="D61">
        <f t="shared" si="0"/>
        <v>9878.4000000000015</v>
      </c>
      <c r="E61" cm="1">
        <f t="array" ref="E61">_xlfn.XLOOKUP(1, ('price B'!$A$3:$A$27 = demand!$A61) * 1, _xlfn.XLOOKUP(1, ( 'price B'!$B$2:$D$2 = demand!$B61) * 1, 'price B'!$B$3:$D$27))</f>
        <v>473</v>
      </c>
      <c r="F61">
        <f t="shared" si="1"/>
        <v>8987</v>
      </c>
      <c r="G61" cm="1">
        <f t="array" ref="G61">_xlfn.XLOOKUP(1, ('price C'!$A$3:$A$27 = demand!$A61) * 1, _xlfn.XLOOKUP(1, ( 'price C'!$B$2:$D$2 = demand!$B61) * 1, 'price C'!$B$3:$D$27))</f>
        <v>430</v>
      </c>
      <c r="H61" cm="1">
        <f t="array" ref="H61">_xlfn.XLOOKUP(1, ('price C'!$A$3:$A$27 = demand!$A61) * 1,  'price C'!$E$3:$E$27)</f>
        <v>1.5</v>
      </c>
      <c r="I61">
        <f t="shared" si="2"/>
        <v>14448.000000000002</v>
      </c>
    </row>
    <row r="62" spans="1:9" x14ac:dyDescent="0.2">
      <c r="A62" t="s">
        <v>12</v>
      </c>
      <c r="B62" s="4">
        <v>20</v>
      </c>
      <c r="C62" cm="1">
        <f t="array" ref="C62">_xlfn.XLOOKUP(1, ('price A'!$A$3:$A$27 = demand!$A62) * 1, _xlfn.XLOOKUP(1, ( 'price A'!$B$2:$D$2 = demand!$B62) * 1, 'price A'!$B$3:$D$27))</f>
        <v>490</v>
      </c>
      <c r="D62">
        <f t="shared" si="0"/>
        <v>10976.000000000002</v>
      </c>
      <c r="E62" cm="1">
        <f t="array" ref="E62">_xlfn.XLOOKUP(1, ('price B'!$A$3:$A$27 = demand!$A62) * 1, _xlfn.XLOOKUP(1, ( 'price B'!$B$2:$D$2 = demand!$B62) * 1, 'price B'!$B$3:$D$27))</f>
        <v>525</v>
      </c>
      <c r="F62">
        <f t="shared" si="1"/>
        <v>9975</v>
      </c>
      <c r="G62" cm="1">
        <f t="array" ref="G62">_xlfn.XLOOKUP(1, ('price C'!$A$3:$A$27 = demand!$A62) * 1, _xlfn.XLOOKUP(1, ( 'price C'!$B$2:$D$2 = demand!$B62) * 1, 'price C'!$B$3:$D$27))</f>
        <v>430</v>
      </c>
      <c r="H62" cm="1">
        <f t="array" ref="H62">_xlfn.XLOOKUP(1, ('price C'!$A$3:$A$27 = demand!$A62) * 1,  'price C'!$E$3:$E$27)</f>
        <v>1</v>
      </c>
      <c r="I62">
        <f t="shared" si="2"/>
        <v>9632</v>
      </c>
    </row>
    <row r="63" spans="1:9" x14ac:dyDescent="0.2">
      <c r="A63" t="s">
        <v>13</v>
      </c>
      <c r="B63" s="4">
        <v>20</v>
      </c>
      <c r="C63" cm="1">
        <f t="array" ref="C63">_xlfn.XLOOKUP(1, ('price A'!$A$3:$A$27 = demand!$A63) * 1, _xlfn.XLOOKUP(1, ( 'price A'!$B$2:$D$2 = demand!$B63) * 1, 'price A'!$B$3:$D$27))</f>
        <v>588</v>
      </c>
      <c r="D63">
        <f t="shared" si="0"/>
        <v>13171.2</v>
      </c>
      <c r="E63" cm="1">
        <f t="array" ref="E63">_xlfn.XLOOKUP(1, ('price B'!$A$3:$A$27 = demand!$A63) * 1, _xlfn.XLOOKUP(1, ( 'price B'!$B$2:$D$2 = demand!$B63) * 1, 'price B'!$B$3:$D$27))</f>
        <v>630</v>
      </c>
      <c r="F63">
        <f t="shared" si="1"/>
        <v>11970</v>
      </c>
      <c r="G63" cm="1">
        <f t="array" ref="G63">_xlfn.XLOOKUP(1, ('price C'!$A$3:$A$27 = demand!$A63) * 1, _xlfn.XLOOKUP(1, ( 'price C'!$B$2:$D$2 = demand!$B63) * 1, 'price C'!$B$3:$D$27))</f>
        <v>430</v>
      </c>
      <c r="H63" cm="1">
        <f t="array" ref="H63">_xlfn.XLOOKUP(1, ('price C'!$A$3:$A$27 = demand!$A63) * 1,  'price C'!$E$3:$E$27)</f>
        <v>0.7</v>
      </c>
      <c r="I63">
        <f t="shared" si="2"/>
        <v>6742.4</v>
      </c>
    </row>
    <row r="64" spans="1:9" x14ac:dyDescent="0.2">
      <c r="A64" t="s">
        <v>14</v>
      </c>
      <c r="B64" s="4">
        <v>20</v>
      </c>
      <c r="C64" cm="1">
        <f t="array" ref="C64">_xlfn.XLOOKUP(1, ('price A'!$A$3:$A$27 = demand!$A64) * 1, _xlfn.XLOOKUP(1, ( 'price A'!$B$2:$D$2 = demand!$B64) * 1, 'price A'!$B$3:$D$27))</f>
        <v>441</v>
      </c>
      <c r="D64">
        <f t="shared" si="0"/>
        <v>9878.4000000000015</v>
      </c>
      <c r="E64" cm="1">
        <f t="array" ref="E64">_xlfn.XLOOKUP(1, ('price B'!$A$3:$A$27 = demand!$A64) * 1, _xlfn.XLOOKUP(1, ( 'price B'!$B$2:$D$2 = demand!$B64) * 1, 'price B'!$B$3:$D$27))</f>
        <v>473</v>
      </c>
      <c r="F64">
        <f t="shared" si="1"/>
        <v>8987</v>
      </c>
      <c r="G64" cm="1">
        <f t="array" ref="G64">_xlfn.XLOOKUP(1, ('price C'!$A$3:$A$27 = demand!$A64) * 1, _xlfn.XLOOKUP(1, ( 'price C'!$B$2:$D$2 = demand!$B64) * 1, 'price C'!$B$3:$D$27))</f>
        <v>430</v>
      </c>
      <c r="H64" cm="1">
        <f t="array" ref="H64">_xlfn.XLOOKUP(1, ('price C'!$A$3:$A$27 = demand!$A64) * 1,  'price C'!$E$3:$E$27)</f>
        <v>1.5</v>
      </c>
      <c r="I64">
        <f t="shared" si="2"/>
        <v>14448.000000000002</v>
      </c>
    </row>
    <row r="65" spans="1:9" x14ac:dyDescent="0.2">
      <c r="A65" t="s">
        <v>15</v>
      </c>
      <c r="B65" s="4">
        <v>20</v>
      </c>
      <c r="C65" cm="1">
        <f t="array" ref="C65">_xlfn.XLOOKUP(1, ('price A'!$A$3:$A$27 = demand!$A65) * 1, _xlfn.XLOOKUP(1, ( 'price A'!$B$2:$D$2 = demand!$B65) * 1, 'price A'!$B$3:$D$27))</f>
        <v>490</v>
      </c>
      <c r="D65">
        <f t="shared" si="0"/>
        <v>10976.000000000002</v>
      </c>
      <c r="E65" cm="1">
        <f t="array" ref="E65">_xlfn.XLOOKUP(1, ('price B'!$A$3:$A$27 = demand!$A65) * 1, _xlfn.XLOOKUP(1, ( 'price B'!$B$2:$D$2 = demand!$B65) * 1, 'price B'!$B$3:$D$27))</f>
        <v>525</v>
      </c>
      <c r="F65">
        <f t="shared" si="1"/>
        <v>9975</v>
      </c>
      <c r="G65" cm="1">
        <f t="array" ref="G65">_xlfn.XLOOKUP(1, ('price C'!$A$3:$A$27 = demand!$A65) * 1, _xlfn.XLOOKUP(1, ( 'price C'!$B$2:$D$2 = demand!$B65) * 1, 'price C'!$B$3:$D$27))</f>
        <v>430</v>
      </c>
      <c r="H65" cm="1">
        <f t="array" ref="H65">_xlfn.XLOOKUP(1, ('price C'!$A$3:$A$27 = demand!$A65) * 1,  'price C'!$E$3:$E$27)</f>
        <v>1.5</v>
      </c>
      <c r="I65">
        <f t="shared" si="2"/>
        <v>14448.000000000002</v>
      </c>
    </row>
    <row r="66" spans="1:9" x14ac:dyDescent="0.2">
      <c r="A66" t="s">
        <v>18</v>
      </c>
      <c r="B66" s="4">
        <v>20</v>
      </c>
      <c r="C66" cm="1">
        <f t="array" ref="C66">_xlfn.XLOOKUP(1, ('price A'!$A$3:$A$27 = demand!$A66) * 1, _xlfn.XLOOKUP(1, ( 'price A'!$B$2:$D$2 = demand!$B66) * 1, 'price A'!$B$3:$D$27))</f>
        <v>441</v>
      </c>
      <c r="D66">
        <f t="shared" si="0"/>
        <v>9878.4000000000015</v>
      </c>
      <c r="E66" cm="1">
        <f t="array" ref="E66">_xlfn.XLOOKUP(1, ('price B'!$A$3:$A$27 = demand!$A66) * 1, _xlfn.XLOOKUP(1, ( 'price B'!$B$2:$D$2 = demand!$B66) * 1, 'price B'!$B$3:$D$27))</f>
        <v>473</v>
      </c>
      <c r="F66">
        <f t="shared" si="1"/>
        <v>8987</v>
      </c>
      <c r="G66" cm="1">
        <f t="array" ref="G66">_xlfn.XLOOKUP(1, ('price C'!$A$3:$A$27 = demand!$A66) * 1, _xlfn.XLOOKUP(1, ( 'price C'!$B$2:$D$2 = demand!$B66) * 1, 'price C'!$B$3:$D$27))</f>
        <v>430</v>
      </c>
      <c r="H66" cm="1">
        <f t="array" ref="H66">_xlfn.XLOOKUP(1, ('price C'!$A$3:$A$27 = demand!$A66) * 1,  'price C'!$E$3:$E$27)</f>
        <v>1.5</v>
      </c>
      <c r="I66">
        <f t="shared" si="2"/>
        <v>14448.000000000002</v>
      </c>
    </row>
    <row r="67" spans="1:9" x14ac:dyDescent="0.2">
      <c r="A67" t="s">
        <v>16</v>
      </c>
      <c r="B67" s="4">
        <v>20</v>
      </c>
      <c r="C67" cm="1">
        <f t="array" ref="C67">_xlfn.XLOOKUP(1, ('price A'!$A$3:$A$27 = demand!$A67) * 1, _xlfn.XLOOKUP(1, ( 'price A'!$B$2:$D$2 = demand!$B67) * 1, 'price A'!$B$3:$D$27))</f>
        <v>1176</v>
      </c>
      <c r="D67">
        <f t="shared" ref="D67:D124" si="3">$L$2 * $C67 * $B67</f>
        <v>26342.400000000001</v>
      </c>
      <c r="E67" cm="1">
        <f t="array" ref="E67">_xlfn.XLOOKUP(1, ('price B'!$A$3:$A$27 = demand!$A67) * 1, _xlfn.XLOOKUP(1, ( 'price B'!$B$2:$D$2 = demand!$B67) * 1, 'price B'!$B$3:$D$27))</f>
        <v>1260</v>
      </c>
      <c r="F67">
        <f t="shared" ref="F67:F124" si="4">(1 - $L$3) * $E67 * $B67</f>
        <v>23940</v>
      </c>
      <c r="G67" cm="1">
        <f t="array" ref="G67">_xlfn.XLOOKUP(1, ('price C'!$A$3:$A$27 = demand!$A67) * 1, _xlfn.XLOOKUP(1, ( 'price C'!$B$2:$D$2 = demand!$B67) * 1, 'price C'!$B$3:$D$27))</f>
        <v>430</v>
      </c>
      <c r="H67" cm="1">
        <f t="array" ref="H67">_xlfn.XLOOKUP(1, ('price C'!$A$3:$A$27 = demand!$A67) * 1,  'price C'!$E$3:$E$27)</f>
        <v>3</v>
      </c>
      <c r="I67">
        <f t="shared" ref="I67:I124" si="5" xml:space="preserve"> $G67 * $H67 * $L$4 * $B67</f>
        <v>28896.000000000004</v>
      </c>
    </row>
    <row r="68" spans="1:9" x14ac:dyDescent="0.2">
      <c r="A68" t="s">
        <v>17</v>
      </c>
      <c r="B68" s="4">
        <v>20</v>
      </c>
      <c r="C68" cm="1">
        <f t="array" ref="C68">_xlfn.XLOOKUP(1, ('price A'!$A$3:$A$27 = demand!$A68) * 1, _xlfn.XLOOKUP(1, ( 'price A'!$B$2:$D$2 = demand!$B68) * 1, 'price A'!$B$3:$D$27))</f>
        <v>1176</v>
      </c>
      <c r="D68">
        <f t="shared" si="3"/>
        <v>26342.400000000001</v>
      </c>
      <c r="E68" cm="1">
        <f t="array" ref="E68">_xlfn.XLOOKUP(1, ('price B'!$A$3:$A$27 = demand!$A68) * 1, _xlfn.XLOOKUP(1, ( 'price B'!$B$2:$D$2 = demand!$B68) * 1, 'price B'!$B$3:$D$27))</f>
        <v>1260</v>
      </c>
      <c r="F68">
        <f t="shared" si="4"/>
        <v>23940</v>
      </c>
      <c r="G68" cm="1">
        <f t="array" ref="G68">_xlfn.XLOOKUP(1, ('price C'!$A$3:$A$27 = demand!$A68) * 1, _xlfn.XLOOKUP(1, ( 'price C'!$B$2:$D$2 = demand!$B68) * 1, 'price C'!$B$3:$D$27))</f>
        <v>430</v>
      </c>
      <c r="H68" cm="1">
        <f t="array" ref="H68">_xlfn.XLOOKUP(1, ('price C'!$A$3:$A$27 = demand!$A68) * 1,  'price C'!$E$3:$E$27)</f>
        <v>3</v>
      </c>
      <c r="I68">
        <f t="shared" si="5"/>
        <v>28896.000000000004</v>
      </c>
    </row>
    <row r="69" spans="1:9" x14ac:dyDescent="0.2">
      <c r="A69" t="s">
        <v>19</v>
      </c>
      <c r="B69" s="4">
        <v>20</v>
      </c>
      <c r="C69" cm="1">
        <f t="array" ref="C69">_xlfn.XLOOKUP(1, ('price A'!$A$3:$A$27 = demand!$A69) * 1, _xlfn.XLOOKUP(1, ( 'price A'!$B$2:$D$2 = demand!$B69) * 1, 'price A'!$B$3:$D$27))</f>
        <v>1274</v>
      </c>
      <c r="D69">
        <f t="shared" si="3"/>
        <v>28537.600000000002</v>
      </c>
      <c r="E69" cm="1">
        <f t="array" ref="E69">_xlfn.XLOOKUP(1, ('price B'!$A$3:$A$27 = demand!$A69) * 1, _xlfn.XLOOKUP(1, ( 'price B'!$B$2:$D$2 = demand!$B69) * 1, 'price B'!$B$3:$D$27))</f>
        <v>1365</v>
      </c>
      <c r="F69">
        <f t="shared" si="4"/>
        <v>25935</v>
      </c>
      <c r="G69" cm="1">
        <f t="array" ref="G69">_xlfn.XLOOKUP(1, ('price C'!$A$3:$A$27 = demand!$A69) * 1, _xlfn.XLOOKUP(1, ( 'price C'!$B$2:$D$2 = demand!$B69) * 1, 'price C'!$B$3:$D$27))</f>
        <v>430</v>
      </c>
      <c r="H69" cm="1">
        <f t="array" ref="H69">_xlfn.XLOOKUP(1, ('price C'!$A$3:$A$27 = demand!$A69) * 1,  'price C'!$E$3:$E$27)</f>
        <v>3</v>
      </c>
      <c r="I69">
        <f t="shared" si="5"/>
        <v>28896.000000000004</v>
      </c>
    </row>
    <row r="70" spans="1:9" x14ac:dyDescent="0.2">
      <c r="A70" t="s">
        <v>20</v>
      </c>
      <c r="B70" s="4">
        <v>20</v>
      </c>
      <c r="C70" cm="1">
        <f t="array" ref="C70">_xlfn.XLOOKUP(1, ('price A'!$A$3:$A$27 = demand!$A70) * 1, _xlfn.XLOOKUP(1, ( 'price A'!$B$2:$D$2 = demand!$B70) * 1, 'price A'!$B$3:$D$27))</f>
        <v>1274</v>
      </c>
      <c r="D70">
        <f t="shared" si="3"/>
        <v>28537.600000000002</v>
      </c>
      <c r="E70" cm="1">
        <f t="array" ref="E70">_xlfn.XLOOKUP(1, ('price B'!$A$3:$A$27 = demand!$A70) * 1, _xlfn.XLOOKUP(1, ( 'price B'!$B$2:$D$2 = demand!$B70) * 1, 'price B'!$B$3:$D$27))</f>
        <v>1365</v>
      </c>
      <c r="F70">
        <f t="shared" si="4"/>
        <v>25935</v>
      </c>
      <c r="G70" cm="1">
        <f t="array" ref="G70">_xlfn.XLOOKUP(1, ('price C'!$A$3:$A$27 = demand!$A70) * 1, _xlfn.XLOOKUP(1, ( 'price C'!$B$2:$D$2 = demand!$B70) * 1, 'price C'!$B$3:$D$27))</f>
        <v>430</v>
      </c>
      <c r="H70" cm="1">
        <f t="array" ref="H70">_xlfn.XLOOKUP(1, ('price C'!$A$3:$A$27 = demand!$A70) * 1,  'price C'!$E$3:$E$27)</f>
        <v>3</v>
      </c>
      <c r="I70">
        <f t="shared" si="5"/>
        <v>28896.000000000004</v>
      </c>
    </row>
    <row r="71" spans="1:9" x14ac:dyDescent="0.2">
      <c r="A71" t="s">
        <v>21</v>
      </c>
      <c r="B71" s="4">
        <v>20</v>
      </c>
      <c r="C71" cm="1">
        <f t="array" ref="C71">_xlfn.XLOOKUP(1, ('price A'!$A$3:$A$27 = demand!$A71) * 1, _xlfn.XLOOKUP(1, ( 'price A'!$B$2:$D$2 = demand!$B71) * 1, 'price A'!$B$3:$D$27))</f>
        <v>1470</v>
      </c>
      <c r="D71">
        <f t="shared" si="3"/>
        <v>32928</v>
      </c>
      <c r="E71" cm="1">
        <f t="array" ref="E71">_xlfn.XLOOKUP(1, ('price B'!$A$3:$A$27 = demand!$A71) * 1, _xlfn.XLOOKUP(1, ( 'price B'!$B$2:$D$2 = demand!$B71) * 1, 'price B'!$B$3:$D$27))</f>
        <v>1575</v>
      </c>
      <c r="F71">
        <f t="shared" si="4"/>
        <v>29925</v>
      </c>
      <c r="G71" cm="1">
        <f t="array" ref="G71">_xlfn.XLOOKUP(1, ('price C'!$A$3:$A$27 = demand!$A71) * 1, _xlfn.XLOOKUP(1, ( 'price C'!$B$2:$D$2 = demand!$B71) * 1, 'price C'!$B$3:$D$27))</f>
        <v>430</v>
      </c>
      <c r="H71" cm="1">
        <f t="array" ref="H71">_xlfn.XLOOKUP(1, ('price C'!$A$3:$A$27 = demand!$A71) * 1,  'price C'!$E$3:$E$27)</f>
        <v>3</v>
      </c>
      <c r="I71">
        <f t="shared" si="5"/>
        <v>28896.000000000004</v>
      </c>
    </row>
    <row r="72" spans="1:9" x14ac:dyDescent="0.2">
      <c r="A72" t="s">
        <v>22</v>
      </c>
      <c r="B72" s="4">
        <v>20</v>
      </c>
      <c r="C72" cm="1">
        <f t="array" ref="C72">_xlfn.XLOOKUP(1, ('price A'!$A$3:$A$27 = demand!$A72) * 1, _xlfn.XLOOKUP(1, ( 'price A'!$B$2:$D$2 = demand!$B72) * 1, 'price A'!$B$3:$D$27))</f>
        <v>441</v>
      </c>
      <c r="D72">
        <f t="shared" si="3"/>
        <v>9878.4000000000015</v>
      </c>
      <c r="E72" cm="1">
        <f t="array" ref="E72">_xlfn.XLOOKUP(1, ('price B'!$A$3:$A$27 = demand!$A72) * 1, _xlfn.XLOOKUP(1, ( 'price B'!$B$2:$D$2 = demand!$B72) * 1, 'price B'!$B$3:$D$27))</f>
        <v>473</v>
      </c>
      <c r="F72">
        <f t="shared" si="4"/>
        <v>8987</v>
      </c>
      <c r="G72" cm="1">
        <f t="array" ref="G72">_xlfn.XLOOKUP(1, ('price C'!$A$3:$A$27 = demand!$A72) * 1, _xlfn.XLOOKUP(1, ( 'price C'!$B$2:$D$2 = demand!$B72) * 1, 'price C'!$B$3:$D$27))</f>
        <v>430</v>
      </c>
      <c r="H72" cm="1">
        <f t="array" ref="H72">_xlfn.XLOOKUP(1, ('price C'!$A$3:$A$27 = demand!$A72) * 1,  'price C'!$E$3:$E$27)</f>
        <v>1</v>
      </c>
      <c r="I72">
        <f t="shared" si="5"/>
        <v>9632</v>
      </c>
    </row>
    <row r="73" spans="1:9" x14ac:dyDescent="0.2">
      <c r="A73" t="s">
        <v>23</v>
      </c>
      <c r="B73" s="4">
        <v>20</v>
      </c>
      <c r="C73" cm="1">
        <f t="array" ref="C73">_xlfn.XLOOKUP(1, ('price A'!$A$3:$A$27 = demand!$A73) * 1, _xlfn.XLOOKUP(1, ( 'price A'!$B$2:$D$2 = demand!$B73) * 1, 'price A'!$B$3:$D$27))</f>
        <v>441</v>
      </c>
      <c r="D73">
        <f t="shared" si="3"/>
        <v>9878.4000000000015</v>
      </c>
      <c r="E73" cm="1">
        <f t="array" ref="E73">_xlfn.XLOOKUP(1, ('price B'!$A$3:$A$27 = demand!$A73) * 1, _xlfn.XLOOKUP(1, ( 'price B'!$B$2:$D$2 = demand!$B73) * 1, 'price B'!$B$3:$D$27))</f>
        <v>473</v>
      </c>
      <c r="F73">
        <f t="shared" si="4"/>
        <v>8987</v>
      </c>
      <c r="G73" cm="1">
        <f t="array" ref="G73">_xlfn.XLOOKUP(1, ('price C'!$A$3:$A$27 = demand!$A73) * 1, _xlfn.XLOOKUP(1, ( 'price C'!$B$2:$D$2 = demand!$B73) * 1, 'price C'!$B$3:$D$27))</f>
        <v>430</v>
      </c>
      <c r="H73" cm="1">
        <f t="array" ref="H73">_xlfn.XLOOKUP(1, ('price C'!$A$3:$A$27 = demand!$A73) * 1,  'price C'!$E$3:$E$27)</f>
        <v>0.9</v>
      </c>
      <c r="I73">
        <f t="shared" si="5"/>
        <v>8668.8000000000011</v>
      </c>
    </row>
    <row r="74" spans="1:9" x14ac:dyDescent="0.2">
      <c r="A74" t="s">
        <v>24</v>
      </c>
      <c r="B74" s="4">
        <v>20</v>
      </c>
      <c r="C74" cm="1">
        <f t="array" ref="C74">_xlfn.XLOOKUP(1, ('price A'!$A$3:$A$27 = demand!$A74) * 1, _xlfn.XLOOKUP(1, ( 'price A'!$B$2:$D$2 = demand!$B74) * 1, 'price A'!$B$3:$D$27))</f>
        <v>686</v>
      </c>
      <c r="D74">
        <f t="shared" si="3"/>
        <v>15366.400000000001</v>
      </c>
      <c r="E74" cm="1">
        <f t="array" ref="E74">_xlfn.XLOOKUP(1, ('price B'!$A$3:$A$27 = demand!$A74) * 1, _xlfn.XLOOKUP(1, ( 'price B'!$B$2:$D$2 = demand!$B74) * 1, 'price B'!$B$3:$D$27))</f>
        <v>735</v>
      </c>
      <c r="F74">
        <f t="shared" si="4"/>
        <v>13965</v>
      </c>
      <c r="G74" cm="1">
        <f t="array" ref="G74">_xlfn.XLOOKUP(1, ('price C'!$A$3:$A$27 = demand!$A74) * 1, _xlfn.XLOOKUP(1, ( 'price C'!$B$2:$D$2 = demand!$B74) * 1, 'price C'!$B$3:$D$27))</f>
        <v>430</v>
      </c>
      <c r="H74" cm="1">
        <f t="array" ref="H74">_xlfn.XLOOKUP(1, ('price C'!$A$3:$A$27 = demand!$A74) * 1,  'price C'!$E$3:$E$27)</f>
        <v>1.5</v>
      </c>
      <c r="I74">
        <f t="shared" si="5"/>
        <v>14448.000000000002</v>
      </c>
    </row>
    <row r="75" spans="1:9" x14ac:dyDescent="0.2">
      <c r="A75" t="s">
        <v>0</v>
      </c>
      <c r="B75" s="4">
        <v>20</v>
      </c>
      <c r="C75" cm="1">
        <f t="array" ref="C75">_xlfn.XLOOKUP(1, ('price A'!$A$3:$A$27 = demand!$A75) * 1, _xlfn.XLOOKUP(1, ( 'price A'!$B$2:$D$2 = demand!$B75) * 1, 'price A'!$B$3:$D$27))</f>
        <v>392</v>
      </c>
      <c r="D75">
        <f t="shared" si="3"/>
        <v>8780.8000000000011</v>
      </c>
      <c r="E75" cm="1">
        <f t="array" ref="E75">_xlfn.XLOOKUP(1, ('price B'!$A$3:$A$27 = demand!$A75) * 1, _xlfn.XLOOKUP(1, ( 'price B'!$B$2:$D$2 = demand!$B75) * 1, 'price B'!$B$3:$D$27))</f>
        <v>420</v>
      </c>
      <c r="F75">
        <f t="shared" si="4"/>
        <v>7980</v>
      </c>
      <c r="G75" cm="1">
        <f t="array" ref="G75">_xlfn.XLOOKUP(1, ('price C'!$A$3:$A$27 = demand!$A75) * 1, _xlfn.XLOOKUP(1, ( 'price C'!$B$2:$D$2 = demand!$B75) * 1, 'price C'!$B$3:$D$27))</f>
        <v>430</v>
      </c>
      <c r="H75" cm="1">
        <f t="array" ref="H75">_xlfn.XLOOKUP(1, ('price C'!$A$3:$A$27 = demand!$A75) * 1,  'price C'!$E$3:$E$27)</f>
        <v>0.95</v>
      </c>
      <c r="I75">
        <f t="shared" si="5"/>
        <v>9150.4000000000015</v>
      </c>
    </row>
    <row r="76" spans="1:9" x14ac:dyDescent="0.2">
      <c r="A76" t="s">
        <v>1</v>
      </c>
      <c r="B76" s="4">
        <v>20</v>
      </c>
      <c r="C76" cm="1">
        <f t="array" ref="C76">_xlfn.XLOOKUP(1, ('price A'!$A$3:$A$27 = demand!$A76) * 1, _xlfn.XLOOKUP(1, ( 'price A'!$B$2:$D$2 = demand!$B76) * 1, 'price A'!$B$3:$D$27))</f>
        <v>441</v>
      </c>
      <c r="D76">
        <f t="shared" si="3"/>
        <v>9878.4000000000015</v>
      </c>
      <c r="E76" cm="1">
        <f t="array" ref="E76">_xlfn.XLOOKUP(1, ('price B'!$A$3:$A$27 = demand!$A76) * 1, _xlfn.XLOOKUP(1, ( 'price B'!$B$2:$D$2 = demand!$B76) * 1, 'price B'!$B$3:$D$27))</f>
        <v>473</v>
      </c>
      <c r="F76">
        <f t="shared" si="4"/>
        <v>8987</v>
      </c>
      <c r="G76" cm="1">
        <f t="array" ref="G76">_xlfn.XLOOKUP(1, ('price C'!$A$3:$A$27 = demand!$A76) * 1, _xlfn.XLOOKUP(1, ( 'price C'!$B$2:$D$2 = demand!$B76) * 1, 'price C'!$B$3:$D$27))</f>
        <v>430</v>
      </c>
      <c r="H76" cm="1">
        <f t="array" ref="H76">_xlfn.XLOOKUP(1, ('price C'!$A$3:$A$27 = demand!$A76) * 1,  'price C'!$E$3:$E$27)</f>
        <v>0.98</v>
      </c>
      <c r="I76">
        <f t="shared" si="5"/>
        <v>9439.36</v>
      </c>
    </row>
    <row r="77" spans="1:9" x14ac:dyDescent="0.2">
      <c r="A77" t="s">
        <v>2</v>
      </c>
      <c r="B77" s="4">
        <v>20</v>
      </c>
      <c r="C77" cm="1">
        <f t="array" ref="C77">_xlfn.XLOOKUP(1, ('price A'!$A$3:$A$27 = demand!$A77) * 1, _xlfn.XLOOKUP(1, ( 'price A'!$B$2:$D$2 = demand!$B77) * 1, 'price A'!$B$3:$D$27))</f>
        <v>686</v>
      </c>
      <c r="D77">
        <f t="shared" si="3"/>
        <v>15366.400000000001</v>
      </c>
      <c r="E77" cm="1">
        <f t="array" ref="E77">_xlfn.XLOOKUP(1, ('price B'!$A$3:$A$27 = demand!$A77) * 1, _xlfn.XLOOKUP(1, ( 'price B'!$B$2:$D$2 = demand!$B77) * 1, 'price B'!$B$3:$D$27))</f>
        <v>735</v>
      </c>
      <c r="F77">
        <f t="shared" si="4"/>
        <v>13965</v>
      </c>
      <c r="G77" cm="1">
        <f t="array" ref="G77">_xlfn.XLOOKUP(1, ('price C'!$A$3:$A$27 = demand!$A77) * 1, _xlfn.XLOOKUP(1, ( 'price C'!$B$2:$D$2 = demand!$B77) * 1, 'price C'!$B$3:$D$27))</f>
        <v>430</v>
      </c>
      <c r="H77" cm="1">
        <f t="array" ref="H77">_xlfn.XLOOKUP(1, ('price C'!$A$3:$A$27 = demand!$A77) * 1,  'price C'!$E$3:$E$27)</f>
        <v>2</v>
      </c>
      <c r="I77">
        <f t="shared" si="5"/>
        <v>19264</v>
      </c>
    </row>
    <row r="78" spans="1:9" x14ac:dyDescent="0.2">
      <c r="A78" t="s">
        <v>3</v>
      </c>
      <c r="B78" s="4">
        <v>20</v>
      </c>
      <c r="C78" cm="1">
        <f t="array" ref="C78">_xlfn.XLOOKUP(1, ('price A'!$A$3:$A$27 = demand!$A78) * 1, _xlfn.XLOOKUP(1, ( 'price A'!$B$2:$D$2 = demand!$B78) * 1, 'price A'!$B$3:$D$27))</f>
        <v>392</v>
      </c>
      <c r="D78">
        <f t="shared" si="3"/>
        <v>8780.8000000000011</v>
      </c>
      <c r="E78" cm="1">
        <f t="array" ref="E78">_xlfn.XLOOKUP(1, ('price B'!$A$3:$A$27 = demand!$A78) * 1, _xlfn.XLOOKUP(1, ( 'price B'!$B$2:$D$2 = demand!$B78) * 1, 'price B'!$B$3:$D$27))</f>
        <v>420</v>
      </c>
      <c r="F78">
        <f t="shared" si="4"/>
        <v>7980</v>
      </c>
      <c r="G78" cm="1">
        <f t="array" ref="G78">_xlfn.XLOOKUP(1, ('price C'!$A$3:$A$27 = demand!$A78) * 1, _xlfn.XLOOKUP(1, ( 'price C'!$B$2:$D$2 = demand!$B78) * 1, 'price C'!$B$3:$D$27))</f>
        <v>430</v>
      </c>
      <c r="H78" cm="1">
        <f t="array" ref="H78">_xlfn.XLOOKUP(1, ('price C'!$A$3:$A$27 = demand!$A78) * 1,  'price C'!$E$3:$E$27)</f>
        <v>0.5</v>
      </c>
      <c r="I78">
        <f t="shared" si="5"/>
        <v>4816</v>
      </c>
    </row>
    <row r="79" spans="1:9" x14ac:dyDescent="0.2">
      <c r="A79" t="s">
        <v>4</v>
      </c>
      <c r="B79" s="4">
        <v>20</v>
      </c>
      <c r="C79" cm="1">
        <f t="array" ref="C79">_xlfn.XLOOKUP(1, ('price A'!$A$3:$A$27 = demand!$A79) * 1, _xlfn.XLOOKUP(1, ( 'price A'!$B$2:$D$2 = demand!$B79) * 1, 'price A'!$B$3:$D$27))</f>
        <v>392</v>
      </c>
      <c r="D79">
        <f t="shared" si="3"/>
        <v>8780.8000000000011</v>
      </c>
      <c r="E79" cm="1">
        <f t="array" ref="E79">_xlfn.XLOOKUP(1, ('price B'!$A$3:$A$27 = demand!$A79) * 1, _xlfn.XLOOKUP(1, ( 'price B'!$B$2:$D$2 = demand!$B79) * 1, 'price B'!$B$3:$D$27))</f>
        <v>420</v>
      </c>
      <c r="F79">
        <f t="shared" si="4"/>
        <v>7980</v>
      </c>
      <c r="G79" cm="1">
        <f t="array" ref="G79">_xlfn.XLOOKUP(1, ('price C'!$A$3:$A$27 = demand!$A79) * 1, _xlfn.XLOOKUP(1, ( 'price C'!$B$2:$D$2 = demand!$B79) * 1, 'price C'!$B$3:$D$27))</f>
        <v>430</v>
      </c>
      <c r="H79" cm="1">
        <f t="array" ref="H79">_xlfn.XLOOKUP(1, ('price C'!$A$3:$A$27 = demand!$A79) * 1,  'price C'!$E$3:$E$27)</f>
        <v>1.2</v>
      </c>
      <c r="I79">
        <f t="shared" si="5"/>
        <v>11558.400000000001</v>
      </c>
    </row>
    <row r="80" spans="1:9" x14ac:dyDescent="0.2">
      <c r="A80" t="s">
        <v>5</v>
      </c>
      <c r="B80" s="4">
        <v>20</v>
      </c>
      <c r="C80" cm="1">
        <f t="array" ref="C80">_xlfn.XLOOKUP(1, ('price A'!$A$3:$A$27 = demand!$A80) * 1, _xlfn.XLOOKUP(1, ( 'price A'!$B$2:$D$2 = demand!$B80) * 1, 'price A'!$B$3:$D$27))</f>
        <v>392</v>
      </c>
      <c r="D80">
        <f t="shared" si="3"/>
        <v>8780.8000000000011</v>
      </c>
      <c r="E80" cm="1">
        <f t="array" ref="E80">_xlfn.XLOOKUP(1, ('price B'!$A$3:$A$27 = demand!$A80) * 1, _xlfn.XLOOKUP(1, ( 'price B'!$B$2:$D$2 = demand!$B80) * 1, 'price B'!$B$3:$D$27))</f>
        <v>420</v>
      </c>
      <c r="F80">
        <f t="shared" si="4"/>
        <v>7980</v>
      </c>
      <c r="G80" cm="1">
        <f t="array" ref="G80">_xlfn.XLOOKUP(1, ('price C'!$A$3:$A$27 = demand!$A80) * 1, _xlfn.XLOOKUP(1, ( 'price C'!$B$2:$D$2 = demand!$B80) * 1, 'price C'!$B$3:$D$27))</f>
        <v>430</v>
      </c>
      <c r="H80" cm="1">
        <f t="array" ref="H80">_xlfn.XLOOKUP(1, ('price C'!$A$3:$A$27 = demand!$A80) * 1,  'price C'!$E$3:$E$27)</f>
        <v>1</v>
      </c>
      <c r="I80">
        <f t="shared" si="5"/>
        <v>9632</v>
      </c>
    </row>
    <row r="81" spans="1:9" x14ac:dyDescent="0.2">
      <c r="A81" t="s">
        <v>6</v>
      </c>
      <c r="B81" s="4">
        <v>20</v>
      </c>
      <c r="C81" cm="1">
        <f t="array" ref="C81">_xlfn.XLOOKUP(1, ('price A'!$A$3:$A$27 = demand!$A81) * 1, _xlfn.XLOOKUP(1, ( 'price A'!$B$2:$D$2 = demand!$B81) * 1, 'price A'!$B$3:$D$27))</f>
        <v>559</v>
      </c>
      <c r="D81">
        <f t="shared" si="3"/>
        <v>12521.6</v>
      </c>
      <c r="E81" cm="1">
        <f t="array" ref="E81">_xlfn.XLOOKUP(1, ('price B'!$A$3:$A$27 = demand!$A81) * 1, _xlfn.XLOOKUP(1, ( 'price B'!$B$2:$D$2 = demand!$B81) * 1, 'price B'!$B$3:$D$27))</f>
        <v>599</v>
      </c>
      <c r="F81">
        <f t="shared" si="4"/>
        <v>11381</v>
      </c>
      <c r="G81" cm="1">
        <f t="array" ref="G81">_xlfn.XLOOKUP(1, ('price C'!$A$3:$A$27 = demand!$A81) * 1, _xlfn.XLOOKUP(1, ( 'price C'!$B$2:$D$2 = demand!$B81) * 1, 'price C'!$B$3:$D$27))</f>
        <v>430</v>
      </c>
      <c r="H81" cm="1">
        <f t="array" ref="H81">_xlfn.XLOOKUP(1, ('price C'!$A$3:$A$27 = demand!$A81) * 1,  'price C'!$E$3:$E$27)</f>
        <v>1.3</v>
      </c>
      <c r="I81">
        <f t="shared" si="5"/>
        <v>12521.6</v>
      </c>
    </row>
    <row r="82" spans="1:9" x14ac:dyDescent="0.2">
      <c r="A82" t="s">
        <v>7</v>
      </c>
      <c r="B82" s="4">
        <v>20</v>
      </c>
      <c r="C82" cm="1">
        <f t="array" ref="C82">_xlfn.XLOOKUP(1, ('price A'!$A$3:$A$27 = demand!$A82) * 1, _xlfn.XLOOKUP(1, ( 'price A'!$B$2:$D$2 = demand!$B82) * 1, 'price A'!$B$3:$D$27))</f>
        <v>686</v>
      </c>
      <c r="D82">
        <f t="shared" si="3"/>
        <v>15366.400000000001</v>
      </c>
      <c r="E82" cm="1">
        <f t="array" ref="E82">_xlfn.XLOOKUP(1, ('price B'!$A$3:$A$27 = demand!$A82) * 1, _xlfn.XLOOKUP(1, ( 'price B'!$B$2:$D$2 = demand!$B82) * 1, 'price B'!$B$3:$D$27))</f>
        <v>735</v>
      </c>
      <c r="F82">
        <f t="shared" si="4"/>
        <v>13965</v>
      </c>
      <c r="G82" cm="1">
        <f t="array" ref="G82">_xlfn.XLOOKUP(1, ('price C'!$A$3:$A$27 = demand!$A82) * 1, _xlfn.XLOOKUP(1, ( 'price C'!$B$2:$D$2 = demand!$B82) * 1, 'price C'!$B$3:$D$27))</f>
        <v>430</v>
      </c>
      <c r="H82" cm="1">
        <f t="array" ref="H82">_xlfn.XLOOKUP(1, ('price C'!$A$3:$A$27 = demand!$A82) * 1,  'price C'!$E$3:$E$27)</f>
        <v>2</v>
      </c>
      <c r="I82">
        <f t="shared" si="5"/>
        <v>19264</v>
      </c>
    </row>
    <row r="83" spans="1:9" x14ac:dyDescent="0.2">
      <c r="A83" t="s">
        <v>8</v>
      </c>
      <c r="B83" s="4">
        <v>20</v>
      </c>
      <c r="C83" cm="1">
        <f t="array" ref="C83">_xlfn.XLOOKUP(1, ('price A'!$A$3:$A$27 = demand!$A83) * 1, _xlfn.XLOOKUP(1, ( 'price A'!$B$2:$D$2 = demand!$B83) * 1, 'price A'!$B$3:$D$27))</f>
        <v>588</v>
      </c>
      <c r="D83">
        <f t="shared" si="3"/>
        <v>13171.2</v>
      </c>
      <c r="E83" cm="1">
        <f t="array" ref="E83">_xlfn.XLOOKUP(1, ('price B'!$A$3:$A$27 = demand!$A83) * 1, _xlfn.XLOOKUP(1, ( 'price B'!$B$2:$D$2 = demand!$B83) * 1, 'price B'!$B$3:$D$27))</f>
        <v>630</v>
      </c>
      <c r="F83">
        <f t="shared" si="4"/>
        <v>11970</v>
      </c>
      <c r="G83" cm="1">
        <f t="array" ref="G83">_xlfn.XLOOKUP(1, ('price C'!$A$3:$A$27 = demand!$A83) * 1, _xlfn.XLOOKUP(1, ( 'price C'!$B$2:$D$2 = demand!$B83) * 1, 'price C'!$B$3:$D$27))</f>
        <v>430</v>
      </c>
      <c r="H83" cm="1">
        <f t="array" ref="H83">_xlfn.XLOOKUP(1, ('price C'!$A$3:$A$27 = demand!$A83) * 1,  'price C'!$E$3:$E$27)</f>
        <v>0.95</v>
      </c>
      <c r="I83">
        <f t="shared" si="5"/>
        <v>9150.4000000000015</v>
      </c>
    </row>
    <row r="84" spans="1:9" x14ac:dyDescent="0.2">
      <c r="A84" t="s">
        <v>9</v>
      </c>
      <c r="B84" s="4">
        <v>20</v>
      </c>
      <c r="C84" cm="1">
        <f t="array" ref="C84">_xlfn.XLOOKUP(1, ('price A'!$A$3:$A$27 = demand!$A84) * 1, _xlfn.XLOOKUP(1, ( 'price A'!$B$2:$D$2 = demand!$B84) * 1, 'price A'!$B$3:$D$27))</f>
        <v>539</v>
      </c>
      <c r="D84">
        <f t="shared" si="3"/>
        <v>12073.600000000002</v>
      </c>
      <c r="E84" cm="1">
        <f t="array" ref="E84">_xlfn.XLOOKUP(1, ('price B'!$A$3:$A$27 = demand!$A84) * 1, _xlfn.XLOOKUP(1, ( 'price B'!$B$2:$D$2 = demand!$B84) * 1, 'price B'!$B$3:$D$27))</f>
        <v>578</v>
      </c>
      <c r="F84">
        <f t="shared" si="4"/>
        <v>10982</v>
      </c>
      <c r="G84" cm="1">
        <f t="array" ref="G84">_xlfn.XLOOKUP(1, ('price C'!$A$3:$A$27 = demand!$A84) * 1, _xlfn.XLOOKUP(1, ( 'price C'!$B$2:$D$2 = demand!$B84) * 1, 'price C'!$B$3:$D$27))</f>
        <v>430</v>
      </c>
      <c r="H84" cm="1">
        <f t="array" ref="H84">_xlfn.XLOOKUP(1, ('price C'!$A$3:$A$27 = demand!$A84) * 1,  'price C'!$E$3:$E$27)</f>
        <v>0.9</v>
      </c>
      <c r="I84">
        <f t="shared" si="5"/>
        <v>8668.8000000000011</v>
      </c>
    </row>
    <row r="85" spans="1:9" x14ac:dyDescent="0.2">
      <c r="A85" t="s">
        <v>10</v>
      </c>
      <c r="B85" s="4">
        <v>20</v>
      </c>
      <c r="C85" cm="1">
        <f t="array" ref="C85">_xlfn.XLOOKUP(1, ('price A'!$A$3:$A$27 = demand!$A85) * 1, _xlfn.XLOOKUP(1, ( 'price A'!$B$2:$D$2 = demand!$B85) * 1, 'price A'!$B$3:$D$27))</f>
        <v>686</v>
      </c>
      <c r="D85">
        <f t="shared" si="3"/>
        <v>15366.400000000001</v>
      </c>
      <c r="E85" cm="1">
        <f t="array" ref="E85">_xlfn.XLOOKUP(1, ('price B'!$A$3:$A$27 = demand!$A85) * 1, _xlfn.XLOOKUP(1, ( 'price B'!$B$2:$D$2 = demand!$B85) * 1, 'price B'!$B$3:$D$27))</f>
        <v>735</v>
      </c>
      <c r="F85">
        <f t="shared" si="4"/>
        <v>13965</v>
      </c>
      <c r="G85" cm="1">
        <f t="array" ref="G85">_xlfn.XLOOKUP(1, ('price C'!$A$3:$A$27 = demand!$A85) * 1, _xlfn.XLOOKUP(1, ( 'price C'!$B$2:$D$2 = demand!$B85) * 1, 'price C'!$B$3:$D$27))</f>
        <v>430</v>
      </c>
      <c r="H85" cm="1">
        <f t="array" ref="H85">_xlfn.XLOOKUP(1, ('price C'!$A$3:$A$27 = demand!$A85) * 1,  'price C'!$E$3:$E$27)</f>
        <v>0.9</v>
      </c>
      <c r="I85">
        <f t="shared" si="5"/>
        <v>8668.8000000000011</v>
      </c>
    </row>
    <row r="86" spans="1:9" x14ac:dyDescent="0.2">
      <c r="A86" t="s">
        <v>11</v>
      </c>
      <c r="B86" s="4">
        <v>20</v>
      </c>
      <c r="C86" cm="1">
        <f t="array" ref="C86">_xlfn.XLOOKUP(1, ('price A'!$A$3:$A$27 = demand!$A86) * 1, _xlfn.XLOOKUP(1, ( 'price A'!$B$2:$D$2 = demand!$B86) * 1, 'price A'!$B$3:$D$27))</f>
        <v>441</v>
      </c>
      <c r="D86">
        <f t="shared" si="3"/>
        <v>9878.4000000000015</v>
      </c>
      <c r="E86" cm="1">
        <f t="array" ref="E86">_xlfn.XLOOKUP(1, ('price B'!$A$3:$A$27 = demand!$A86) * 1, _xlfn.XLOOKUP(1, ( 'price B'!$B$2:$D$2 = demand!$B86) * 1, 'price B'!$B$3:$D$27))</f>
        <v>473</v>
      </c>
      <c r="F86">
        <f t="shared" si="4"/>
        <v>8987</v>
      </c>
      <c r="G86" cm="1">
        <f t="array" ref="G86">_xlfn.XLOOKUP(1, ('price C'!$A$3:$A$27 = demand!$A86) * 1, _xlfn.XLOOKUP(1, ( 'price C'!$B$2:$D$2 = demand!$B86) * 1, 'price C'!$B$3:$D$27))</f>
        <v>430</v>
      </c>
      <c r="H86" cm="1">
        <f t="array" ref="H86">_xlfn.XLOOKUP(1, ('price C'!$A$3:$A$27 = demand!$A86) * 1,  'price C'!$E$3:$E$27)</f>
        <v>1.5</v>
      </c>
      <c r="I86">
        <f t="shared" si="5"/>
        <v>14448.000000000002</v>
      </c>
    </row>
    <row r="87" spans="1:9" x14ac:dyDescent="0.2">
      <c r="A87" t="s">
        <v>12</v>
      </c>
      <c r="B87" s="4">
        <v>20</v>
      </c>
      <c r="C87" cm="1">
        <f t="array" ref="C87">_xlfn.XLOOKUP(1, ('price A'!$A$3:$A$27 = demand!$A87) * 1, _xlfn.XLOOKUP(1, ( 'price A'!$B$2:$D$2 = demand!$B87) * 1, 'price A'!$B$3:$D$27))</f>
        <v>490</v>
      </c>
      <c r="D87">
        <f t="shared" si="3"/>
        <v>10976.000000000002</v>
      </c>
      <c r="E87" cm="1">
        <f t="array" ref="E87">_xlfn.XLOOKUP(1, ('price B'!$A$3:$A$27 = demand!$A87) * 1, _xlfn.XLOOKUP(1, ( 'price B'!$B$2:$D$2 = demand!$B87) * 1, 'price B'!$B$3:$D$27))</f>
        <v>525</v>
      </c>
      <c r="F87">
        <f t="shared" si="4"/>
        <v>9975</v>
      </c>
      <c r="G87" cm="1">
        <f t="array" ref="G87">_xlfn.XLOOKUP(1, ('price C'!$A$3:$A$27 = demand!$A87) * 1, _xlfn.XLOOKUP(1, ( 'price C'!$B$2:$D$2 = demand!$B87) * 1, 'price C'!$B$3:$D$27))</f>
        <v>430</v>
      </c>
      <c r="H87" cm="1">
        <f t="array" ref="H87">_xlfn.XLOOKUP(1, ('price C'!$A$3:$A$27 = demand!$A87) * 1,  'price C'!$E$3:$E$27)</f>
        <v>1</v>
      </c>
      <c r="I87">
        <f t="shared" si="5"/>
        <v>9632</v>
      </c>
    </row>
    <row r="88" spans="1:9" x14ac:dyDescent="0.2">
      <c r="A88" t="s">
        <v>13</v>
      </c>
      <c r="B88" s="4">
        <v>20</v>
      </c>
      <c r="C88" cm="1">
        <f t="array" ref="C88">_xlfn.XLOOKUP(1, ('price A'!$A$3:$A$27 = demand!$A88) * 1, _xlfn.XLOOKUP(1, ( 'price A'!$B$2:$D$2 = demand!$B88) * 1, 'price A'!$B$3:$D$27))</f>
        <v>588</v>
      </c>
      <c r="D88">
        <f t="shared" si="3"/>
        <v>13171.2</v>
      </c>
      <c r="E88" cm="1">
        <f t="array" ref="E88">_xlfn.XLOOKUP(1, ('price B'!$A$3:$A$27 = demand!$A88) * 1, _xlfn.XLOOKUP(1, ( 'price B'!$B$2:$D$2 = demand!$B88) * 1, 'price B'!$B$3:$D$27))</f>
        <v>630</v>
      </c>
      <c r="F88">
        <f t="shared" si="4"/>
        <v>11970</v>
      </c>
      <c r="G88" cm="1">
        <f t="array" ref="G88">_xlfn.XLOOKUP(1, ('price C'!$A$3:$A$27 = demand!$A88) * 1, _xlfn.XLOOKUP(1, ( 'price C'!$B$2:$D$2 = demand!$B88) * 1, 'price C'!$B$3:$D$27))</f>
        <v>430</v>
      </c>
      <c r="H88" cm="1">
        <f t="array" ref="H88">_xlfn.XLOOKUP(1, ('price C'!$A$3:$A$27 = demand!$A88) * 1,  'price C'!$E$3:$E$27)</f>
        <v>0.7</v>
      </c>
      <c r="I88">
        <f t="shared" si="5"/>
        <v>6742.4</v>
      </c>
    </row>
    <row r="89" spans="1:9" x14ac:dyDescent="0.2">
      <c r="A89" t="s">
        <v>14</v>
      </c>
      <c r="B89" s="4">
        <v>20</v>
      </c>
      <c r="C89" cm="1">
        <f t="array" ref="C89">_xlfn.XLOOKUP(1, ('price A'!$A$3:$A$27 = demand!$A89) * 1, _xlfn.XLOOKUP(1, ( 'price A'!$B$2:$D$2 = demand!$B89) * 1, 'price A'!$B$3:$D$27))</f>
        <v>441</v>
      </c>
      <c r="D89">
        <f t="shared" si="3"/>
        <v>9878.4000000000015</v>
      </c>
      <c r="E89" cm="1">
        <f t="array" ref="E89">_xlfn.XLOOKUP(1, ('price B'!$A$3:$A$27 = demand!$A89) * 1, _xlfn.XLOOKUP(1, ( 'price B'!$B$2:$D$2 = demand!$B89) * 1, 'price B'!$B$3:$D$27))</f>
        <v>473</v>
      </c>
      <c r="F89">
        <f t="shared" si="4"/>
        <v>8987</v>
      </c>
      <c r="G89" cm="1">
        <f t="array" ref="G89">_xlfn.XLOOKUP(1, ('price C'!$A$3:$A$27 = demand!$A89) * 1, _xlfn.XLOOKUP(1, ( 'price C'!$B$2:$D$2 = demand!$B89) * 1, 'price C'!$B$3:$D$27))</f>
        <v>430</v>
      </c>
      <c r="H89" cm="1">
        <f t="array" ref="H89">_xlfn.XLOOKUP(1, ('price C'!$A$3:$A$27 = demand!$A89) * 1,  'price C'!$E$3:$E$27)</f>
        <v>1.5</v>
      </c>
      <c r="I89">
        <f t="shared" si="5"/>
        <v>14448.000000000002</v>
      </c>
    </row>
    <row r="90" spans="1:9" x14ac:dyDescent="0.2">
      <c r="A90" t="s">
        <v>15</v>
      </c>
      <c r="B90" s="4">
        <v>20</v>
      </c>
      <c r="C90" cm="1">
        <f t="array" ref="C90">_xlfn.XLOOKUP(1, ('price A'!$A$3:$A$27 = demand!$A90) * 1, _xlfn.XLOOKUP(1, ( 'price A'!$B$2:$D$2 = demand!$B90) * 1, 'price A'!$B$3:$D$27))</f>
        <v>490</v>
      </c>
      <c r="D90">
        <f t="shared" si="3"/>
        <v>10976.000000000002</v>
      </c>
      <c r="E90" cm="1">
        <f t="array" ref="E90">_xlfn.XLOOKUP(1, ('price B'!$A$3:$A$27 = demand!$A90) * 1, _xlfn.XLOOKUP(1, ( 'price B'!$B$2:$D$2 = demand!$B90) * 1, 'price B'!$B$3:$D$27))</f>
        <v>525</v>
      </c>
      <c r="F90">
        <f t="shared" si="4"/>
        <v>9975</v>
      </c>
      <c r="G90" cm="1">
        <f t="array" ref="G90">_xlfn.XLOOKUP(1, ('price C'!$A$3:$A$27 = demand!$A90) * 1, _xlfn.XLOOKUP(1, ( 'price C'!$B$2:$D$2 = demand!$B90) * 1, 'price C'!$B$3:$D$27))</f>
        <v>430</v>
      </c>
      <c r="H90" cm="1">
        <f t="array" ref="H90">_xlfn.XLOOKUP(1, ('price C'!$A$3:$A$27 = demand!$A90) * 1,  'price C'!$E$3:$E$27)</f>
        <v>1.5</v>
      </c>
      <c r="I90">
        <f t="shared" si="5"/>
        <v>14448.000000000002</v>
      </c>
    </row>
    <row r="91" spans="1:9" x14ac:dyDescent="0.2">
      <c r="A91" t="s">
        <v>18</v>
      </c>
      <c r="B91" s="4">
        <v>20</v>
      </c>
      <c r="C91" cm="1">
        <f t="array" ref="C91">_xlfn.XLOOKUP(1, ('price A'!$A$3:$A$27 = demand!$A91) * 1, _xlfn.XLOOKUP(1, ( 'price A'!$B$2:$D$2 = demand!$B91) * 1, 'price A'!$B$3:$D$27))</f>
        <v>441</v>
      </c>
      <c r="D91">
        <f t="shared" si="3"/>
        <v>9878.4000000000015</v>
      </c>
      <c r="E91" cm="1">
        <f t="array" ref="E91">_xlfn.XLOOKUP(1, ('price B'!$A$3:$A$27 = demand!$A91) * 1, _xlfn.XLOOKUP(1, ( 'price B'!$B$2:$D$2 = demand!$B91) * 1, 'price B'!$B$3:$D$27))</f>
        <v>473</v>
      </c>
      <c r="F91">
        <f t="shared" si="4"/>
        <v>8987</v>
      </c>
      <c r="G91" cm="1">
        <f t="array" ref="G91">_xlfn.XLOOKUP(1, ('price C'!$A$3:$A$27 = demand!$A91) * 1, _xlfn.XLOOKUP(1, ( 'price C'!$B$2:$D$2 = demand!$B91) * 1, 'price C'!$B$3:$D$27))</f>
        <v>430</v>
      </c>
      <c r="H91" cm="1">
        <f t="array" ref="H91">_xlfn.XLOOKUP(1, ('price C'!$A$3:$A$27 = demand!$A91) * 1,  'price C'!$E$3:$E$27)</f>
        <v>1.5</v>
      </c>
      <c r="I91">
        <f t="shared" si="5"/>
        <v>14448.000000000002</v>
      </c>
    </row>
    <row r="92" spans="1:9" x14ac:dyDescent="0.2">
      <c r="A92" t="s">
        <v>16</v>
      </c>
      <c r="B92" s="4">
        <v>20</v>
      </c>
      <c r="C92" cm="1">
        <f t="array" ref="C92">_xlfn.XLOOKUP(1, ('price A'!$A$3:$A$27 = demand!$A92) * 1, _xlfn.XLOOKUP(1, ( 'price A'!$B$2:$D$2 = demand!$B92) * 1, 'price A'!$B$3:$D$27))</f>
        <v>1176</v>
      </c>
      <c r="D92">
        <f t="shared" si="3"/>
        <v>26342.400000000001</v>
      </c>
      <c r="E92" cm="1">
        <f t="array" ref="E92">_xlfn.XLOOKUP(1, ('price B'!$A$3:$A$27 = demand!$A92) * 1, _xlfn.XLOOKUP(1, ( 'price B'!$B$2:$D$2 = demand!$B92) * 1, 'price B'!$B$3:$D$27))</f>
        <v>1260</v>
      </c>
      <c r="F92">
        <f t="shared" si="4"/>
        <v>23940</v>
      </c>
      <c r="G92" cm="1">
        <f t="array" ref="G92">_xlfn.XLOOKUP(1, ('price C'!$A$3:$A$27 = demand!$A92) * 1, _xlfn.XLOOKUP(1, ( 'price C'!$B$2:$D$2 = demand!$B92) * 1, 'price C'!$B$3:$D$27))</f>
        <v>430</v>
      </c>
      <c r="H92" cm="1">
        <f t="array" ref="H92">_xlfn.XLOOKUP(1, ('price C'!$A$3:$A$27 = demand!$A92) * 1,  'price C'!$E$3:$E$27)</f>
        <v>3</v>
      </c>
      <c r="I92">
        <f t="shared" si="5"/>
        <v>28896.000000000004</v>
      </c>
    </row>
    <row r="93" spans="1:9" x14ac:dyDescent="0.2">
      <c r="A93" t="s">
        <v>17</v>
      </c>
      <c r="B93" s="4">
        <v>20</v>
      </c>
      <c r="C93" cm="1">
        <f t="array" ref="C93">_xlfn.XLOOKUP(1, ('price A'!$A$3:$A$27 = demand!$A93) * 1, _xlfn.XLOOKUP(1, ( 'price A'!$B$2:$D$2 = demand!$B93) * 1, 'price A'!$B$3:$D$27))</f>
        <v>1176</v>
      </c>
      <c r="D93">
        <f t="shared" si="3"/>
        <v>26342.400000000001</v>
      </c>
      <c r="E93" cm="1">
        <f t="array" ref="E93">_xlfn.XLOOKUP(1, ('price B'!$A$3:$A$27 = demand!$A93) * 1, _xlfn.XLOOKUP(1, ( 'price B'!$B$2:$D$2 = demand!$B93) * 1, 'price B'!$B$3:$D$27))</f>
        <v>1260</v>
      </c>
      <c r="F93">
        <f t="shared" si="4"/>
        <v>23940</v>
      </c>
      <c r="G93" cm="1">
        <f t="array" ref="G93">_xlfn.XLOOKUP(1, ('price C'!$A$3:$A$27 = demand!$A93) * 1, _xlfn.XLOOKUP(1, ( 'price C'!$B$2:$D$2 = demand!$B93) * 1, 'price C'!$B$3:$D$27))</f>
        <v>430</v>
      </c>
      <c r="H93" cm="1">
        <f t="array" ref="H93">_xlfn.XLOOKUP(1, ('price C'!$A$3:$A$27 = demand!$A93) * 1,  'price C'!$E$3:$E$27)</f>
        <v>3</v>
      </c>
      <c r="I93">
        <f t="shared" si="5"/>
        <v>28896.000000000004</v>
      </c>
    </row>
    <row r="94" spans="1:9" x14ac:dyDescent="0.2">
      <c r="A94" t="s">
        <v>19</v>
      </c>
      <c r="B94" s="4">
        <v>20</v>
      </c>
      <c r="C94" cm="1">
        <f t="array" ref="C94">_xlfn.XLOOKUP(1, ('price A'!$A$3:$A$27 = demand!$A94) * 1, _xlfn.XLOOKUP(1, ( 'price A'!$B$2:$D$2 = demand!$B94) * 1, 'price A'!$B$3:$D$27))</f>
        <v>1274</v>
      </c>
      <c r="D94">
        <f t="shared" si="3"/>
        <v>28537.600000000002</v>
      </c>
      <c r="E94" cm="1">
        <f t="array" ref="E94">_xlfn.XLOOKUP(1, ('price B'!$A$3:$A$27 = demand!$A94) * 1, _xlfn.XLOOKUP(1, ( 'price B'!$B$2:$D$2 = demand!$B94) * 1, 'price B'!$B$3:$D$27))</f>
        <v>1365</v>
      </c>
      <c r="F94">
        <f t="shared" si="4"/>
        <v>25935</v>
      </c>
      <c r="G94" cm="1">
        <f t="array" ref="G94">_xlfn.XLOOKUP(1, ('price C'!$A$3:$A$27 = demand!$A94) * 1, _xlfn.XLOOKUP(1, ( 'price C'!$B$2:$D$2 = demand!$B94) * 1, 'price C'!$B$3:$D$27))</f>
        <v>430</v>
      </c>
      <c r="H94" cm="1">
        <f t="array" ref="H94">_xlfn.XLOOKUP(1, ('price C'!$A$3:$A$27 = demand!$A94) * 1,  'price C'!$E$3:$E$27)</f>
        <v>3</v>
      </c>
      <c r="I94">
        <f t="shared" si="5"/>
        <v>28896.000000000004</v>
      </c>
    </row>
    <row r="95" spans="1:9" x14ac:dyDescent="0.2">
      <c r="A95" t="s">
        <v>20</v>
      </c>
      <c r="B95" s="4">
        <v>20</v>
      </c>
      <c r="C95" cm="1">
        <f t="array" ref="C95">_xlfn.XLOOKUP(1, ('price A'!$A$3:$A$27 = demand!$A95) * 1, _xlfn.XLOOKUP(1, ( 'price A'!$B$2:$D$2 = demand!$B95) * 1, 'price A'!$B$3:$D$27))</f>
        <v>1274</v>
      </c>
      <c r="D95">
        <f t="shared" si="3"/>
        <v>28537.600000000002</v>
      </c>
      <c r="E95" cm="1">
        <f t="array" ref="E95">_xlfn.XLOOKUP(1, ('price B'!$A$3:$A$27 = demand!$A95) * 1, _xlfn.XLOOKUP(1, ( 'price B'!$B$2:$D$2 = demand!$B95) * 1, 'price B'!$B$3:$D$27))</f>
        <v>1365</v>
      </c>
      <c r="F95">
        <f t="shared" si="4"/>
        <v>25935</v>
      </c>
      <c r="G95" cm="1">
        <f t="array" ref="G95">_xlfn.XLOOKUP(1, ('price C'!$A$3:$A$27 = demand!$A95) * 1, _xlfn.XLOOKUP(1, ( 'price C'!$B$2:$D$2 = demand!$B95) * 1, 'price C'!$B$3:$D$27))</f>
        <v>430</v>
      </c>
      <c r="H95" cm="1">
        <f t="array" ref="H95">_xlfn.XLOOKUP(1, ('price C'!$A$3:$A$27 = demand!$A95) * 1,  'price C'!$E$3:$E$27)</f>
        <v>3</v>
      </c>
      <c r="I95">
        <f t="shared" si="5"/>
        <v>28896.000000000004</v>
      </c>
    </row>
    <row r="96" spans="1:9" x14ac:dyDescent="0.2">
      <c r="A96" t="s">
        <v>21</v>
      </c>
      <c r="B96" s="4">
        <v>20</v>
      </c>
      <c r="C96" cm="1">
        <f t="array" ref="C96">_xlfn.XLOOKUP(1, ('price A'!$A$3:$A$27 = demand!$A96) * 1, _xlfn.XLOOKUP(1, ( 'price A'!$B$2:$D$2 = demand!$B96) * 1, 'price A'!$B$3:$D$27))</f>
        <v>1470</v>
      </c>
      <c r="D96">
        <f t="shared" si="3"/>
        <v>32928</v>
      </c>
      <c r="E96" cm="1">
        <f t="array" ref="E96">_xlfn.XLOOKUP(1, ('price B'!$A$3:$A$27 = demand!$A96) * 1, _xlfn.XLOOKUP(1, ( 'price B'!$B$2:$D$2 = demand!$B96) * 1, 'price B'!$B$3:$D$27))</f>
        <v>1575</v>
      </c>
      <c r="F96">
        <f t="shared" si="4"/>
        <v>29925</v>
      </c>
      <c r="G96" cm="1">
        <f t="array" ref="G96">_xlfn.XLOOKUP(1, ('price C'!$A$3:$A$27 = demand!$A96) * 1, _xlfn.XLOOKUP(1, ( 'price C'!$B$2:$D$2 = demand!$B96) * 1, 'price C'!$B$3:$D$27))</f>
        <v>430</v>
      </c>
      <c r="H96" cm="1">
        <f t="array" ref="H96">_xlfn.XLOOKUP(1, ('price C'!$A$3:$A$27 = demand!$A96) * 1,  'price C'!$E$3:$E$27)</f>
        <v>3</v>
      </c>
      <c r="I96">
        <f t="shared" si="5"/>
        <v>28896.000000000004</v>
      </c>
    </row>
    <row r="97" spans="1:9" x14ac:dyDescent="0.2">
      <c r="A97" t="s">
        <v>22</v>
      </c>
      <c r="B97" s="4">
        <v>20</v>
      </c>
      <c r="C97" cm="1">
        <f t="array" ref="C97">_xlfn.XLOOKUP(1, ('price A'!$A$3:$A$27 = demand!$A97) * 1, _xlfn.XLOOKUP(1, ( 'price A'!$B$2:$D$2 = demand!$B97) * 1, 'price A'!$B$3:$D$27))</f>
        <v>441</v>
      </c>
      <c r="D97">
        <f t="shared" si="3"/>
        <v>9878.4000000000015</v>
      </c>
      <c r="E97" cm="1">
        <f t="array" ref="E97">_xlfn.XLOOKUP(1, ('price B'!$A$3:$A$27 = demand!$A97) * 1, _xlfn.XLOOKUP(1, ( 'price B'!$B$2:$D$2 = demand!$B97) * 1, 'price B'!$B$3:$D$27))</f>
        <v>473</v>
      </c>
      <c r="F97">
        <f t="shared" si="4"/>
        <v>8987</v>
      </c>
      <c r="G97" cm="1">
        <f t="array" ref="G97">_xlfn.XLOOKUP(1, ('price C'!$A$3:$A$27 = demand!$A97) * 1, _xlfn.XLOOKUP(1, ( 'price C'!$B$2:$D$2 = demand!$B97) * 1, 'price C'!$B$3:$D$27))</f>
        <v>430</v>
      </c>
      <c r="H97" cm="1">
        <f t="array" ref="H97">_xlfn.XLOOKUP(1, ('price C'!$A$3:$A$27 = demand!$A97) * 1,  'price C'!$E$3:$E$27)</f>
        <v>1</v>
      </c>
      <c r="I97">
        <f t="shared" si="5"/>
        <v>9632</v>
      </c>
    </row>
    <row r="98" spans="1:9" x14ac:dyDescent="0.2">
      <c r="A98" t="s">
        <v>23</v>
      </c>
      <c r="B98" s="4">
        <v>20</v>
      </c>
      <c r="C98" cm="1">
        <f t="array" ref="C98">_xlfn.XLOOKUP(1, ('price A'!$A$3:$A$27 = demand!$A98) * 1, _xlfn.XLOOKUP(1, ( 'price A'!$B$2:$D$2 = demand!$B98) * 1, 'price A'!$B$3:$D$27))</f>
        <v>441</v>
      </c>
      <c r="D98">
        <f t="shared" si="3"/>
        <v>9878.4000000000015</v>
      </c>
      <c r="E98" cm="1">
        <f t="array" ref="E98">_xlfn.XLOOKUP(1, ('price B'!$A$3:$A$27 = demand!$A98) * 1, _xlfn.XLOOKUP(1, ( 'price B'!$B$2:$D$2 = demand!$B98) * 1, 'price B'!$B$3:$D$27))</f>
        <v>473</v>
      </c>
      <c r="F98">
        <f t="shared" si="4"/>
        <v>8987</v>
      </c>
      <c r="G98" cm="1">
        <f t="array" ref="G98">_xlfn.XLOOKUP(1, ('price C'!$A$3:$A$27 = demand!$A98) * 1, _xlfn.XLOOKUP(1, ( 'price C'!$B$2:$D$2 = demand!$B98) * 1, 'price C'!$B$3:$D$27))</f>
        <v>430</v>
      </c>
      <c r="H98" cm="1">
        <f t="array" ref="H98">_xlfn.XLOOKUP(1, ('price C'!$A$3:$A$27 = demand!$A98) * 1,  'price C'!$E$3:$E$27)</f>
        <v>0.9</v>
      </c>
      <c r="I98">
        <f t="shared" si="5"/>
        <v>8668.8000000000011</v>
      </c>
    </row>
    <row r="99" spans="1:9" x14ac:dyDescent="0.2">
      <c r="A99" t="s">
        <v>24</v>
      </c>
      <c r="B99" s="4">
        <v>20</v>
      </c>
      <c r="C99" cm="1">
        <f t="array" ref="C99">_xlfn.XLOOKUP(1, ('price A'!$A$3:$A$27 = demand!$A99) * 1, _xlfn.XLOOKUP(1, ( 'price A'!$B$2:$D$2 = demand!$B99) * 1, 'price A'!$B$3:$D$27))</f>
        <v>686</v>
      </c>
      <c r="D99">
        <f t="shared" si="3"/>
        <v>15366.400000000001</v>
      </c>
      <c r="E99" cm="1">
        <f t="array" ref="E99">_xlfn.XLOOKUP(1, ('price B'!$A$3:$A$27 = demand!$A99) * 1, _xlfn.XLOOKUP(1, ( 'price B'!$B$2:$D$2 = demand!$B99) * 1, 'price B'!$B$3:$D$27))</f>
        <v>735</v>
      </c>
      <c r="F99">
        <f t="shared" si="4"/>
        <v>13965</v>
      </c>
      <c r="G99" cm="1">
        <f t="array" ref="G99">_xlfn.XLOOKUP(1, ('price C'!$A$3:$A$27 = demand!$A99) * 1, _xlfn.XLOOKUP(1, ( 'price C'!$B$2:$D$2 = demand!$B99) * 1, 'price C'!$B$3:$D$27))</f>
        <v>430</v>
      </c>
      <c r="H99" cm="1">
        <f t="array" ref="H99">_xlfn.XLOOKUP(1, ('price C'!$A$3:$A$27 = demand!$A99) * 1,  'price C'!$E$3:$E$27)</f>
        <v>1.5</v>
      </c>
      <c r="I99">
        <f t="shared" si="5"/>
        <v>14448.000000000002</v>
      </c>
    </row>
    <row r="100" spans="1:9" x14ac:dyDescent="0.2">
      <c r="A100" t="s">
        <v>0</v>
      </c>
      <c r="B100" s="4">
        <v>50</v>
      </c>
      <c r="C100" cm="1">
        <f t="array" ref="C100">_xlfn.XLOOKUP(1, ('price A'!$A$3:$A$27 = demand!$A100) * 1, _xlfn.XLOOKUP(1, ( 'price A'!$B$2:$D$2 = demand!$B100) * 1, 'price A'!$B$3:$D$27))</f>
        <v>380</v>
      </c>
      <c r="D100">
        <f t="shared" si="3"/>
        <v>21280</v>
      </c>
      <c r="E100" cm="1">
        <f t="array" ref="E100">_xlfn.XLOOKUP(1, ('price B'!$A$3:$A$27 = demand!$A100) * 1, _xlfn.XLOOKUP(1, ( 'price B'!$B$2:$D$2 = demand!$B100) * 1, 'price B'!$B$3:$D$27))</f>
        <v>399</v>
      </c>
      <c r="F100">
        <f t="shared" si="4"/>
        <v>18952.499999999996</v>
      </c>
      <c r="G100" cm="1">
        <f t="array" ref="G100">_xlfn.XLOOKUP(1, ('price C'!$A$3:$A$27 = demand!$A100) * 1, _xlfn.XLOOKUP(1, ( 'price C'!$B$2:$D$2 = demand!$B100) * 1, 'price C'!$B$3:$D$27))</f>
        <v>400</v>
      </c>
      <c r="H100" cm="1">
        <f t="array" ref="H100">_xlfn.XLOOKUP(1, ('price C'!$A$3:$A$27 = demand!$A100) * 1,  'price C'!$E$3:$E$27)</f>
        <v>0.95</v>
      </c>
      <c r="I100">
        <f t="shared" si="5"/>
        <v>21280</v>
      </c>
    </row>
    <row r="101" spans="1:9" x14ac:dyDescent="0.2">
      <c r="A101" t="s">
        <v>1</v>
      </c>
      <c r="B101" s="4">
        <v>50</v>
      </c>
      <c r="C101" cm="1">
        <f t="array" ref="C101">_xlfn.XLOOKUP(1, ('price A'!$A$3:$A$27 = demand!$A101) * 1, _xlfn.XLOOKUP(1, ( 'price A'!$B$2:$D$2 = demand!$B101) * 1, 'price A'!$B$3:$D$27))</f>
        <v>428</v>
      </c>
      <c r="D101">
        <f t="shared" si="3"/>
        <v>23968.000000000004</v>
      </c>
      <c r="E101" cm="1">
        <f t="array" ref="E101">_xlfn.XLOOKUP(1, ('price B'!$A$3:$A$27 = demand!$A101) * 1, _xlfn.XLOOKUP(1, ( 'price B'!$B$2:$D$2 = demand!$B101) * 1, 'price B'!$B$3:$D$27))</f>
        <v>449</v>
      </c>
      <c r="F101">
        <f t="shared" si="4"/>
        <v>21327.499999999996</v>
      </c>
      <c r="G101" cm="1">
        <f t="array" ref="G101">_xlfn.XLOOKUP(1, ('price C'!$A$3:$A$27 = demand!$A101) * 1, _xlfn.XLOOKUP(1, ( 'price C'!$B$2:$D$2 = demand!$B101) * 1, 'price C'!$B$3:$D$27))</f>
        <v>400</v>
      </c>
      <c r="H101" cm="1">
        <f t="array" ref="H101">_xlfn.XLOOKUP(1, ('price C'!$A$3:$A$27 = demand!$A101) * 1,  'price C'!$E$3:$E$27)</f>
        <v>0.98</v>
      </c>
      <c r="I101">
        <f t="shared" si="5"/>
        <v>21952</v>
      </c>
    </row>
    <row r="102" spans="1:9" x14ac:dyDescent="0.2">
      <c r="A102" t="s">
        <v>2</v>
      </c>
      <c r="B102" s="4">
        <v>50</v>
      </c>
      <c r="C102" cm="1">
        <f t="array" ref="C102">_xlfn.XLOOKUP(1, ('price A'!$A$3:$A$27 = demand!$A102) * 1, _xlfn.XLOOKUP(1, ( 'price A'!$B$2:$D$2 = demand!$B102) * 1, 'price A'!$B$3:$D$27))</f>
        <v>665</v>
      </c>
      <c r="D102">
        <f t="shared" si="3"/>
        <v>37240</v>
      </c>
      <c r="E102" cm="1">
        <f t="array" ref="E102">_xlfn.XLOOKUP(1, ('price B'!$A$3:$A$27 = demand!$A102) * 1, _xlfn.XLOOKUP(1, ( 'price B'!$B$2:$D$2 = demand!$B102) * 1, 'price B'!$B$3:$D$27))</f>
        <v>698</v>
      </c>
      <c r="F102">
        <f t="shared" si="4"/>
        <v>33155</v>
      </c>
      <c r="G102" cm="1">
        <f t="array" ref="G102">_xlfn.XLOOKUP(1, ('price C'!$A$3:$A$27 = demand!$A102) * 1, _xlfn.XLOOKUP(1, ( 'price C'!$B$2:$D$2 = demand!$B102) * 1, 'price C'!$B$3:$D$27))</f>
        <v>400</v>
      </c>
      <c r="H102" cm="1">
        <f t="array" ref="H102">_xlfn.XLOOKUP(1, ('price C'!$A$3:$A$27 = demand!$A102) * 1,  'price C'!$E$3:$E$27)</f>
        <v>2</v>
      </c>
      <c r="I102">
        <f t="shared" si="5"/>
        <v>44800.000000000007</v>
      </c>
    </row>
    <row r="103" spans="1:9" x14ac:dyDescent="0.2">
      <c r="A103" t="s">
        <v>3</v>
      </c>
      <c r="B103" s="4">
        <v>50</v>
      </c>
      <c r="C103" cm="1">
        <f t="array" ref="C103">_xlfn.XLOOKUP(1, ('price A'!$A$3:$A$27 = demand!$A103) * 1, _xlfn.XLOOKUP(1, ( 'price A'!$B$2:$D$2 = demand!$B103) * 1, 'price A'!$B$3:$D$27))</f>
        <v>380</v>
      </c>
      <c r="D103">
        <f t="shared" si="3"/>
        <v>21280</v>
      </c>
      <c r="E103" cm="1">
        <f t="array" ref="E103">_xlfn.XLOOKUP(1, ('price B'!$A$3:$A$27 = demand!$A103) * 1, _xlfn.XLOOKUP(1, ( 'price B'!$B$2:$D$2 = demand!$B103) * 1, 'price B'!$B$3:$D$27))</f>
        <v>399</v>
      </c>
      <c r="F103">
        <f t="shared" si="4"/>
        <v>18952.499999999996</v>
      </c>
      <c r="G103" cm="1">
        <f t="array" ref="G103">_xlfn.XLOOKUP(1, ('price C'!$A$3:$A$27 = demand!$A103) * 1, _xlfn.XLOOKUP(1, ( 'price C'!$B$2:$D$2 = demand!$B103) * 1, 'price C'!$B$3:$D$27))</f>
        <v>400</v>
      </c>
      <c r="H103" cm="1">
        <f t="array" ref="H103">_xlfn.XLOOKUP(1, ('price C'!$A$3:$A$27 = demand!$A103) * 1,  'price C'!$E$3:$E$27)</f>
        <v>0.5</v>
      </c>
      <c r="I103">
        <f t="shared" si="5"/>
        <v>11200.000000000002</v>
      </c>
    </row>
    <row r="104" spans="1:9" x14ac:dyDescent="0.2">
      <c r="A104" t="s">
        <v>4</v>
      </c>
      <c r="B104" s="4">
        <v>50</v>
      </c>
      <c r="C104" cm="1">
        <f t="array" ref="C104">_xlfn.XLOOKUP(1, ('price A'!$A$3:$A$27 = demand!$A104) * 1, _xlfn.XLOOKUP(1, ( 'price A'!$B$2:$D$2 = demand!$B104) * 1, 'price A'!$B$3:$D$27))</f>
        <v>380</v>
      </c>
      <c r="D104">
        <f t="shared" si="3"/>
        <v>21280</v>
      </c>
      <c r="E104" cm="1">
        <f t="array" ref="E104">_xlfn.XLOOKUP(1, ('price B'!$A$3:$A$27 = demand!$A104) * 1, _xlfn.XLOOKUP(1, ( 'price B'!$B$2:$D$2 = demand!$B104) * 1, 'price B'!$B$3:$D$27))</f>
        <v>399</v>
      </c>
      <c r="F104">
        <f t="shared" si="4"/>
        <v>18952.499999999996</v>
      </c>
      <c r="G104" cm="1">
        <f t="array" ref="G104">_xlfn.XLOOKUP(1, ('price C'!$A$3:$A$27 = demand!$A104) * 1, _xlfn.XLOOKUP(1, ( 'price C'!$B$2:$D$2 = demand!$B104) * 1, 'price C'!$B$3:$D$27))</f>
        <v>400</v>
      </c>
      <c r="H104" cm="1">
        <f t="array" ref="H104">_xlfn.XLOOKUP(1, ('price C'!$A$3:$A$27 = demand!$A104) * 1,  'price C'!$E$3:$E$27)</f>
        <v>1.2</v>
      </c>
      <c r="I104">
        <f t="shared" si="5"/>
        <v>26880</v>
      </c>
    </row>
    <row r="105" spans="1:9" x14ac:dyDescent="0.2">
      <c r="A105" t="s">
        <v>5</v>
      </c>
      <c r="B105" s="4">
        <v>50</v>
      </c>
      <c r="C105" cm="1">
        <f t="array" ref="C105">_xlfn.XLOOKUP(1, ('price A'!$A$3:$A$27 = demand!$A105) * 1, _xlfn.XLOOKUP(1, ( 'price A'!$B$2:$D$2 = demand!$B105) * 1, 'price A'!$B$3:$D$27))</f>
        <v>380</v>
      </c>
      <c r="D105">
        <f t="shared" si="3"/>
        <v>21280</v>
      </c>
      <c r="E105" cm="1">
        <f t="array" ref="E105">_xlfn.XLOOKUP(1, ('price B'!$A$3:$A$27 = demand!$A105) * 1, _xlfn.XLOOKUP(1, ( 'price B'!$B$2:$D$2 = demand!$B105) * 1, 'price B'!$B$3:$D$27))</f>
        <v>399</v>
      </c>
      <c r="F105">
        <f t="shared" si="4"/>
        <v>18952.499999999996</v>
      </c>
      <c r="G105" cm="1">
        <f t="array" ref="G105">_xlfn.XLOOKUP(1, ('price C'!$A$3:$A$27 = demand!$A105) * 1, _xlfn.XLOOKUP(1, ( 'price C'!$B$2:$D$2 = demand!$B105) * 1, 'price C'!$B$3:$D$27))</f>
        <v>400</v>
      </c>
      <c r="H105" cm="1">
        <f t="array" ref="H105">_xlfn.XLOOKUP(1, ('price C'!$A$3:$A$27 = demand!$A105) * 1,  'price C'!$E$3:$E$27)</f>
        <v>1</v>
      </c>
      <c r="I105">
        <f t="shared" si="5"/>
        <v>22400.000000000004</v>
      </c>
    </row>
    <row r="106" spans="1:9" x14ac:dyDescent="0.2">
      <c r="A106" t="s">
        <v>6</v>
      </c>
      <c r="B106" s="4">
        <v>50</v>
      </c>
      <c r="C106" cm="1">
        <f t="array" ref="C106">_xlfn.XLOOKUP(1, ('price A'!$A$3:$A$27 = demand!$A106) * 1, _xlfn.XLOOKUP(1, ( 'price A'!$B$2:$D$2 = demand!$B106) * 1, 'price A'!$B$3:$D$27))</f>
        <v>542</v>
      </c>
      <c r="D106">
        <f t="shared" si="3"/>
        <v>30352.000000000004</v>
      </c>
      <c r="E106" cm="1">
        <f t="array" ref="E106">_xlfn.XLOOKUP(1, ('price B'!$A$3:$A$27 = demand!$A106) * 1, _xlfn.XLOOKUP(1, ( 'price B'!$B$2:$D$2 = demand!$B106) * 1, 'price B'!$B$3:$D$27))</f>
        <v>569</v>
      </c>
      <c r="F106">
        <f t="shared" si="4"/>
        <v>27027.499999999996</v>
      </c>
      <c r="G106" cm="1">
        <f t="array" ref="G106">_xlfn.XLOOKUP(1, ('price C'!$A$3:$A$27 = demand!$A106) * 1, _xlfn.XLOOKUP(1, ( 'price C'!$B$2:$D$2 = demand!$B106) * 1, 'price C'!$B$3:$D$27))</f>
        <v>400</v>
      </c>
      <c r="H106" cm="1">
        <f t="array" ref="H106">_xlfn.XLOOKUP(1, ('price C'!$A$3:$A$27 = demand!$A106) * 1,  'price C'!$E$3:$E$27)</f>
        <v>1.3</v>
      </c>
      <c r="I106">
        <f t="shared" si="5"/>
        <v>29120.000000000004</v>
      </c>
    </row>
    <row r="107" spans="1:9" x14ac:dyDescent="0.2">
      <c r="A107" t="s">
        <v>7</v>
      </c>
      <c r="B107" s="4">
        <v>50</v>
      </c>
      <c r="C107" cm="1">
        <f t="array" ref="C107">_xlfn.XLOOKUP(1, ('price A'!$A$3:$A$27 = demand!$A107) * 1, _xlfn.XLOOKUP(1, ( 'price A'!$B$2:$D$2 = demand!$B107) * 1, 'price A'!$B$3:$D$27))</f>
        <v>665</v>
      </c>
      <c r="D107">
        <f t="shared" si="3"/>
        <v>37240</v>
      </c>
      <c r="E107" cm="1">
        <f t="array" ref="E107">_xlfn.XLOOKUP(1, ('price B'!$A$3:$A$27 = demand!$A107) * 1, _xlfn.XLOOKUP(1, ( 'price B'!$B$2:$D$2 = demand!$B107) * 1, 'price B'!$B$3:$D$27))</f>
        <v>698</v>
      </c>
      <c r="F107">
        <f t="shared" si="4"/>
        <v>33155</v>
      </c>
      <c r="G107" cm="1">
        <f t="array" ref="G107">_xlfn.XLOOKUP(1, ('price C'!$A$3:$A$27 = demand!$A107) * 1, _xlfn.XLOOKUP(1, ( 'price C'!$B$2:$D$2 = demand!$B107) * 1, 'price C'!$B$3:$D$27))</f>
        <v>400</v>
      </c>
      <c r="H107" cm="1">
        <f t="array" ref="H107">_xlfn.XLOOKUP(1, ('price C'!$A$3:$A$27 = demand!$A107) * 1,  'price C'!$E$3:$E$27)</f>
        <v>2</v>
      </c>
      <c r="I107">
        <f t="shared" si="5"/>
        <v>44800.000000000007</v>
      </c>
    </row>
    <row r="108" spans="1:9" x14ac:dyDescent="0.2">
      <c r="A108" t="s">
        <v>8</v>
      </c>
      <c r="B108" s="4">
        <v>50</v>
      </c>
      <c r="C108" cm="1">
        <f t="array" ref="C108">_xlfn.XLOOKUP(1, ('price A'!$A$3:$A$27 = demand!$A108) * 1, _xlfn.XLOOKUP(1, ( 'price A'!$B$2:$D$2 = demand!$B108) * 1, 'price A'!$B$3:$D$27))</f>
        <v>570</v>
      </c>
      <c r="D108">
        <f t="shared" si="3"/>
        <v>31920.000000000004</v>
      </c>
      <c r="E108" cm="1">
        <f t="array" ref="E108">_xlfn.XLOOKUP(1, ('price B'!$A$3:$A$27 = demand!$A108) * 1, _xlfn.XLOOKUP(1, ( 'price B'!$B$2:$D$2 = demand!$B108) * 1, 'price B'!$B$3:$D$27))</f>
        <v>599</v>
      </c>
      <c r="F108">
        <f t="shared" si="4"/>
        <v>28452.499999999996</v>
      </c>
      <c r="G108" cm="1">
        <f t="array" ref="G108">_xlfn.XLOOKUP(1, ('price C'!$A$3:$A$27 = demand!$A108) * 1, _xlfn.XLOOKUP(1, ( 'price C'!$B$2:$D$2 = demand!$B108) * 1, 'price C'!$B$3:$D$27))</f>
        <v>400</v>
      </c>
      <c r="H108" cm="1">
        <f t="array" ref="H108">_xlfn.XLOOKUP(1, ('price C'!$A$3:$A$27 = demand!$A108) * 1,  'price C'!$E$3:$E$27)</f>
        <v>0.95</v>
      </c>
      <c r="I108">
        <f t="shared" si="5"/>
        <v>21280</v>
      </c>
    </row>
    <row r="109" spans="1:9" x14ac:dyDescent="0.2">
      <c r="A109" t="s">
        <v>9</v>
      </c>
      <c r="B109" s="4">
        <v>50</v>
      </c>
      <c r="C109" cm="1">
        <f t="array" ref="C109">_xlfn.XLOOKUP(1, ('price A'!$A$3:$A$27 = demand!$A109) * 1, _xlfn.XLOOKUP(1, ( 'price A'!$B$2:$D$2 = demand!$B109) * 1, 'price A'!$B$3:$D$27))</f>
        <v>522</v>
      </c>
      <c r="D109">
        <f t="shared" si="3"/>
        <v>29232.000000000004</v>
      </c>
      <c r="E109" cm="1">
        <f t="array" ref="E109">_xlfn.XLOOKUP(1, ('price B'!$A$3:$A$27 = demand!$A109) * 1, _xlfn.XLOOKUP(1, ( 'price B'!$B$2:$D$2 = demand!$B109) * 1, 'price B'!$B$3:$D$27))</f>
        <v>549</v>
      </c>
      <c r="F109">
        <f t="shared" si="4"/>
        <v>26077.499999999996</v>
      </c>
      <c r="G109" cm="1">
        <f t="array" ref="G109">_xlfn.XLOOKUP(1, ('price C'!$A$3:$A$27 = demand!$A109) * 1, _xlfn.XLOOKUP(1, ( 'price C'!$B$2:$D$2 = demand!$B109) * 1, 'price C'!$B$3:$D$27))</f>
        <v>400</v>
      </c>
      <c r="H109" cm="1">
        <f t="array" ref="H109">_xlfn.XLOOKUP(1, ('price C'!$A$3:$A$27 = demand!$A109) * 1,  'price C'!$E$3:$E$27)</f>
        <v>0.9</v>
      </c>
      <c r="I109">
        <f t="shared" si="5"/>
        <v>20160.000000000004</v>
      </c>
    </row>
    <row r="110" spans="1:9" x14ac:dyDescent="0.2">
      <c r="A110" t="s">
        <v>10</v>
      </c>
      <c r="B110" s="4">
        <v>50</v>
      </c>
      <c r="C110" cm="1">
        <f t="array" ref="C110">_xlfn.XLOOKUP(1, ('price A'!$A$3:$A$27 = demand!$A110) * 1, _xlfn.XLOOKUP(1, ( 'price A'!$B$2:$D$2 = demand!$B110) * 1, 'price A'!$B$3:$D$27))</f>
        <v>665</v>
      </c>
      <c r="D110">
        <f t="shared" si="3"/>
        <v>37240</v>
      </c>
      <c r="E110" cm="1">
        <f t="array" ref="E110">_xlfn.XLOOKUP(1, ('price B'!$A$3:$A$27 = demand!$A110) * 1, _xlfn.XLOOKUP(1, ( 'price B'!$B$2:$D$2 = demand!$B110) * 1, 'price B'!$B$3:$D$27))</f>
        <v>698</v>
      </c>
      <c r="F110">
        <f t="shared" si="4"/>
        <v>33155</v>
      </c>
      <c r="G110" cm="1">
        <f t="array" ref="G110">_xlfn.XLOOKUP(1, ('price C'!$A$3:$A$27 = demand!$A110) * 1, _xlfn.XLOOKUP(1, ( 'price C'!$B$2:$D$2 = demand!$B110) * 1, 'price C'!$B$3:$D$27))</f>
        <v>400</v>
      </c>
      <c r="H110" cm="1">
        <f t="array" ref="H110">_xlfn.XLOOKUP(1, ('price C'!$A$3:$A$27 = demand!$A110) * 1,  'price C'!$E$3:$E$27)</f>
        <v>0.9</v>
      </c>
      <c r="I110">
        <f t="shared" si="5"/>
        <v>20160.000000000004</v>
      </c>
    </row>
    <row r="111" spans="1:9" x14ac:dyDescent="0.2">
      <c r="A111" t="s">
        <v>11</v>
      </c>
      <c r="B111" s="4">
        <v>50</v>
      </c>
      <c r="C111" cm="1">
        <f t="array" ref="C111">_xlfn.XLOOKUP(1, ('price A'!$A$3:$A$27 = demand!$A111) * 1, _xlfn.XLOOKUP(1, ( 'price A'!$B$2:$D$2 = demand!$B111) * 1, 'price A'!$B$3:$D$27))</f>
        <v>428</v>
      </c>
      <c r="D111">
        <f t="shared" si="3"/>
        <v>23968.000000000004</v>
      </c>
      <c r="E111" cm="1">
        <f t="array" ref="E111">_xlfn.XLOOKUP(1, ('price B'!$A$3:$A$27 = demand!$A111) * 1, _xlfn.XLOOKUP(1, ( 'price B'!$B$2:$D$2 = demand!$B111) * 1, 'price B'!$B$3:$D$27))</f>
        <v>449</v>
      </c>
      <c r="F111">
        <f t="shared" si="4"/>
        <v>21327.499999999996</v>
      </c>
      <c r="G111" cm="1">
        <f t="array" ref="G111">_xlfn.XLOOKUP(1, ('price C'!$A$3:$A$27 = demand!$A111) * 1, _xlfn.XLOOKUP(1, ( 'price C'!$B$2:$D$2 = demand!$B111) * 1, 'price C'!$B$3:$D$27))</f>
        <v>400</v>
      </c>
      <c r="H111" cm="1">
        <f t="array" ref="H111">_xlfn.XLOOKUP(1, ('price C'!$A$3:$A$27 = demand!$A111) * 1,  'price C'!$E$3:$E$27)</f>
        <v>1.5</v>
      </c>
      <c r="I111">
        <f t="shared" si="5"/>
        <v>33600.000000000007</v>
      </c>
    </row>
    <row r="112" spans="1:9" x14ac:dyDescent="0.2">
      <c r="A112" t="s">
        <v>12</v>
      </c>
      <c r="B112" s="4">
        <v>50</v>
      </c>
      <c r="C112" cm="1">
        <f t="array" ref="C112">_xlfn.XLOOKUP(1, ('price A'!$A$3:$A$27 = demand!$A112) * 1, _xlfn.XLOOKUP(1, ( 'price A'!$B$2:$D$2 = demand!$B112) * 1, 'price A'!$B$3:$D$27))</f>
        <v>475</v>
      </c>
      <c r="D112">
        <f t="shared" si="3"/>
        <v>26600</v>
      </c>
      <c r="E112" cm="1">
        <f t="array" ref="E112">_xlfn.XLOOKUP(1, ('price B'!$A$3:$A$27 = demand!$A112) * 1, _xlfn.XLOOKUP(1, ( 'price B'!$B$2:$D$2 = demand!$B112) * 1, 'price B'!$B$3:$D$27))</f>
        <v>499</v>
      </c>
      <c r="F112">
        <f t="shared" si="4"/>
        <v>23702.499999999996</v>
      </c>
      <c r="G112" cm="1">
        <f t="array" ref="G112">_xlfn.XLOOKUP(1, ('price C'!$A$3:$A$27 = demand!$A112) * 1, _xlfn.XLOOKUP(1, ( 'price C'!$B$2:$D$2 = demand!$B112) * 1, 'price C'!$B$3:$D$27))</f>
        <v>400</v>
      </c>
      <c r="H112" cm="1">
        <f t="array" ref="H112">_xlfn.XLOOKUP(1, ('price C'!$A$3:$A$27 = demand!$A112) * 1,  'price C'!$E$3:$E$27)</f>
        <v>1</v>
      </c>
      <c r="I112">
        <f t="shared" si="5"/>
        <v>22400.000000000004</v>
      </c>
    </row>
    <row r="113" spans="1:9" x14ac:dyDescent="0.2">
      <c r="A113" t="s">
        <v>13</v>
      </c>
      <c r="B113" s="4">
        <v>50</v>
      </c>
      <c r="C113" cm="1">
        <f t="array" ref="C113">_xlfn.XLOOKUP(1, ('price A'!$A$3:$A$27 = demand!$A113) * 1, _xlfn.XLOOKUP(1, ( 'price A'!$B$2:$D$2 = demand!$B113) * 1, 'price A'!$B$3:$D$27))</f>
        <v>570</v>
      </c>
      <c r="D113">
        <f t="shared" si="3"/>
        <v>31920.000000000004</v>
      </c>
      <c r="E113" cm="1">
        <f t="array" ref="E113">_xlfn.XLOOKUP(1, ('price B'!$A$3:$A$27 = demand!$A113) * 1, _xlfn.XLOOKUP(1, ( 'price B'!$B$2:$D$2 = demand!$B113) * 1, 'price B'!$B$3:$D$27))</f>
        <v>599</v>
      </c>
      <c r="F113">
        <f t="shared" si="4"/>
        <v>28452.499999999996</v>
      </c>
      <c r="G113" cm="1">
        <f t="array" ref="G113">_xlfn.XLOOKUP(1, ('price C'!$A$3:$A$27 = demand!$A113) * 1, _xlfn.XLOOKUP(1, ( 'price C'!$B$2:$D$2 = demand!$B113) * 1, 'price C'!$B$3:$D$27))</f>
        <v>400</v>
      </c>
      <c r="H113" cm="1">
        <f t="array" ref="H113">_xlfn.XLOOKUP(1, ('price C'!$A$3:$A$27 = demand!$A113) * 1,  'price C'!$E$3:$E$27)</f>
        <v>0.7</v>
      </c>
      <c r="I113">
        <f t="shared" si="5"/>
        <v>15680.000000000002</v>
      </c>
    </row>
    <row r="114" spans="1:9" x14ac:dyDescent="0.2">
      <c r="A114" t="s">
        <v>14</v>
      </c>
      <c r="B114" s="4">
        <v>50</v>
      </c>
      <c r="C114" cm="1">
        <f t="array" ref="C114">_xlfn.XLOOKUP(1, ('price A'!$A$3:$A$27 = demand!$A114) * 1, _xlfn.XLOOKUP(1, ( 'price A'!$B$2:$D$2 = demand!$B114) * 1, 'price A'!$B$3:$D$27))</f>
        <v>428</v>
      </c>
      <c r="D114">
        <f t="shared" si="3"/>
        <v>23968.000000000004</v>
      </c>
      <c r="E114" cm="1">
        <f t="array" ref="E114">_xlfn.XLOOKUP(1, ('price B'!$A$3:$A$27 = demand!$A114) * 1, _xlfn.XLOOKUP(1, ( 'price B'!$B$2:$D$2 = demand!$B114) * 1, 'price B'!$B$3:$D$27))</f>
        <v>449</v>
      </c>
      <c r="F114">
        <f t="shared" si="4"/>
        <v>21327.499999999996</v>
      </c>
      <c r="G114" cm="1">
        <f t="array" ref="G114">_xlfn.XLOOKUP(1, ('price C'!$A$3:$A$27 = demand!$A114) * 1, _xlfn.XLOOKUP(1, ( 'price C'!$B$2:$D$2 = demand!$B114) * 1, 'price C'!$B$3:$D$27))</f>
        <v>400</v>
      </c>
      <c r="H114" cm="1">
        <f t="array" ref="H114">_xlfn.XLOOKUP(1, ('price C'!$A$3:$A$27 = demand!$A114) * 1,  'price C'!$E$3:$E$27)</f>
        <v>1.5</v>
      </c>
      <c r="I114">
        <f t="shared" si="5"/>
        <v>33600.000000000007</v>
      </c>
    </row>
    <row r="115" spans="1:9" x14ac:dyDescent="0.2">
      <c r="A115" t="s">
        <v>15</v>
      </c>
      <c r="B115" s="4">
        <v>50</v>
      </c>
      <c r="C115" cm="1">
        <f t="array" ref="C115">_xlfn.XLOOKUP(1, ('price A'!$A$3:$A$27 = demand!$A115) * 1, _xlfn.XLOOKUP(1, ( 'price A'!$B$2:$D$2 = demand!$B115) * 1, 'price A'!$B$3:$D$27))</f>
        <v>475</v>
      </c>
      <c r="D115">
        <f t="shared" si="3"/>
        <v>26600</v>
      </c>
      <c r="E115" cm="1">
        <f t="array" ref="E115">_xlfn.XLOOKUP(1, ('price B'!$A$3:$A$27 = demand!$A115) * 1, _xlfn.XLOOKUP(1, ( 'price B'!$B$2:$D$2 = demand!$B115) * 1, 'price B'!$B$3:$D$27))</f>
        <v>499</v>
      </c>
      <c r="F115">
        <f t="shared" si="4"/>
        <v>23702.499999999996</v>
      </c>
      <c r="G115" cm="1">
        <f t="array" ref="G115">_xlfn.XLOOKUP(1, ('price C'!$A$3:$A$27 = demand!$A115) * 1, _xlfn.XLOOKUP(1, ( 'price C'!$B$2:$D$2 = demand!$B115) * 1, 'price C'!$B$3:$D$27))</f>
        <v>400</v>
      </c>
      <c r="H115" cm="1">
        <f t="array" ref="H115">_xlfn.XLOOKUP(1, ('price C'!$A$3:$A$27 = demand!$A115) * 1,  'price C'!$E$3:$E$27)</f>
        <v>1.5</v>
      </c>
      <c r="I115">
        <f t="shared" si="5"/>
        <v>33600.000000000007</v>
      </c>
    </row>
    <row r="116" spans="1:9" x14ac:dyDescent="0.2">
      <c r="A116" t="s">
        <v>18</v>
      </c>
      <c r="B116" s="4">
        <v>50</v>
      </c>
      <c r="C116" cm="1">
        <f t="array" ref="C116">_xlfn.XLOOKUP(1, ('price A'!$A$3:$A$27 = demand!$A116) * 1, _xlfn.XLOOKUP(1, ( 'price A'!$B$2:$D$2 = demand!$B116) * 1, 'price A'!$B$3:$D$27))</f>
        <v>428</v>
      </c>
      <c r="D116">
        <f t="shared" si="3"/>
        <v>23968.000000000004</v>
      </c>
      <c r="E116" cm="1">
        <f t="array" ref="E116">_xlfn.XLOOKUP(1, ('price B'!$A$3:$A$27 = demand!$A116) * 1, _xlfn.XLOOKUP(1, ( 'price B'!$B$2:$D$2 = demand!$B116) * 1, 'price B'!$B$3:$D$27))</f>
        <v>449</v>
      </c>
      <c r="F116">
        <f t="shared" si="4"/>
        <v>21327.499999999996</v>
      </c>
      <c r="G116" cm="1">
        <f t="array" ref="G116">_xlfn.XLOOKUP(1, ('price C'!$A$3:$A$27 = demand!$A116) * 1, _xlfn.XLOOKUP(1, ( 'price C'!$B$2:$D$2 = demand!$B116) * 1, 'price C'!$B$3:$D$27))</f>
        <v>400</v>
      </c>
      <c r="H116" cm="1">
        <f t="array" ref="H116">_xlfn.XLOOKUP(1, ('price C'!$A$3:$A$27 = demand!$A116) * 1,  'price C'!$E$3:$E$27)</f>
        <v>1.5</v>
      </c>
      <c r="I116">
        <f t="shared" si="5"/>
        <v>33600.000000000007</v>
      </c>
    </row>
    <row r="117" spans="1:9" x14ac:dyDescent="0.2">
      <c r="A117" t="s">
        <v>16</v>
      </c>
      <c r="B117" s="4">
        <v>50</v>
      </c>
      <c r="C117" cm="1">
        <f t="array" ref="C117">_xlfn.XLOOKUP(1, ('price A'!$A$3:$A$27 = demand!$A117) * 1, _xlfn.XLOOKUP(1, ( 'price A'!$B$2:$D$2 = demand!$B117) * 1, 'price A'!$B$3:$D$27))</f>
        <v>1140</v>
      </c>
      <c r="D117">
        <f t="shared" si="3"/>
        <v>63840.000000000007</v>
      </c>
      <c r="E117" cm="1">
        <f t="array" ref="E117">_xlfn.XLOOKUP(1, ('price B'!$A$3:$A$27 = demand!$A117) * 1, _xlfn.XLOOKUP(1, ( 'price B'!$B$2:$D$2 = demand!$B117) * 1, 'price B'!$B$3:$D$27))</f>
        <v>1197</v>
      </c>
      <c r="F117">
        <f t="shared" si="4"/>
        <v>56857.499999999993</v>
      </c>
      <c r="G117" cm="1">
        <f t="array" ref="G117">_xlfn.XLOOKUP(1, ('price C'!$A$3:$A$27 = demand!$A117) * 1, _xlfn.XLOOKUP(1, ( 'price C'!$B$2:$D$2 = demand!$B117) * 1, 'price C'!$B$3:$D$27))</f>
        <v>400</v>
      </c>
      <c r="H117" cm="1">
        <f t="array" ref="H117">_xlfn.XLOOKUP(1, ('price C'!$A$3:$A$27 = demand!$A117) * 1,  'price C'!$E$3:$E$27)</f>
        <v>3</v>
      </c>
      <c r="I117">
        <f t="shared" si="5"/>
        <v>67200.000000000015</v>
      </c>
    </row>
    <row r="118" spans="1:9" x14ac:dyDescent="0.2">
      <c r="A118" t="s">
        <v>17</v>
      </c>
      <c r="B118" s="4">
        <v>50</v>
      </c>
      <c r="C118" cm="1">
        <f t="array" ref="C118">_xlfn.XLOOKUP(1, ('price A'!$A$3:$A$27 = demand!$A118) * 1, _xlfn.XLOOKUP(1, ( 'price A'!$B$2:$D$2 = demand!$B118) * 1, 'price A'!$B$3:$D$27))</f>
        <v>1140</v>
      </c>
      <c r="D118">
        <f t="shared" si="3"/>
        <v>63840.000000000007</v>
      </c>
      <c r="E118" cm="1">
        <f t="array" ref="E118">_xlfn.XLOOKUP(1, ('price B'!$A$3:$A$27 = demand!$A118) * 1, _xlfn.XLOOKUP(1, ( 'price B'!$B$2:$D$2 = demand!$B118) * 1, 'price B'!$B$3:$D$27))</f>
        <v>1197</v>
      </c>
      <c r="F118">
        <f t="shared" si="4"/>
        <v>56857.499999999993</v>
      </c>
      <c r="G118" cm="1">
        <f t="array" ref="G118">_xlfn.XLOOKUP(1, ('price C'!$A$3:$A$27 = demand!$A118) * 1, _xlfn.XLOOKUP(1, ( 'price C'!$B$2:$D$2 = demand!$B118) * 1, 'price C'!$B$3:$D$27))</f>
        <v>400</v>
      </c>
      <c r="H118" cm="1">
        <f t="array" ref="H118">_xlfn.XLOOKUP(1, ('price C'!$A$3:$A$27 = demand!$A118) * 1,  'price C'!$E$3:$E$27)</f>
        <v>3</v>
      </c>
      <c r="I118">
        <f t="shared" si="5"/>
        <v>67200.000000000015</v>
      </c>
    </row>
    <row r="119" spans="1:9" x14ac:dyDescent="0.2">
      <c r="A119" t="s">
        <v>19</v>
      </c>
      <c r="B119" s="4">
        <v>50</v>
      </c>
      <c r="C119" cm="1">
        <f t="array" ref="C119">_xlfn.XLOOKUP(1, ('price A'!$A$3:$A$27 = demand!$A119) * 1, _xlfn.XLOOKUP(1, ( 'price A'!$B$2:$D$2 = demand!$B119) * 1, 'price A'!$B$3:$D$27))</f>
        <v>1235</v>
      </c>
      <c r="D119">
        <f t="shared" si="3"/>
        <v>69160</v>
      </c>
      <c r="E119" cm="1">
        <f t="array" ref="E119">_xlfn.XLOOKUP(1, ('price B'!$A$3:$A$27 = demand!$A119) * 1, _xlfn.XLOOKUP(1, ( 'price B'!$B$2:$D$2 = demand!$B119) * 1, 'price B'!$B$3:$D$27))</f>
        <v>1297</v>
      </c>
      <c r="F119">
        <f t="shared" si="4"/>
        <v>61607.499999999993</v>
      </c>
      <c r="G119" cm="1">
        <f t="array" ref="G119">_xlfn.XLOOKUP(1, ('price C'!$A$3:$A$27 = demand!$A119) * 1, _xlfn.XLOOKUP(1, ( 'price C'!$B$2:$D$2 = demand!$B119) * 1, 'price C'!$B$3:$D$27))</f>
        <v>400</v>
      </c>
      <c r="H119" cm="1">
        <f t="array" ref="H119">_xlfn.XLOOKUP(1, ('price C'!$A$3:$A$27 = demand!$A119) * 1,  'price C'!$E$3:$E$27)</f>
        <v>3</v>
      </c>
      <c r="I119">
        <f t="shared" si="5"/>
        <v>67200.000000000015</v>
      </c>
    </row>
    <row r="120" spans="1:9" x14ac:dyDescent="0.2">
      <c r="A120" t="s">
        <v>20</v>
      </c>
      <c r="B120" s="4">
        <v>50</v>
      </c>
      <c r="C120" cm="1">
        <f t="array" ref="C120">_xlfn.XLOOKUP(1, ('price A'!$A$3:$A$27 = demand!$A120) * 1, _xlfn.XLOOKUP(1, ( 'price A'!$B$2:$D$2 = demand!$B120) * 1, 'price A'!$B$3:$D$27))</f>
        <v>1235</v>
      </c>
      <c r="D120">
        <f t="shared" si="3"/>
        <v>69160</v>
      </c>
      <c r="E120" cm="1">
        <f t="array" ref="E120">_xlfn.XLOOKUP(1, ('price B'!$A$3:$A$27 = demand!$A120) * 1, _xlfn.XLOOKUP(1, ( 'price B'!$B$2:$D$2 = demand!$B120) * 1, 'price B'!$B$3:$D$27))</f>
        <v>1297</v>
      </c>
      <c r="F120">
        <f t="shared" si="4"/>
        <v>61607.499999999993</v>
      </c>
      <c r="G120" cm="1">
        <f t="array" ref="G120">_xlfn.XLOOKUP(1, ('price C'!$A$3:$A$27 = demand!$A120) * 1, _xlfn.XLOOKUP(1, ( 'price C'!$B$2:$D$2 = demand!$B120) * 1, 'price C'!$B$3:$D$27))</f>
        <v>400</v>
      </c>
      <c r="H120" cm="1">
        <f t="array" ref="H120">_xlfn.XLOOKUP(1, ('price C'!$A$3:$A$27 = demand!$A120) * 1,  'price C'!$E$3:$E$27)</f>
        <v>3</v>
      </c>
      <c r="I120">
        <f t="shared" si="5"/>
        <v>67200.000000000015</v>
      </c>
    </row>
    <row r="121" spans="1:9" x14ac:dyDescent="0.2">
      <c r="A121" t="s">
        <v>21</v>
      </c>
      <c r="B121" s="4">
        <v>50</v>
      </c>
      <c r="C121" cm="1">
        <f t="array" ref="C121">_xlfn.XLOOKUP(1, ('price A'!$A$3:$A$27 = demand!$A121) * 1, _xlfn.XLOOKUP(1, ( 'price A'!$B$2:$D$2 = demand!$B121) * 1, 'price A'!$B$3:$D$27))</f>
        <v>1425</v>
      </c>
      <c r="D121">
        <f t="shared" si="3"/>
        <v>79800.000000000015</v>
      </c>
      <c r="E121" cm="1">
        <f t="array" ref="E121">_xlfn.XLOOKUP(1, ('price B'!$A$3:$A$27 = demand!$A121) * 1, _xlfn.XLOOKUP(1, ( 'price B'!$B$2:$D$2 = demand!$B121) * 1, 'price B'!$B$3:$D$27))</f>
        <v>1496</v>
      </c>
      <c r="F121">
        <f t="shared" si="4"/>
        <v>71060</v>
      </c>
      <c r="G121" cm="1">
        <f t="array" ref="G121">_xlfn.XLOOKUP(1, ('price C'!$A$3:$A$27 = demand!$A121) * 1, _xlfn.XLOOKUP(1, ( 'price C'!$B$2:$D$2 = demand!$B121) * 1, 'price C'!$B$3:$D$27))</f>
        <v>400</v>
      </c>
      <c r="H121" cm="1">
        <f t="array" ref="H121">_xlfn.XLOOKUP(1, ('price C'!$A$3:$A$27 = demand!$A121) * 1,  'price C'!$E$3:$E$27)</f>
        <v>3</v>
      </c>
      <c r="I121">
        <f t="shared" si="5"/>
        <v>67200.000000000015</v>
      </c>
    </row>
    <row r="122" spans="1:9" x14ac:dyDescent="0.2">
      <c r="A122" t="s">
        <v>22</v>
      </c>
      <c r="B122" s="4">
        <v>50</v>
      </c>
      <c r="C122" cm="1">
        <f t="array" ref="C122">_xlfn.XLOOKUP(1, ('price A'!$A$3:$A$27 = demand!$A122) * 1, _xlfn.XLOOKUP(1, ( 'price A'!$B$2:$D$2 = demand!$B122) * 1, 'price A'!$B$3:$D$27))</f>
        <v>428</v>
      </c>
      <c r="D122">
        <f t="shared" si="3"/>
        <v>23968.000000000004</v>
      </c>
      <c r="E122" cm="1">
        <f t="array" ref="E122">_xlfn.XLOOKUP(1, ('price B'!$A$3:$A$27 = demand!$A122) * 1, _xlfn.XLOOKUP(1, ( 'price B'!$B$2:$D$2 = demand!$B122) * 1, 'price B'!$B$3:$D$27))</f>
        <v>449</v>
      </c>
      <c r="F122">
        <f t="shared" si="4"/>
        <v>21327.499999999996</v>
      </c>
      <c r="G122" cm="1">
        <f t="array" ref="G122">_xlfn.XLOOKUP(1, ('price C'!$A$3:$A$27 = demand!$A122) * 1, _xlfn.XLOOKUP(1, ( 'price C'!$B$2:$D$2 = demand!$B122) * 1, 'price C'!$B$3:$D$27))</f>
        <v>400</v>
      </c>
      <c r="H122" cm="1">
        <f t="array" ref="H122">_xlfn.XLOOKUP(1, ('price C'!$A$3:$A$27 = demand!$A122) * 1,  'price C'!$E$3:$E$27)</f>
        <v>1</v>
      </c>
      <c r="I122">
        <f t="shared" si="5"/>
        <v>22400.000000000004</v>
      </c>
    </row>
    <row r="123" spans="1:9" x14ac:dyDescent="0.2">
      <c r="A123" t="s">
        <v>23</v>
      </c>
      <c r="B123" s="4">
        <v>50</v>
      </c>
      <c r="C123" cm="1">
        <f t="array" ref="C123">_xlfn.XLOOKUP(1, ('price A'!$A$3:$A$27 = demand!$A123) * 1, _xlfn.XLOOKUP(1, ( 'price A'!$B$2:$D$2 = demand!$B123) * 1, 'price A'!$B$3:$D$27))</f>
        <v>428</v>
      </c>
      <c r="D123">
        <f t="shared" si="3"/>
        <v>23968.000000000004</v>
      </c>
      <c r="E123" cm="1">
        <f t="array" ref="E123">_xlfn.XLOOKUP(1, ('price B'!$A$3:$A$27 = demand!$A123) * 1, _xlfn.XLOOKUP(1, ( 'price B'!$B$2:$D$2 = demand!$B123) * 1, 'price B'!$B$3:$D$27))</f>
        <v>449</v>
      </c>
      <c r="F123">
        <f t="shared" si="4"/>
        <v>21327.499999999996</v>
      </c>
      <c r="G123" cm="1">
        <f t="array" ref="G123">_xlfn.XLOOKUP(1, ('price C'!$A$3:$A$27 = demand!$A123) * 1, _xlfn.XLOOKUP(1, ( 'price C'!$B$2:$D$2 = demand!$B123) * 1, 'price C'!$B$3:$D$27))</f>
        <v>400</v>
      </c>
      <c r="H123" cm="1">
        <f t="array" ref="H123">_xlfn.XLOOKUP(1, ('price C'!$A$3:$A$27 = demand!$A123) * 1,  'price C'!$E$3:$E$27)</f>
        <v>0.9</v>
      </c>
      <c r="I123">
        <f t="shared" si="5"/>
        <v>20160.000000000004</v>
      </c>
    </row>
    <row r="124" spans="1:9" x14ac:dyDescent="0.2">
      <c r="A124" t="s">
        <v>24</v>
      </c>
      <c r="B124" s="4">
        <v>50</v>
      </c>
      <c r="C124" cm="1">
        <f t="array" ref="C124">_xlfn.XLOOKUP(1, ('price A'!$A$3:$A$27 = demand!$A124) * 1, _xlfn.XLOOKUP(1, ( 'price A'!$B$2:$D$2 = demand!$B124) * 1, 'price A'!$B$3:$D$27))</f>
        <v>665</v>
      </c>
      <c r="D124">
        <f t="shared" si="3"/>
        <v>37240</v>
      </c>
      <c r="E124" cm="1">
        <f t="array" ref="E124">_xlfn.XLOOKUP(1, ('price B'!$A$3:$A$27 = demand!$A124) * 1, _xlfn.XLOOKUP(1, ( 'price B'!$B$2:$D$2 = demand!$B124) * 1, 'price B'!$B$3:$D$27))</f>
        <v>698</v>
      </c>
      <c r="F124">
        <f t="shared" si="4"/>
        <v>33155</v>
      </c>
      <c r="G124" cm="1">
        <f t="array" ref="G124">_xlfn.XLOOKUP(1, ('price C'!$A$3:$A$27 = demand!$A124) * 1, _xlfn.XLOOKUP(1, ( 'price C'!$B$2:$D$2 = demand!$B124) * 1, 'price C'!$B$3:$D$27))</f>
        <v>400</v>
      </c>
      <c r="H124" cm="1">
        <f t="array" ref="H124">_xlfn.XLOOKUP(1, ('price C'!$A$3:$A$27 = demand!$A124) * 1,  'price C'!$E$3:$E$27)</f>
        <v>1.5</v>
      </c>
      <c r="I124">
        <f t="shared" si="5"/>
        <v>33600.000000000007</v>
      </c>
    </row>
    <row r="125" spans="1:9" x14ac:dyDescent="0.2">
      <c r="A125" s="9" t="s">
        <v>51</v>
      </c>
      <c r="D125">
        <f>SUM(D2:D124)</f>
        <v>2010993.6</v>
      </c>
      <c r="F125">
        <f>SUM(F2:F124)</f>
        <v>1804705.5</v>
      </c>
      <c r="I125">
        <f>SUM(I2:I124)</f>
        <v>1997056.3200000003</v>
      </c>
    </row>
  </sheetData>
  <sortState xmlns:xlrd2="http://schemas.microsoft.com/office/spreadsheetml/2017/richdata2" ref="N1:O4">
    <sortCondition ref="O3"/>
  </sortState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"/>
  <sheetViews>
    <sheetView workbookViewId="0">
      <selection activeCell="H8" sqref="H8"/>
    </sheetView>
  </sheetViews>
  <sheetFormatPr defaultRowHeight="12.75" x14ac:dyDescent="0.2"/>
  <cols>
    <col min="1" max="1" width="49.5703125" bestFit="1" customWidth="1"/>
    <col min="2" max="2" width="24.85546875" bestFit="1" customWidth="1"/>
    <col min="3" max="3" width="30" customWidth="1"/>
    <col min="4" max="4" width="27.7109375" customWidth="1"/>
  </cols>
  <sheetData>
    <row r="1" spans="1:4" ht="180" customHeight="1" x14ac:dyDescent="0.35">
      <c r="A1" s="6" t="s">
        <v>47</v>
      </c>
      <c r="B1" s="7"/>
      <c r="C1" s="13" t="s">
        <v>52</v>
      </c>
      <c r="D1" s="13" t="s">
        <v>53</v>
      </c>
    </row>
    <row r="2" spans="1:4" ht="27" x14ac:dyDescent="0.35">
      <c r="A2" s="8" t="s">
        <v>49</v>
      </c>
      <c r="B2" s="10">
        <v>1804705.5</v>
      </c>
      <c r="C2" s="14">
        <f>GETPIVOTDATA("Sum of Итог с Фирмой A",$A$1) - GETPIVOTDATA("Sum of Итог с Фирмой B",$A$1)</f>
        <v>206288.10000000009</v>
      </c>
      <c r="D2" s="15">
        <f xml:space="preserve"> 1 - (GETPIVOTDATA("Sum of Итог с Фирмой B",$A$1) / GETPIVOTDATA("Sum of Итог с Фирмой A",$A$1))</f>
        <v>0.10258018722685147</v>
      </c>
    </row>
    <row r="3" spans="1:4" ht="27" x14ac:dyDescent="0.35">
      <c r="A3" s="8" t="s">
        <v>50</v>
      </c>
      <c r="B3" s="10">
        <v>1997056.3200000003</v>
      </c>
      <c r="C3" s="14">
        <f>GETPIVOTDATA("Sum of Итог с Фирмой A",$A$1) - GETPIVOTDATA("Sum of Итог с Фирмой C",$A$1)</f>
        <v>13937.279999999795</v>
      </c>
      <c r="D3" s="15">
        <f>1 - (GETPIVOTDATA("Sum of Итог с Фирмой C",$A$1) / GETPIVOTDATA("Sum of Итог с Фирмой A",$A$1))</f>
        <v>6.9305441847252736E-3</v>
      </c>
    </row>
    <row r="4" spans="1:4" ht="27" x14ac:dyDescent="0.35">
      <c r="A4" s="8" t="s">
        <v>48</v>
      </c>
      <c r="B4" s="10">
        <v>2010993.6</v>
      </c>
      <c r="C4" s="7">
        <f>GETPIVOTDATA("Sum of Итог с Фирмой A",$A$1) - GETPIVOTDATA("Sum of Итог с Фирмой A",$A$1)</f>
        <v>0</v>
      </c>
      <c r="D4" s="7">
        <v>0</v>
      </c>
    </row>
    <row r="6" spans="1:4" ht="27" customHeight="1" x14ac:dyDescent="0.2">
      <c r="A6" s="16" t="s">
        <v>54</v>
      </c>
      <c r="B6" s="16"/>
      <c r="C6" s="16"/>
      <c r="D6" s="16"/>
    </row>
    <row r="7" spans="1:4" ht="27" customHeight="1" x14ac:dyDescent="0.2">
      <c r="A7" s="16"/>
      <c r="B7" s="16"/>
      <c r="C7" s="16"/>
      <c r="D7" s="16"/>
    </row>
    <row r="8" spans="1:4" ht="27" customHeight="1" x14ac:dyDescent="0.2">
      <c r="A8" s="16"/>
      <c r="B8" s="16"/>
      <c r="C8" s="16"/>
      <c r="D8" s="16"/>
    </row>
    <row r="9" spans="1:4" ht="27" customHeight="1" x14ac:dyDescent="0.2">
      <c r="A9" s="16"/>
      <c r="B9" s="16"/>
      <c r="C9" s="16"/>
      <c r="D9" s="16"/>
    </row>
    <row r="10" spans="1:4" ht="27" customHeight="1" x14ac:dyDescent="0.2">
      <c r="A10" s="16"/>
      <c r="B10" s="16"/>
      <c r="C10" s="16"/>
      <c r="D10" s="16"/>
    </row>
  </sheetData>
  <sortState xmlns:xlrd2="http://schemas.microsoft.com/office/spreadsheetml/2017/richdata2" ref="A1:B4">
    <sortCondition ref="B3"/>
  </sortState>
  <mergeCells count="1">
    <mergeCell ref="A6:D10"/>
  </mergeCells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A0B14-0A73-4124-B0E9-C8CE38801A4E}">
  <dimension ref="A3:B6"/>
  <sheetViews>
    <sheetView tabSelected="1" workbookViewId="0">
      <selection activeCell="A4" sqref="A4"/>
    </sheetView>
  </sheetViews>
  <sheetFormatPr defaultRowHeight="12.75" x14ac:dyDescent="0.2"/>
  <cols>
    <col min="1" max="1" width="22.42578125" bestFit="1" customWidth="1"/>
    <col min="2" max="2" width="11" bestFit="1" customWidth="1"/>
    <col min="3" max="3" width="24" bestFit="1" customWidth="1"/>
  </cols>
  <sheetData>
    <row r="3" spans="1:2" x14ac:dyDescent="0.2">
      <c r="A3" s="11" t="s">
        <v>55</v>
      </c>
    </row>
    <row r="4" spans="1:2" x14ac:dyDescent="0.2">
      <c r="A4" s="12" t="s">
        <v>48</v>
      </c>
      <c r="B4">
        <v>2010993.6</v>
      </c>
    </row>
    <row r="5" spans="1:2" x14ac:dyDescent="0.2">
      <c r="A5" s="12" t="s">
        <v>49</v>
      </c>
      <c r="B5">
        <v>1804705.5</v>
      </c>
    </row>
    <row r="6" spans="1:2" x14ac:dyDescent="0.2">
      <c r="A6" s="12" t="s">
        <v>50</v>
      </c>
      <c r="B6">
        <v>1997056.3200000003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задание</vt:lpstr>
      <vt:lpstr>price A</vt:lpstr>
      <vt:lpstr>price B</vt:lpstr>
      <vt:lpstr>price C</vt:lpstr>
      <vt:lpstr>demand</vt:lpstr>
      <vt:lpstr>answer</vt:lpstr>
      <vt:lpstr>Сводная по фирмам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office</cp:lastModifiedBy>
  <dcterms:created xsi:type="dcterms:W3CDTF">1996-10-08T23:32:33Z</dcterms:created>
  <dcterms:modified xsi:type="dcterms:W3CDTF">2025-11-23T13:54:51Z</dcterms:modified>
</cp:coreProperties>
</file>