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riv_gosh\"/>
    </mc:Choice>
  </mc:AlternateContent>
  <xr:revisionPtr revIDLastSave="0" documentId="13_ncr:1_{A10298C1-FDB3-4828-A825-35F5BEDAACCB}" xr6:coauthVersionLast="47" xr6:coauthVersionMax="47" xr10:uidLastSave="{00000000-0000-0000-0000-000000000000}"/>
  <bookViews>
    <workbookView xWindow="780" yWindow="780" windowWidth="28800" windowHeight="15195" activeTab="2" xr2:uid="{00000000-000D-0000-FFFF-FFFF00000000}"/>
  </bookViews>
  <sheets>
    <sheet name="задание1" sheetId="2" r:id="rId1"/>
    <sheet name="Сводая по диаметрам" sheetId="4" r:id="rId2"/>
    <sheet name="задание2" sheetId="3" r:id="rId3"/>
  </sheets>
  <definedNames>
    <definedName name="_xlnm._FilterDatabase" localSheetId="2" hidden="1">задание2!$A$8:$C$47</definedName>
  </definedNames>
  <calcPr calcId="191029" concurrentManualCount="1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L13" i="2" a="1"/>
  <c r="L13" i="2"/>
  <c r="L14" i="2" a="1"/>
  <c r="L14" i="2"/>
  <c r="L15" i="2" a="1"/>
  <c r="L15" i="2"/>
  <c r="L16" i="2" a="1"/>
  <c r="L16" i="2"/>
  <c r="L17" i="2" a="1"/>
  <c r="L17" i="2"/>
  <c r="L18" i="2" a="1"/>
  <c r="L18" i="2"/>
  <c r="L19" i="2" a="1"/>
  <c r="L19" i="2"/>
  <c r="L20" i="2" a="1"/>
  <c r="L20" i="2"/>
  <c r="L21" i="2" a="1"/>
  <c r="L21" i="2"/>
  <c r="L22" i="2" a="1"/>
  <c r="L22" i="2"/>
  <c r="L23" i="2" a="1"/>
  <c r="L23" i="2"/>
  <c r="L24" i="2" a="1"/>
  <c r="L24" i="2"/>
  <c r="L25" i="2" a="1"/>
  <c r="L25" i="2"/>
  <c r="L26" i="2" a="1"/>
  <c r="L26" i="2"/>
  <c r="L27" i="2" a="1"/>
  <c r="L27" i="2"/>
  <c r="L28" i="2" a="1"/>
  <c r="L28" i="2"/>
  <c r="L29" i="2" a="1"/>
  <c r="L29" i="2"/>
  <c r="L30" i="2" a="1"/>
  <c r="L30" i="2"/>
  <c r="L31" i="2" a="1"/>
  <c r="L31" i="2"/>
  <c r="L32" i="2" a="1"/>
  <c r="L32" i="2"/>
  <c r="L33" i="2" a="1"/>
  <c r="L33" i="2"/>
  <c r="L34" i="2" a="1"/>
  <c r="L34" i="2"/>
  <c r="L35" i="2" a="1"/>
  <c r="L35" i="2"/>
  <c r="L36" i="2" a="1"/>
  <c r="L36" i="2"/>
  <c r="L37" i="2" a="1"/>
  <c r="L37" i="2"/>
  <c r="L38" i="2" a="1"/>
  <c r="L38" i="2"/>
  <c r="L39" i="2" a="1"/>
  <c r="L39" i="2"/>
  <c r="L40" i="2" a="1"/>
  <c r="L40" i="2"/>
  <c r="L41" i="2" a="1"/>
  <c r="L41" i="2"/>
  <c r="L42" i="2" a="1"/>
  <c r="L42" i="2"/>
  <c r="L43" i="2" a="1"/>
  <c r="L43" i="2"/>
  <c r="L44" i="2" a="1"/>
  <c r="L44" i="2"/>
  <c r="L45" i="2" a="1"/>
  <c r="L45" i="2"/>
  <c r="L46" i="2" a="1"/>
  <c r="L46" i="2"/>
  <c r="L47" i="2" a="1"/>
  <c r="L47" i="2"/>
  <c r="L48" i="2" a="1"/>
  <c r="L48" i="2"/>
  <c r="L49" i="2" a="1"/>
  <c r="L49" i="2"/>
  <c r="L50" i="2" a="1"/>
  <c r="L50" i="2"/>
  <c r="L51" i="2" a="1"/>
  <c r="L51" i="2"/>
  <c r="L52" i="2" a="1"/>
  <c r="L52" i="2"/>
  <c r="L12" i="2" a="1"/>
  <c r="L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/>
  <c r="I52" i="2" a="1"/>
  <c r="I52" i="2"/>
  <c r="I12" i="2" a="1"/>
  <c r="I12" i="2"/>
  <c r="J13" i="2"/>
  <c r="K13" i="2" s="1"/>
  <c r="M13" i="2" s="1"/>
  <c r="N13" i="2" s="1"/>
  <c r="J14" i="2"/>
  <c r="K14" i="2" s="1"/>
  <c r="M14" i="2" s="1"/>
  <c r="N14" i="2" s="1"/>
  <c r="J15" i="2"/>
  <c r="K15" i="2" s="1"/>
  <c r="M15" i="2" s="1"/>
  <c r="N15" i="2" s="1"/>
  <c r="J16" i="2"/>
  <c r="K16" i="2" s="1"/>
  <c r="M16" i="2" s="1"/>
  <c r="N16" i="2" s="1"/>
  <c r="J17" i="2"/>
  <c r="K17" i="2" s="1"/>
  <c r="M17" i="2" s="1"/>
  <c r="N17" i="2" s="1"/>
  <c r="J18" i="2"/>
  <c r="K18" i="2" s="1"/>
  <c r="M18" i="2" s="1"/>
  <c r="N18" i="2" s="1"/>
  <c r="J19" i="2"/>
  <c r="K19" i="2" s="1"/>
  <c r="M19" i="2" s="1"/>
  <c r="N19" i="2" s="1"/>
  <c r="J20" i="2"/>
  <c r="K20" i="2" s="1"/>
  <c r="M20" i="2" s="1"/>
  <c r="N20" i="2" s="1"/>
  <c r="J21" i="2"/>
  <c r="K21" i="2" s="1"/>
  <c r="M21" i="2" s="1"/>
  <c r="N21" i="2" s="1"/>
  <c r="J22" i="2"/>
  <c r="K22" i="2" s="1"/>
  <c r="M22" i="2" s="1"/>
  <c r="N22" i="2" s="1"/>
  <c r="J23" i="2"/>
  <c r="K23" i="2" s="1"/>
  <c r="M23" i="2" s="1"/>
  <c r="N23" i="2" s="1"/>
  <c r="J24" i="2"/>
  <c r="K24" i="2" s="1"/>
  <c r="M24" i="2" s="1"/>
  <c r="N24" i="2" s="1"/>
  <c r="J25" i="2"/>
  <c r="K25" i="2" s="1"/>
  <c r="M25" i="2" s="1"/>
  <c r="N25" i="2" s="1"/>
  <c r="J26" i="2"/>
  <c r="K26" i="2" s="1"/>
  <c r="M26" i="2" s="1"/>
  <c r="N26" i="2" s="1"/>
  <c r="J27" i="2"/>
  <c r="K27" i="2" s="1"/>
  <c r="M27" i="2" s="1"/>
  <c r="N27" i="2" s="1"/>
  <c r="J28" i="2"/>
  <c r="K28" i="2" s="1"/>
  <c r="M28" i="2" s="1"/>
  <c r="N28" i="2" s="1"/>
  <c r="J29" i="2"/>
  <c r="K29" i="2" s="1"/>
  <c r="M29" i="2" s="1"/>
  <c r="N29" i="2" s="1"/>
  <c r="J30" i="2"/>
  <c r="K30" i="2" s="1"/>
  <c r="M30" i="2" s="1"/>
  <c r="N30" i="2" s="1"/>
  <c r="J31" i="2"/>
  <c r="K31" i="2" s="1"/>
  <c r="M31" i="2" s="1"/>
  <c r="N31" i="2" s="1"/>
  <c r="J32" i="2"/>
  <c r="K32" i="2" s="1"/>
  <c r="M32" i="2" s="1"/>
  <c r="N32" i="2" s="1"/>
  <c r="J33" i="2"/>
  <c r="K33" i="2" s="1"/>
  <c r="M33" i="2" s="1"/>
  <c r="N33" i="2" s="1"/>
  <c r="J34" i="2"/>
  <c r="K34" i="2" s="1"/>
  <c r="M34" i="2" s="1"/>
  <c r="N34" i="2" s="1"/>
  <c r="J35" i="2"/>
  <c r="K35" i="2" s="1"/>
  <c r="M35" i="2" s="1"/>
  <c r="N35" i="2" s="1"/>
  <c r="J36" i="2"/>
  <c r="K36" i="2" s="1"/>
  <c r="M36" i="2" s="1"/>
  <c r="N36" i="2" s="1"/>
  <c r="J37" i="2"/>
  <c r="K37" i="2" s="1"/>
  <c r="M37" i="2" s="1"/>
  <c r="N37" i="2" s="1"/>
  <c r="J38" i="2"/>
  <c r="K38" i="2" s="1"/>
  <c r="M38" i="2" s="1"/>
  <c r="N38" i="2" s="1"/>
  <c r="J39" i="2"/>
  <c r="K39" i="2" s="1"/>
  <c r="M39" i="2" s="1"/>
  <c r="N39" i="2" s="1"/>
  <c r="J40" i="2"/>
  <c r="K40" i="2" s="1"/>
  <c r="M40" i="2" s="1"/>
  <c r="N40" i="2" s="1"/>
  <c r="J41" i="2"/>
  <c r="K41" i="2" s="1"/>
  <c r="M41" i="2" s="1"/>
  <c r="N41" i="2" s="1"/>
  <c r="J42" i="2"/>
  <c r="K42" i="2" s="1"/>
  <c r="M42" i="2" s="1"/>
  <c r="N42" i="2" s="1"/>
  <c r="J43" i="2"/>
  <c r="K43" i="2" s="1"/>
  <c r="M43" i="2" s="1"/>
  <c r="N43" i="2" s="1"/>
  <c r="J44" i="2"/>
  <c r="K44" i="2" s="1"/>
  <c r="M44" i="2" s="1"/>
  <c r="N44" i="2" s="1"/>
  <c r="J45" i="2"/>
  <c r="K45" i="2" s="1"/>
  <c r="M45" i="2" s="1"/>
  <c r="N45" i="2" s="1"/>
  <c r="J46" i="2"/>
  <c r="K46" i="2" s="1"/>
  <c r="M46" i="2" s="1"/>
  <c r="N46" i="2" s="1"/>
  <c r="J47" i="2"/>
  <c r="K47" i="2" s="1"/>
  <c r="M47" i="2" s="1"/>
  <c r="N47" i="2" s="1"/>
  <c r="J48" i="2"/>
  <c r="K48" i="2" s="1"/>
  <c r="M48" i="2" s="1"/>
  <c r="N48" i="2" s="1"/>
  <c r="J49" i="2"/>
  <c r="K49" i="2" s="1"/>
  <c r="M49" i="2" s="1"/>
  <c r="N49" i="2" s="1"/>
  <c r="J50" i="2"/>
  <c r="K50" i="2" s="1"/>
  <c r="M50" i="2" s="1"/>
  <c r="N50" i="2" s="1"/>
  <c r="J51" i="2"/>
  <c r="K51" i="2" s="1"/>
  <c r="M51" i="2" s="1"/>
  <c r="N51" i="2" s="1"/>
  <c r="J52" i="2"/>
  <c r="K52" i="2" s="1"/>
  <c r="M52" i="2" s="1"/>
  <c r="N52" i="2" s="1"/>
  <c r="J12" i="2"/>
  <c r="K12" i="2" s="1"/>
  <c r="M12" i="2" s="1"/>
  <c r="N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<sst xmlns="http://schemas.openxmlformats.org/spreadsheetml/2006/main" count="268" uniqueCount="156">
  <si>
    <t>TR42010</t>
  </si>
  <si>
    <t>А/шина 175/70 R 13 82T NOKIAN HKPL 4 STUDDED</t>
  </si>
  <si>
    <t>TR42022</t>
  </si>
  <si>
    <t>А/шина 175/65 R 14 82T NOKIAN HKPL 4 STUDDED</t>
  </si>
  <si>
    <t>TR42026</t>
  </si>
  <si>
    <t>А/шина 185/65 R 14 90T NOKIAN HKPL 4 XL STUDDED</t>
  </si>
  <si>
    <t>TR42034</t>
  </si>
  <si>
    <t>А/шина 195/65 R 15 95T NOKIAN HKPL 4 XL STUDDED</t>
  </si>
  <si>
    <t>TS42018</t>
  </si>
  <si>
    <t>А/шина 165/65 R 14 79T NOKIAN HKPL 4 STUDDED</t>
  </si>
  <si>
    <t>TS42026</t>
  </si>
  <si>
    <t>TS42038</t>
  </si>
  <si>
    <t>А/шина 205/65 R 15 94T NOKIAN HKPL 4 STUDDED</t>
  </si>
  <si>
    <t>TS42042</t>
  </si>
  <si>
    <t>А/шина 215/65 R 15 100T NOKIAN HKPL 4 XL STUDDED</t>
  </si>
  <si>
    <t>TS42050</t>
  </si>
  <si>
    <t>А/шина 195/60 R 15 88T NOKIAN HKPL 4 STUDDED</t>
  </si>
  <si>
    <t>TS42054</t>
  </si>
  <si>
    <t>А/шина 205/60 R 15 91T NOKIAN HKPL 4 STUDDED</t>
  </si>
  <si>
    <t>TS42058</t>
  </si>
  <si>
    <t>А/шина 205/60 R 16 92T NOKIAN HKPL 4 STUDDED</t>
  </si>
  <si>
    <t>TS42066</t>
  </si>
  <si>
    <t>А/шина 225/60 R 16 102T NOKIAN HKPL 4 XL STUDDED</t>
  </si>
  <si>
    <t>TS42070</t>
  </si>
  <si>
    <t>А/шина 235/60 R 16 100T NOKIAN HKPL 4 STUDDED</t>
  </si>
  <si>
    <t>TS42074</t>
  </si>
  <si>
    <t>А/шина 185/55 R 15 86T NOKIAN HKPL 4 XL STUDDED</t>
  </si>
  <si>
    <t>TS42078</t>
  </si>
  <si>
    <t>А/шина 195/55 R 15 89T NOKIAN HKPL 4 XL STUDDED</t>
  </si>
  <si>
    <t>TS42082</t>
  </si>
  <si>
    <t>А/шина 205/55 R 16 94T NOKIAN HKPL 4 XL STUDDED</t>
  </si>
  <si>
    <t>TS42086</t>
  </si>
  <si>
    <t>А/шина 215/55 R 16 97T NOKIAN HKPL 4 XL STUDDED</t>
  </si>
  <si>
    <t>TS42090</t>
  </si>
  <si>
    <t>А/шина 225/55 R 16 99T NOKIAN HKPL 4 XL STUDDED</t>
  </si>
  <si>
    <t>TS42094</t>
  </si>
  <si>
    <t>А/шина 225/55 R 17 101T NOKIAN HKPL 4 XL STUDDED</t>
  </si>
  <si>
    <t>TS42098</t>
  </si>
  <si>
    <t>А/шина 205/50 R 16 87T NOKIAN HKPL 4 STUDDED</t>
  </si>
  <si>
    <t>TS42141</t>
  </si>
  <si>
    <t>А/шина 185/65 R 15 88T NOKIAN HKPL 4 STUDDED</t>
  </si>
  <si>
    <t>TS42143</t>
  </si>
  <si>
    <t>TS42145</t>
  </si>
  <si>
    <t>TS42147</t>
  </si>
  <si>
    <t>А/шина 215/60 R 16 95T NOKIAN HKPL 4 STUDDED</t>
  </si>
  <si>
    <t>TS42155</t>
  </si>
  <si>
    <t>А/шина 185/70 R 14 88T NOKIAN HKPL 4 STUDDED</t>
  </si>
  <si>
    <t>TS42512</t>
  </si>
  <si>
    <t>А/шина 225/50 R 16 96T NOKIAN HKPL 4 XL STUDDED</t>
  </si>
  <si>
    <t>TS42516</t>
  </si>
  <si>
    <t>А/шина 225/45 R 17 94T NOKIAN HKPL 4 STUDDED</t>
  </si>
  <si>
    <t>TS42520</t>
  </si>
  <si>
    <t>А/шина 235/45 R 17 97T NOKIAN HKPL 4 XL STUDDED</t>
  </si>
  <si>
    <t>TS42524</t>
  </si>
  <si>
    <t>А/шина 225/40 R 18 92T NOKIAN HKPL 4 XL STUDDED</t>
  </si>
  <si>
    <t>TS42528</t>
  </si>
  <si>
    <t>А/шина 235/55 R 17 103T NOKIAN HKPL 4 STUDDED</t>
  </si>
  <si>
    <t>TS42529</t>
  </si>
  <si>
    <t>А/шина 195/55 R 16 87T NOKIAN HKPL 4 STUDDED</t>
  </si>
  <si>
    <t>TS42833</t>
  </si>
  <si>
    <t>А/шина 195/55 R 16 87T NOKIAN HKPL 4 RUN FLAT STUD</t>
  </si>
  <si>
    <t>TS42839</t>
  </si>
  <si>
    <t>А/шина 205/55 R 16 91T NOKIAN HKPL 4 RUN FLAT STUD</t>
  </si>
  <si>
    <t>TS43807</t>
  </si>
  <si>
    <t>А/шина 185/60 R 15 88T NOKIAN HKPL 4 XL STUDDED</t>
  </si>
  <si>
    <t>TS43811</t>
  </si>
  <si>
    <t>А/шина 245/40 R 18 97T NOKIAN HKPL 4 XL STUDDED</t>
  </si>
  <si>
    <t>TS43816</t>
  </si>
  <si>
    <t>А/шина 215/45 R 17 91T NOKIAN HKPL 4 XL STUDDED</t>
  </si>
  <si>
    <t>TS43865</t>
  </si>
  <si>
    <t>TS43867</t>
  </si>
  <si>
    <t>А/шина 215/65 R 16 102T NOKIAN HKPL 4 XL STUDDED</t>
  </si>
  <si>
    <t>TS43869</t>
  </si>
  <si>
    <t>А/шина 185/60 R 14 82T NOKIAN HKPL 4 STUDDED</t>
  </si>
  <si>
    <t>TS43873</t>
  </si>
  <si>
    <t>А/шина 205/50 R 17 93T NOKIAN HKPL 4 XL STUDDED</t>
  </si>
  <si>
    <t>TS43875</t>
  </si>
  <si>
    <t>А/шина 225/50 R 17 96T NOKIAN HKPL 4  STUDDED</t>
  </si>
  <si>
    <t>Но.</t>
  </si>
  <si>
    <t>Описание</t>
  </si>
  <si>
    <t>Кол-во</t>
  </si>
  <si>
    <t>Заказ№ 1</t>
  </si>
  <si>
    <t>Заказ№ 2</t>
  </si>
  <si>
    <t>175/70 R 13 82T NOKIAN HKPL 4 STUDDED</t>
  </si>
  <si>
    <t>175/65 R 14 82T NOKIAN HKPL 4 STUDDED</t>
  </si>
  <si>
    <t>185/65 R 14 90T NOKIAN HKPL 4 XL STUDDED</t>
  </si>
  <si>
    <t>195/65 R 15 95T NOKIAN HKPL 4 XL STUDDED</t>
  </si>
  <si>
    <t>165/65 R 14 79T NOKIAN HKPL 4 STUDDED</t>
  </si>
  <si>
    <t>205/65 R 15 94T NOKIAN HKPL 4 STUDDED</t>
  </si>
  <si>
    <t>215/65 R 15 100T NOKIAN HKPL 4 XL STUDDED</t>
  </si>
  <si>
    <t>195/60 R 15 88T NOKIAN HKPL 4 STUDDED</t>
  </si>
  <si>
    <t>205/60 R 15 91T NOKIAN HKPL 4 STUDDED</t>
  </si>
  <si>
    <t>205/60 R 16 92T NOKIAN HKPL 4 STUDDED</t>
  </si>
  <si>
    <t>225/60 R 16 102T NOKIAN HKPL 4 XL STUDDED</t>
  </si>
  <si>
    <t>235/60 R 16 100T NOKIAN HKPL 4 STUDDED</t>
  </si>
  <si>
    <t>185/55 R 15 86T NOKIAN HKPL 4 XL STUDDED</t>
  </si>
  <si>
    <t>195/55 R 15 89T NOKIAN HKPL 4 XL STUDDED</t>
  </si>
  <si>
    <t>205/55 R 16 94T NOKIAN HKPL 4 XL STUDDED</t>
  </si>
  <si>
    <t>215/55 R 16 97T NOKIAN HKPL 4 XL STUDDED</t>
  </si>
  <si>
    <t>225/55 R 16 99T NOKIAN HKPL 4 XL STUDDED</t>
  </si>
  <si>
    <t>225/55 R 17 101T NOKIAN HKPL 4 XL STUDDED</t>
  </si>
  <si>
    <t>205/50 R 16 87T NOKIAN HKPL 4 STUDDED</t>
  </si>
  <si>
    <t>185/65 R 15 88T NOKIAN HKPL 4 STUDDED</t>
  </si>
  <si>
    <t>215/60 R 16 95T NOKIAN HKPL 4 STUDDED</t>
  </si>
  <si>
    <t>185/70 R 14 88T NOKIAN HKPL 4 STUDDED</t>
  </si>
  <si>
    <t>225/50 R 16 96T NOKIAN HKPL 4 XL STUDDED</t>
  </si>
  <si>
    <t>225/45 R 17 94T NOKIAN HKPL 4 STUDDED</t>
  </si>
  <si>
    <t>235/45 R 17 97T NOKIAN HKPL 4 XL STUDDED</t>
  </si>
  <si>
    <t>225/40 R 18 92T NOKIAN HKPL 4 XL STUDDED</t>
  </si>
  <si>
    <t>235/55 R 17 103T NOKIAN HKPL 4 STUDDED</t>
  </si>
  <si>
    <t>195/55 R 16 87T NOKIAN HKPL 4 STUDDED</t>
  </si>
  <si>
    <t>195/55 R 16 87T NOKIAN HKPL 4 RUN FLAT STUD</t>
  </si>
  <si>
    <t>205/55 R 16 91T NOKIAN HKPL 4 RUN FLAT STUD</t>
  </si>
  <si>
    <t>185/60 R 15 88T NOKIAN HKPL 4 XL STUDDED</t>
  </si>
  <si>
    <t>245/40 R 18 97T NOKIAN HKPL 4 XL STUDDED</t>
  </si>
  <si>
    <t>215/45 R 17 91T NOKIAN HKPL 4 XL STUDDED</t>
  </si>
  <si>
    <t>215/65 R 16 102T NOKIAN HKPL 4 XL STUDDED</t>
  </si>
  <si>
    <t>185/60 R 14 82T NOKIAN HKPL 4 STUDDED</t>
  </si>
  <si>
    <t>205/50 R 17 93T NOKIAN HKPL 4 XL STUDDED</t>
  </si>
  <si>
    <t>225/50 R 17 96T NOKIAN HKPL 4  STUDDED</t>
  </si>
  <si>
    <t>Остатки ТМЦ на складах</t>
  </si>
  <si>
    <t xml:space="preserve">Задание 1. </t>
  </si>
  <si>
    <t>В левой части страницы имеются 2 заказа на шины. Товары в 1 заказе могут повторяться.</t>
  </si>
  <si>
    <t>Рассчитайте, какое количество каждой шины будет доступно для отгрузки под Заказ№2 и Заказ№1, если Заказ№2 будет отгружен первым</t>
  </si>
  <si>
    <t>В правой части - остатки данных шин на складах. Каждый товар в списке - уникален.</t>
  </si>
  <si>
    <t xml:space="preserve">Задание 2. </t>
  </si>
  <si>
    <t>Ниже даны продажи шин за определенный период.</t>
  </si>
  <si>
    <t>Под размером шины понимается часть описания XXX/XX R XX (где X - числа). Часть размера R XX, является диаметром шины.</t>
  </si>
  <si>
    <t>Составьте рейтинг диаметров шин по их продажам.</t>
  </si>
  <si>
    <t>Сохраняйте формулы, по которым вы вели расчет!</t>
  </si>
  <si>
    <t>Заказ 1</t>
  </si>
  <si>
    <t>Заказ 2</t>
  </si>
  <si>
    <t>Разница после заказа 2</t>
  </si>
  <si>
    <t>Разница после заказа 1</t>
  </si>
  <si>
    <t>Комментарий</t>
  </si>
  <si>
    <t>Новый остаток на складе</t>
  </si>
  <si>
    <t>Шаги решения:
1. Подсчитываем состав заказа
2. Считаем разницу с остатком на складе
3. Если разница отрицательная, то отгружаем весь текщий остаток. Новый остаток на складе будет равен 0
4. Если разница положительная, то просто обновляем остаток на складе
5. Повторяем с первого шага для нового заказа и обновленного остатка на складе</t>
  </si>
  <si>
    <t>Диаметр</t>
  </si>
  <si>
    <t>Продажи</t>
  </si>
  <si>
    <t>Row Labels</t>
  </si>
  <si>
    <t xml:space="preserve">13 </t>
  </si>
  <si>
    <t xml:space="preserve">14 </t>
  </si>
  <si>
    <t xml:space="preserve">15 </t>
  </si>
  <si>
    <t xml:space="preserve">16 </t>
  </si>
  <si>
    <t xml:space="preserve">17 </t>
  </si>
  <si>
    <t xml:space="preserve">18 </t>
  </si>
  <si>
    <t>Sum of Кол-во</t>
  </si>
  <si>
    <t>Диаметр шины</t>
  </si>
  <si>
    <t>13</t>
  </si>
  <si>
    <t>14</t>
  </si>
  <si>
    <t>15</t>
  </si>
  <si>
    <t>16</t>
  </si>
  <si>
    <t>17</t>
  </si>
  <si>
    <t>18</t>
  </si>
  <si>
    <t>Grand Total</t>
  </si>
  <si>
    <t>* Есть множество способов извлечь подстроку. В данном будем находить индекс подстроки " R ", брать текст после, и из него извлекать первые 2 символа. Работает? Да. Удобно и красиво? Нет. Я бы предпочел здесь регулярное выражение, но увы это Excel
* TEXTAFTER работает лишь в Microsoft 365. В других версиях пришлось бы возиться через LEN, RIGHT, LEFT и так далее.
* Для рейтинг аггрегируем полученные данные в сводной таблице и отсортируем по общему количеству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</si>
</sst>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2"/>
      <name val="Arial"/>
      <family val="2"/>
      <charset val="204"/>
    </font>
    <font>
      <b/>
      <sz val="16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3" fontId="0" fillId="0" borderId="3" xfId="0" applyNumberFormat="1" applyBorder="1"/>
    <xf numFmtId="0" fontId="0" fillId="0" borderId="8" xfId="0" applyBorder="1"/>
    <xf numFmtId="0" fontId="2" fillId="0" borderId="4" xfId="0" applyFont="1" applyBorder="1"/>
    <xf numFmtId="3" fontId="2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диаметров</a:t>
            </a:r>
            <a:r>
              <a:rPr lang="en-US" baseline="0"/>
              <a:t> </a:t>
            </a:r>
            <a:r>
              <a:rPr lang="ru-RU" baseline="0"/>
              <a:t>шин по продажам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задание2!$G$7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задание2!$F$8:$F$13</c:f>
              <c:strCache>
                <c:ptCount val="6"/>
                <c:pt idx="0">
                  <c:v>15 </c:v>
                </c:pt>
                <c:pt idx="1">
                  <c:v>14 </c:v>
                </c:pt>
                <c:pt idx="2">
                  <c:v>16 </c:v>
                </c:pt>
                <c:pt idx="3">
                  <c:v>13 </c:v>
                </c:pt>
                <c:pt idx="4">
                  <c:v>17 </c:v>
                </c:pt>
                <c:pt idx="5">
                  <c:v>18 </c:v>
                </c:pt>
              </c:strCache>
            </c:strRef>
          </c:cat>
          <c:val>
            <c:numRef>
              <c:f>задание2!$G$8:$G$13</c:f>
              <c:numCache>
                <c:formatCode>General</c:formatCode>
                <c:ptCount val="6"/>
                <c:pt idx="0">
                  <c:v>33259</c:v>
                </c:pt>
                <c:pt idx="1">
                  <c:v>18257</c:v>
                </c:pt>
                <c:pt idx="2">
                  <c:v>15566</c:v>
                </c:pt>
                <c:pt idx="3">
                  <c:v>13407</c:v>
                </c:pt>
                <c:pt idx="4">
                  <c:v>3114</c:v>
                </c:pt>
                <c:pt idx="5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2-49CC-8C84-FEFE05819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3637344"/>
        <c:axId val="233639264"/>
      </c:barChart>
      <c:catAx>
        <c:axId val="2336373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39264"/>
        <c:crosses val="autoZero"/>
        <c:auto val="1"/>
        <c:lblAlgn val="ctr"/>
        <c:lblOffset val="100"/>
        <c:noMultiLvlLbl val="0"/>
      </c:catAx>
      <c:valAx>
        <c:axId val="2336392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5</xdr:row>
      <xdr:rowOff>9524</xdr:rowOff>
    </xdr:from>
    <xdr:to>
      <xdr:col>15</xdr:col>
      <xdr:colOff>409575</xdr:colOff>
      <xdr:row>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640B3-21CF-E620-BBF7-4A39FA3D9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" refreshedDate="45984.695685069448" createdVersion="8" refreshedVersion="8" minRefreshableVersion="3" recordCount="41" xr:uid="{A7EBD0BD-353A-4613-A258-F1837389C016}">
  <cacheSource type="worksheet">
    <worksheetSource ref="C7:D48" sheet="задание2"/>
  </cacheSource>
  <cacheFields count="2">
    <cacheField name="Кол-во" numFmtId="0">
      <sharedItems containsSemiMixedTypes="0" containsString="0" containsNumber="1" containsInteger="1" minValue="1" maxValue="13407"/>
    </cacheField>
    <cacheField name="Диаметр" numFmtId="0">
      <sharedItems count="6">
        <s v="13"/>
        <s v="14"/>
        <s v="15"/>
        <s v="16"/>
        <s v="17"/>
        <s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3407"/>
    <x v="0"/>
  </r>
  <r>
    <n v="4660"/>
    <x v="1"/>
  </r>
  <r>
    <n v="4194"/>
    <x v="1"/>
  </r>
  <r>
    <n v="9261"/>
    <x v="2"/>
  </r>
  <r>
    <n v="73"/>
    <x v="1"/>
  </r>
  <r>
    <n v="520"/>
    <x v="1"/>
  </r>
  <r>
    <n v="24"/>
    <x v="2"/>
  </r>
  <r>
    <n v="25"/>
    <x v="2"/>
  </r>
  <r>
    <n v="1"/>
    <x v="2"/>
  </r>
  <r>
    <n v="217"/>
    <x v="2"/>
  </r>
  <r>
    <n v="107"/>
    <x v="3"/>
  </r>
  <r>
    <n v="68"/>
    <x v="3"/>
  </r>
  <r>
    <n v="1042"/>
    <x v="3"/>
  </r>
  <r>
    <n v="1130"/>
    <x v="2"/>
  </r>
  <r>
    <n v="805"/>
    <x v="2"/>
  </r>
  <r>
    <n v="1384"/>
    <x v="3"/>
  </r>
  <r>
    <n v="688"/>
    <x v="3"/>
  </r>
  <r>
    <n v="527"/>
    <x v="3"/>
  </r>
  <r>
    <n v="67"/>
    <x v="4"/>
  </r>
  <r>
    <n v="20"/>
    <x v="3"/>
  </r>
  <r>
    <n v="11042"/>
    <x v="2"/>
  </r>
  <r>
    <n v="5540"/>
    <x v="2"/>
  </r>
  <r>
    <n v="5211"/>
    <x v="2"/>
  </r>
  <r>
    <n v="6930"/>
    <x v="3"/>
  </r>
  <r>
    <n v="7610"/>
    <x v="1"/>
  </r>
  <r>
    <n v="354"/>
    <x v="3"/>
  </r>
  <r>
    <n v="635"/>
    <x v="4"/>
  </r>
  <r>
    <n v="41"/>
    <x v="4"/>
  </r>
  <r>
    <n v="230"/>
    <x v="5"/>
  </r>
  <r>
    <n v="94"/>
    <x v="4"/>
  </r>
  <r>
    <n v="74"/>
    <x v="3"/>
  </r>
  <r>
    <n v="36"/>
    <x v="3"/>
  </r>
  <r>
    <n v="5"/>
    <x v="3"/>
  </r>
  <r>
    <n v="3"/>
    <x v="2"/>
  </r>
  <r>
    <n v="360"/>
    <x v="5"/>
  </r>
  <r>
    <n v="59"/>
    <x v="4"/>
  </r>
  <r>
    <n v="1936"/>
    <x v="3"/>
  </r>
  <r>
    <n v="2395"/>
    <x v="3"/>
  </r>
  <r>
    <n v="1200"/>
    <x v="1"/>
  </r>
  <r>
    <n v="1901"/>
    <x v="4"/>
  </r>
  <r>
    <n v="31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55095-E375-4ECF-B174-9422EEFF07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Кол-во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2"/>
  <sheetViews>
    <sheetView workbookViewId="0">
      <selection activeCell="M30" sqref="M30"/>
    </sheetView>
  </sheetViews>
  <sheetFormatPr defaultRowHeight="12.75" x14ac:dyDescent="0.2"/>
  <cols>
    <col min="1" max="1" width="11.5703125" customWidth="1"/>
    <col min="2" max="2" width="49.28515625" bestFit="1" customWidth="1"/>
    <col min="6" max="6" width="13.28515625" customWidth="1"/>
    <col min="7" max="7" width="37.7109375" customWidth="1"/>
    <col min="10" max="10" width="21.28515625" customWidth="1"/>
    <col min="11" max="11" width="30.7109375" customWidth="1"/>
    <col min="13" max="13" width="22.42578125" customWidth="1"/>
    <col min="14" max="14" width="27.5703125" customWidth="1"/>
  </cols>
  <sheetData>
    <row r="2" spans="1:14" x14ac:dyDescent="0.2">
      <c r="A2" s="22" t="s">
        <v>121</v>
      </c>
      <c r="B2" s="23" t="s">
        <v>122</v>
      </c>
    </row>
    <row r="3" spans="1:14" x14ac:dyDescent="0.2">
      <c r="A3" s="23"/>
      <c r="B3" s="23" t="s">
        <v>124</v>
      </c>
    </row>
    <row r="4" spans="1:14" x14ac:dyDescent="0.2">
      <c r="A4" s="23"/>
      <c r="B4" s="23" t="s">
        <v>123</v>
      </c>
    </row>
    <row r="5" spans="1:14" x14ac:dyDescent="0.2">
      <c r="B5" s="23" t="s">
        <v>129</v>
      </c>
    </row>
    <row r="6" spans="1:14" ht="21" x14ac:dyDescent="0.35">
      <c r="A6" s="24" t="s">
        <v>134</v>
      </c>
      <c r="B6" s="23"/>
    </row>
    <row r="7" spans="1:14" ht="107.25" customHeight="1" x14ac:dyDescent="0.2">
      <c r="A7" s="28" t="s">
        <v>136</v>
      </c>
      <c r="B7" s="29"/>
      <c r="C7" s="29"/>
      <c r="D7" s="29"/>
      <c r="E7" s="29"/>
      <c r="F7" s="29"/>
      <c r="G7" s="29"/>
    </row>
    <row r="8" spans="1:14" x14ac:dyDescent="0.2">
      <c r="B8" s="23"/>
    </row>
    <row r="9" spans="1:14" ht="13.5" thickBot="1" x14ac:dyDescent="0.25"/>
    <row r="10" spans="1:14" x14ac:dyDescent="0.2">
      <c r="A10" s="5" t="s">
        <v>81</v>
      </c>
      <c r="B10" s="6"/>
      <c r="C10" s="7"/>
      <c r="F10" s="5" t="s">
        <v>120</v>
      </c>
      <c r="G10" s="6"/>
      <c r="H10" s="7"/>
    </row>
    <row r="11" spans="1:14" x14ac:dyDescent="0.2">
      <c r="A11" s="8" t="s">
        <v>78</v>
      </c>
      <c r="B11" t="s">
        <v>79</v>
      </c>
      <c r="C11" s="9" t="s">
        <v>80</v>
      </c>
      <c r="F11" s="8" t="s">
        <v>78</v>
      </c>
      <c r="G11" t="s">
        <v>79</v>
      </c>
      <c r="H11" s="9" t="s">
        <v>80</v>
      </c>
      <c r="I11" t="s">
        <v>131</v>
      </c>
      <c r="J11" t="s">
        <v>132</v>
      </c>
      <c r="K11" s="25" t="s">
        <v>135</v>
      </c>
      <c r="L11" t="s">
        <v>130</v>
      </c>
      <c r="M11" t="s">
        <v>133</v>
      </c>
      <c r="N11" s="25" t="s">
        <v>135</v>
      </c>
    </row>
    <row r="12" spans="1:14" x14ac:dyDescent="0.2">
      <c r="A12" s="8" t="s">
        <v>2</v>
      </c>
      <c r="B12" t="s">
        <v>3</v>
      </c>
      <c r="C12" s="10">
        <v>1851</v>
      </c>
      <c r="F12" s="16" t="s">
        <v>0</v>
      </c>
      <c r="G12" s="2" t="s">
        <v>83</v>
      </c>
      <c r="H12" s="17">
        <v>13407</v>
      </c>
      <c r="I12" cm="1">
        <f t="array" ref="I12">IFERROR(SUM(_xlfn._xlws.FILTER($C$25:$C$42, $A$25:$A$42 = $F12)), 0)</f>
        <v>0</v>
      </c>
      <c r="J12" s="4">
        <f>$H12 - $I12</f>
        <v>13407</v>
      </c>
      <c r="K12" s="4">
        <f>IF($J12 &lt; 0, 0, $J12)</f>
        <v>13407</v>
      </c>
      <c r="L12" cm="1">
        <f t="array" ref="L12">IFERROR(SUM(_xlfn._xlws.FILTER($C$12:$C$19, $A$12:$A$19 = $F12)), 0)</f>
        <v>0</v>
      </c>
      <c r="M12" s="4">
        <f>$K12 - $L12</f>
        <v>13407</v>
      </c>
      <c r="N12" s="4">
        <f>IF($M12 &lt; 0, 0, $M12)</f>
        <v>13407</v>
      </c>
    </row>
    <row r="13" spans="1:14" x14ac:dyDescent="0.2">
      <c r="A13" s="8" t="s">
        <v>2</v>
      </c>
      <c r="B13" t="s">
        <v>3</v>
      </c>
      <c r="C13" s="10">
        <v>1149</v>
      </c>
      <c r="F13" s="16" t="s">
        <v>2</v>
      </c>
      <c r="G13" s="2" t="s">
        <v>84</v>
      </c>
      <c r="H13" s="17">
        <v>4660</v>
      </c>
      <c r="I13" cm="1">
        <f t="array" ref="I13">IFERROR(SUM(_xlfn._xlws.FILTER($C$25:$C$42, $A$25:$A$42 = $F13)), 0)</f>
        <v>481</v>
      </c>
      <c r="J13" s="4">
        <f t="shared" ref="J13:J52" si="0">$H13 - $I13</f>
        <v>4179</v>
      </c>
      <c r="K13" s="4">
        <f t="shared" ref="K13:K52" si="1">IF($J13 &lt; 0, 0, $J13)</f>
        <v>4179</v>
      </c>
      <c r="L13" cm="1">
        <f t="array" ref="L13">IFERROR(SUM(_xlfn._xlws.FILTER($C$12:$C$19, $A$12:$A$19 = $F13)), 0)</f>
        <v>3000</v>
      </c>
      <c r="M13" s="4">
        <f t="shared" ref="M13:M52" si="2">$K13 - $L13</f>
        <v>1179</v>
      </c>
      <c r="N13" s="4">
        <f t="shared" ref="N13:N52" si="3">IF($M13 &lt; 0, 0, $M13)</f>
        <v>1179</v>
      </c>
    </row>
    <row r="14" spans="1:14" x14ac:dyDescent="0.2">
      <c r="A14" s="8" t="s">
        <v>39</v>
      </c>
      <c r="B14" t="s">
        <v>40</v>
      </c>
      <c r="C14" s="10">
        <v>4062</v>
      </c>
      <c r="F14" s="16" t="s">
        <v>4</v>
      </c>
      <c r="G14" s="2" t="s">
        <v>85</v>
      </c>
      <c r="H14" s="17">
        <v>4194</v>
      </c>
      <c r="I14" cm="1">
        <f t="array" ref="I14">IFERROR(SUM(_xlfn._xlws.FILTER($C$25:$C$42, $A$25:$A$42 = $F14)), 0)</f>
        <v>0</v>
      </c>
      <c r="J14" s="4">
        <f t="shared" si="0"/>
        <v>4194</v>
      </c>
      <c r="K14" s="4">
        <f t="shared" si="1"/>
        <v>4194</v>
      </c>
      <c r="L14" cm="1">
        <f t="array" ref="L14">IFERROR(SUM(_xlfn._xlws.FILTER($C$12:$C$19, $A$12:$A$19 = $F14)), 0)</f>
        <v>0</v>
      </c>
      <c r="M14" s="4">
        <f t="shared" si="2"/>
        <v>4194</v>
      </c>
      <c r="N14" s="4">
        <f t="shared" si="3"/>
        <v>4194</v>
      </c>
    </row>
    <row r="15" spans="1:14" x14ac:dyDescent="0.2">
      <c r="A15" s="8" t="s">
        <v>43</v>
      </c>
      <c r="B15" t="s">
        <v>44</v>
      </c>
      <c r="C15" s="10">
        <v>1835</v>
      </c>
      <c r="F15" s="16" t="s">
        <v>6</v>
      </c>
      <c r="G15" s="2" t="s">
        <v>86</v>
      </c>
      <c r="H15" s="17">
        <v>9261</v>
      </c>
      <c r="I15" cm="1">
        <f t="array" ref="I15">IFERROR(SUM(_xlfn._xlws.FILTER($C$25:$C$42, $A$25:$A$42 = $F15)), 0)</f>
        <v>2270</v>
      </c>
      <c r="J15" s="4">
        <f t="shared" si="0"/>
        <v>6991</v>
      </c>
      <c r="K15" s="4">
        <f t="shared" si="1"/>
        <v>6991</v>
      </c>
      <c r="L15" cm="1">
        <f t="array" ref="L15">IFERROR(SUM(_xlfn._xlws.FILTER($C$12:$C$19, $A$12:$A$19 = $F15)), 0)</f>
        <v>0</v>
      </c>
      <c r="M15" s="4">
        <f t="shared" si="2"/>
        <v>6991</v>
      </c>
      <c r="N15" s="4">
        <f t="shared" si="3"/>
        <v>6991</v>
      </c>
    </row>
    <row r="16" spans="1:14" x14ac:dyDescent="0.2">
      <c r="A16" s="8" t="s">
        <v>29</v>
      </c>
      <c r="B16" t="s">
        <v>30</v>
      </c>
      <c r="C16" s="10">
        <v>1800</v>
      </c>
      <c r="F16" s="16" t="s">
        <v>8</v>
      </c>
      <c r="G16" s="2" t="s">
        <v>87</v>
      </c>
      <c r="H16" s="18">
        <v>73</v>
      </c>
      <c r="I16" cm="1">
        <f t="array" ref="I16">IFERROR(SUM(_xlfn._xlws.FILTER($C$25:$C$42, $A$25:$A$42 = $F16)), 0)</f>
        <v>0</v>
      </c>
      <c r="J16" s="4">
        <f t="shared" si="0"/>
        <v>73</v>
      </c>
      <c r="K16" s="4">
        <f t="shared" si="1"/>
        <v>73</v>
      </c>
      <c r="L16" cm="1">
        <f t="array" ref="L16">IFERROR(SUM(_xlfn._xlws.FILTER($C$12:$C$19, $A$12:$A$19 = $F16)), 0)</f>
        <v>0</v>
      </c>
      <c r="M16" s="4">
        <f t="shared" si="2"/>
        <v>73</v>
      </c>
      <c r="N16" s="4">
        <f t="shared" si="3"/>
        <v>73</v>
      </c>
    </row>
    <row r="17" spans="1:14" x14ac:dyDescent="0.2">
      <c r="A17" s="8" t="s">
        <v>43</v>
      </c>
      <c r="B17" t="s">
        <v>44</v>
      </c>
      <c r="C17" s="10">
        <v>1105</v>
      </c>
      <c r="F17" s="16" t="s">
        <v>10</v>
      </c>
      <c r="G17" s="2" t="s">
        <v>85</v>
      </c>
      <c r="H17" s="18">
        <v>520</v>
      </c>
      <c r="I17" cm="1">
        <f t="array" ref="I17">IFERROR(SUM(_xlfn._xlws.FILTER($C$25:$C$42, $A$25:$A$42 = $F17)), 0)</f>
        <v>0</v>
      </c>
      <c r="J17" s="4">
        <f t="shared" si="0"/>
        <v>520</v>
      </c>
      <c r="K17" s="4">
        <f t="shared" si="1"/>
        <v>520</v>
      </c>
      <c r="L17" cm="1">
        <f t="array" ref="L17">IFERROR(SUM(_xlfn._xlws.FILTER($C$12:$C$19, $A$12:$A$19 = $F17)), 0)</f>
        <v>0</v>
      </c>
      <c r="M17" s="4">
        <f t="shared" si="2"/>
        <v>520</v>
      </c>
      <c r="N17" s="4">
        <f t="shared" si="3"/>
        <v>520</v>
      </c>
    </row>
    <row r="18" spans="1:14" x14ac:dyDescent="0.2">
      <c r="A18" s="8" t="s">
        <v>39</v>
      </c>
      <c r="B18" t="s">
        <v>40</v>
      </c>
      <c r="C18" s="10">
        <v>1283</v>
      </c>
      <c r="F18" s="16" t="s">
        <v>11</v>
      </c>
      <c r="G18" s="2" t="s">
        <v>88</v>
      </c>
      <c r="H18" s="18">
        <v>24</v>
      </c>
      <c r="I18" cm="1">
        <f t="array" ref="I18">IFERROR(SUM(_xlfn._xlws.FILTER($C$25:$C$42, $A$25:$A$42 = $F18)), 0)</f>
        <v>0</v>
      </c>
      <c r="J18" s="4">
        <f t="shared" si="0"/>
        <v>24</v>
      </c>
      <c r="K18" s="4">
        <f t="shared" si="1"/>
        <v>24</v>
      </c>
      <c r="L18" cm="1">
        <f t="array" ref="L18">IFERROR(SUM(_xlfn._xlws.FILTER($C$12:$C$19, $A$12:$A$19 = $F18)), 0)</f>
        <v>0</v>
      </c>
      <c r="M18" s="4">
        <f t="shared" si="2"/>
        <v>24</v>
      </c>
      <c r="N18" s="4">
        <f t="shared" si="3"/>
        <v>24</v>
      </c>
    </row>
    <row r="19" spans="1:14" ht="13.5" thickBot="1" x14ac:dyDescent="0.25">
      <c r="A19" s="11" t="s">
        <v>39</v>
      </c>
      <c r="B19" s="12" t="s">
        <v>40</v>
      </c>
      <c r="C19" s="13">
        <v>5655</v>
      </c>
      <c r="F19" s="16" t="s">
        <v>13</v>
      </c>
      <c r="G19" s="2" t="s">
        <v>89</v>
      </c>
      <c r="H19" s="18">
        <v>25</v>
      </c>
      <c r="I19" cm="1">
        <f t="array" ref="I19">IFERROR(SUM(_xlfn._xlws.FILTER($C$25:$C$42, $A$25:$A$42 = $F19)), 0)</f>
        <v>0</v>
      </c>
      <c r="J19" s="4">
        <f t="shared" si="0"/>
        <v>25</v>
      </c>
      <c r="K19" s="4">
        <f t="shared" si="1"/>
        <v>25</v>
      </c>
      <c r="L19" cm="1">
        <f t="array" ref="L19">IFERROR(SUM(_xlfn._xlws.FILTER($C$12:$C$19, $A$12:$A$19 = $F19)), 0)</f>
        <v>0</v>
      </c>
      <c r="M19" s="4">
        <f t="shared" si="2"/>
        <v>25</v>
      </c>
      <c r="N19" s="4">
        <f t="shared" si="3"/>
        <v>25</v>
      </c>
    </row>
    <row r="20" spans="1:14" x14ac:dyDescent="0.2">
      <c r="C20" s="4"/>
      <c r="F20" s="16" t="s">
        <v>15</v>
      </c>
      <c r="G20" s="2" t="s">
        <v>90</v>
      </c>
      <c r="H20" s="18">
        <v>1</v>
      </c>
      <c r="I20" cm="1">
        <f t="array" ref="I20">IFERROR(SUM(_xlfn._xlws.FILTER($C$25:$C$42, $A$25:$A$42 = $F20)), 0)</f>
        <v>0</v>
      </c>
      <c r="J20" s="4">
        <f t="shared" si="0"/>
        <v>1</v>
      </c>
      <c r="K20" s="4">
        <f t="shared" si="1"/>
        <v>1</v>
      </c>
      <c r="L20" cm="1">
        <f t="array" ref="L20">IFERROR(SUM(_xlfn._xlws.FILTER($C$12:$C$19, $A$12:$A$19 = $F20)), 0)</f>
        <v>0</v>
      </c>
      <c r="M20" s="4">
        <f t="shared" si="2"/>
        <v>1</v>
      </c>
      <c r="N20" s="4">
        <f t="shared" si="3"/>
        <v>1</v>
      </c>
    </row>
    <row r="21" spans="1:14" x14ac:dyDescent="0.2">
      <c r="C21" s="4"/>
      <c r="F21" s="16" t="s">
        <v>17</v>
      </c>
      <c r="G21" s="2" t="s">
        <v>91</v>
      </c>
      <c r="H21" s="18">
        <v>217</v>
      </c>
      <c r="I21" cm="1">
        <f t="array" ref="I21">IFERROR(SUM(_xlfn._xlws.FILTER($C$25:$C$42, $A$25:$A$42 = $F21)), 0)</f>
        <v>0</v>
      </c>
      <c r="J21" s="4">
        <f t="shared" si="0"/>
        <v>217</v>
      </c>
      <c r="K21" s="4">
        <f t="shared" si="1"/>
        <v>217</v>
      </c>
      <c r="L21" cm="1">
        <f t="array" ref="L21">IFERROR(SUM(_xlfn._xlws.FILTER($C$12:$C$19, $A$12:$A$19 = $F21)), 0)</f>
        <v>0</v>
      </c>
      <c r="M21" s="4">
        <f t="shared" si="2"/>
        <v>217</v>
      </c>
      <c r="N21" s="4">
        <f t="shared" si="3"/>
        <v>217</v>
      </c>
    </row>
    <row r="22" spans="1:14" ht="13.5" thickBot="1" x14ac:dyDescent="0.25">
      <c r="C22" s="4"/>
      <c r="F22" s="16" t="s">
        <v>19</v>
      </c>
      <c r="G22" s="2" t="s">
        <v>92</v>
      </c>
      <c r="H22" s="18">
        <v>107</v>
      </c>
      <c r="I22" cm="1">
        <f t="array" ref="I22">IFERROR(SUM(_xlfn._xlws.FILTER($C$25:$C$42, $A$25:$A$42 = $F22)), 0)</f>
        <v>0</v>
      </c>
      <c r="J22" s="4">
        <f t="shared" si="0"/>
        <v>107</v>
      </c>
      <c r="K22" s="4">
        <f t="shared" si="1"/>
        <v>107</v>
      </c>
      <c r="L22" cm="1">
        <f t="array" ref="L22">IFERROR(SUM(_xlfn._xlws.FILTER($C$12:$C$19, $A$12:$A$19 = $F22)), 0)</f>
        <v>0</v>
      </c>
      <c r="M22" s="4">
        <f t="shared" si="2"/>
        <v>107</v>
      </c>
      <c r="N22" s="4">
        <f t="shared" si="3"/>
        <v>107</v>
      </c>
    </row>
    <row r="23" spans="1:14" x14ac:dyDescent="0.2">
      <c r="A23" s="5" t="s">
        <v>82</v>
      </c>
      <c r="B23" s="6"/>
      <c r="C23" s="14"/>
      <c r="F23" s="16" t="s">
        <v>21</v>
      </c>
      <c r="G23" s="2" t="s">
        <v>93</v>
      </c>
      <c r="H23" s="18">
        <v>68</v>
      </c>
      <c r="I23" cm="1">
        <f t="array" ref="I23">IFERROR(SUM(_xlfn._xlws.FILTER($C$25:$C$42, $A$25:$A$42 = $F23)), 0)</f>
        <v>0</v>
      </c>
      <c r="J23" s="4">
        <f t="shared" si="0"/>
        <v>68</v>
      </c>
      <c r="K23" s="4">
        <f t="shared" si="1"/>
        <v>68</v>
      </c>
      <c r="L23" cm="1">
        <f t="array" ref="L23">IFERROR(SUM(_xlfn._xlws.FILTER($C$12:$C$19, $A$12:$A$19 = $F23)), 0)</f>
        <v>0</v>
      </c>
      <c r="M23" s="4">
        <f t="shared" si="2"/>
        <v>68</v>
      </c>
      <c r="N23" s="4">
        <f t="shared" si="3"/>
        <v>68</v>
      </c>
    </row>
    <row r="24" spans="1:14" ht="13.5" customHeight="1" x14ac:dyDescent="0.2">
      <c r="A24" s="8" t="s">
        <v>78</v>
      </c>
      <c r="B24" t="s">
        <v>79</v>
      </c>
      <c r="C24" s="9" t="s">
        <v>80</v>
      </c>
      <c r="F24" s="16" t="s">
        <v>23</v>
      </c>
      <c r="G24" s="2" t="s">
        <v>94</v>
      </c>
      <c r="H24" s="17">
        <v>1042</v>
      </c>
      <c r="I24" cm="1">
        <f t="array" ref="I24">IFERROR(SUM(_xlfn._xlws.FILTER($C$25:$C$42, $A$25:$A$42 = $F24)), 0)</f>
        <v>0</v>
      </c>
      <c r="J24" s="4">
        <f t="shared" si="0"/>
        <v>1042</v>
      </c>
      <c r="K24" s="4">
        <f t="shared" si="1"/>
        <v>1042</v>
      </c>
      <c r="L24" cm="1">
        <f t="array" ref="L24">IFERROR(SUM(_xlfn._xlws.FILTER($C$12:$C$19, $A$12:$A$19 = $F24)), 0)</f>
        <v>0</v>
      </c>
      <c r="M24" s="4">
        <f t="shared" si="2"/>
        <v>1042</v>
      </c>
      <c r="N24" s="4">
        <f t="shared" si="3"/>
        <v>1042</v>
      </c>
    </row>
    <row r="25" spans="1:14" ht="15.75" customHeight="1" x14ac:dyDescent="0.2">
      <c r="A25" s="8" t="s">
        <v>6</v>
      </c>
      <c r="B25" t="s">
        <v>7</v>
      </c>
      <c r="C25" s="9">
        <v>464</v>
      </c>
      <c r="F25" s="16" t="s">
        <v>25</v>
      </c>
      <c r="G25" s="2" t="s">
        <v>95</v>
      </c>
      <c r="H25" s="17">
        <v>1130</v>
      </c>
      <c r="I25" cm="1">
        <f t="array" ref="I25">IFERROR(SUM(_xlfn._xlws.FILTER($C$25:$C$42, $A$25:$A$42 = $F25)), 0)</f>
        <v>0</v>
      </c>
      <c r="J25" s="4">
        <f t="shared" si="0"/>
        <v>1130</v>
      </c>
      <c r="K25" s="4">
        <f t="shared" si="1"/>
        <v>1130</v>
      </c>
      <c r="L25" cm="1">
        <f t="array" ref="L25">IFERROR(SUM(_xlfn._xlws.FILTER($C$12:$C$19, $A$12:$A$19 = $F25)), 0)</f>
        <v>0</v>
      </c>
      <c r="M25" s="4">
        <f t="shared" si="2"/>
        <v>1130</v>
      </c>
      <c r="N25" s="4">
        <f t="shared" si="3"/>
        <v>1130</v>
      </c>
    </row>
    <row r="26" spans="1:14" x14ac:dyDescent="0.2">
      <c r="A26" s="8" t="s">
        <v>6</v>
      </c>
      <c r="B26" t="s">
        <v>7</v>
      </c>
      <c r="C26" s="9">
        <v>176</v>
      </c>
      <c r="F26" s="16" t="s">
        <v>27</v>
      </c>
      <c r="G26" s="2" t="s">
        <v>96</v>
      </c>
      <c r="H26" s="18">
        <v>805</v>
      </c>
      <c r="I26" cm="1">
        <f t="array" ref="I26">IFERROR(SUM(_xlfn._xlws.FILTER($C$25:$C$42, $A$25:$A$42 = $F26)), 0)</f>
        <v>0</v>
      </c>
      <c r="J26" s="4">
        <f t="shared" si="0"/>
        <v>805</v>
      </c>
      <c r="K26" s="4">
        <f t="shared" si="1"/>
        <v>805</v>
      </c>
      <c r="L26" cm="1">
        <f t="array" ref="L26">IFERROR(SUM(_xlfn._xlws.FILTER($C$12:$C$19, $A$12:$A$19 = $F26)), 0)</f>
        <v>0</v>
      </c>
      <c r="M26" s="4">
        <f t="shared" si="2"/>
        <v>805</v>
      </c>
      <c r="N26" s="4">
        <f t="shared" si="3"/>
        <v>805</v>
      </c>
    </row>
    <row r="27" spans="1:14" x14ac:dyDescent="0.2">
      <c r="A27" s="8" t="s">
        <v>41</v>
      </c>
      <c r="B27" t="s">
        <v>12</v>
      </c>
      <c r="C27" s="9">
        <v>736</v>
      </c>
      <c r="F27" s="16" t="s">
        <v>29</v>
      </c>
      <c r="G27" s="2" t="s">
        <v>97</v>
      </c>
      <c r="H27" s="17">
        <v>1384</v>
      </c>
      <c r="I27" cm="1">
        <f t="array" ref="I27">IFERROR(SUM(_xlfn._xlws.FILTER($C$25:$C$42, $A$25:$A$42 = $F27)), 0)</f>
        <v>0</v>
      </c>
      <c r="J27" s="4">
        <f t="shared" si="0"/>
        <v>1384</v>
      </c>
      <c r="K27" s="4">
        <f t="shared" si="1"/>
        <v>1384</v>
      </c>
      <c r="L27" cm="1">
        <f t="array" ref="L27">IFERROR(SUM(_xlfn._xlws.FILTER($C$12:$C$19, $A$12:$A$19 = $F27)), 0)</f>
        <v>1800</v>
      </c>
      <c r="M27" s="4">
        <f t="shared" si="2"/>
        <v>-416</v>
      </c>
      <c r="N27" s="4">
        <f t="shared" si="3"/>
        <v>0</v>
      </c>
    </row>
    <row r="28" spans="1:14" x14ac:dyDescent="0.2">
      <c r="A28" s="8" t="s">
        <v>42</v>
      </c>
      <c r="B28" t="s">
        <v>16</v>
      </c>
      <c r="C28" s="9">
        <v>932</v>
      </c>
      <c r="F28" s="16" t="s">
        <v>31</v>
      </c>
      <c r="G28" s="2" t="s">
        <v>98</v>
      </c>
      <c r="H28" s="18">
        <v>688</v>
      </c>
      <c r="I28" cm="1">
        <f t="array" ref="I28">IFERROR(SUM(_xlfn._xlws.FILTER($C$25:$C$42, $A$25:$A$42 = $F28)), 0)</f>
        <v>0</v>
      </c>
      <c r="J28" s="4">
        <f t="shared" si="0"/>
        <v>688</v>
      </c>
      <c r="K28" s="4">
        <f t="shared" si="1"/>
        <v>688</v>
      </c>
      <c r="L28" cm="1">
        <f t="array" ref="L28">IFERROR(SUM(_xlfn._xlws.FILTER($C$12:$C$19, $A$12:$A$19 = $F28)), 0)</f>
        <v>0</v>
      </c>
      <c r="M28" s="4">
        <f t="shared" si="2"/>
        <v>688</v>
      </c>
      <c r="N28" s="4">
        <f t="shared" si="3"/>
        <v>688</v>
      </c>
    </row>
    <row r="29" spans="1:14" x14ac:dyDescent="0.2">
      <c r="A29" s="8" t="s">
        <v>42</v>
      </c>
      <c r="B29" t="s">
        <v>16</v>
      </c>
      <c r="C29" s="9">
        <v>200</v>
      </c>
      <c r="F29" s="16" t="s">
        <v>33</v>
      </c>
      <c r="G29" s="2" t="s">
        <v>99</v>
      </c>
      <c r="H29" s="18">
        <v>527</v>
      </c>
      <c r="I29" cm="1">
        <f t="array" ref="I29">IFERROR(SUM(_xlfn._xlws.FILTER($C$25:$C$42, $A$25:$A$42 = $F29)), 0)</f>
        <v>0</v>
      </c>
      <c r="J29" s="4">
        <f t="shared" si="0"/>
        <v>527</v>
      </c>
      <c r="K29" s="4">
        <f t="shared" si="1"/>
        <v>527</v>
      </c>
      <c r="L29" cm="1">
        <f t="array" ref="L29">IFERROR(SUM(_xlfn._xlws.FILTER($C$12:$C$19, $A$12:$A$19 = $F29)), 0)</f>
        <v>0</v>
      </c>
      <c r="M29" s="4">
        <f t="shared" si="2"/>
        <v>527</v>
      </c>
      <c r="N29" s="4">
        <f t="shared" si="3"/>
        <v>527</v>
      </c>
    </row>
    <row r="30" spans="1:14" x14ac:dyDescent="0.2">
      <c r="A30" s="8" t="s">
        <v>42</v>
      </c>
      <c r="B30" t="s">
        <v>16</v>
      </c>
      <c r="C30" s="9">
        <v>1080</v>
      </c>
      <c r="F30" s="16" t="s">
        <v>35</v>
      </c>
      <c r="G30" s="2" t="s">
        <v>100</v>
      </c>
      <c r="H30" s="18">
        <v>67</v>
      </c>
      <c r="I30" cm="1">
        <f t="array" ref="I30">IFERROR(SUM(_xlfn._xlws.FILTER($C$25:$C$42, $A$25:$A$42 = $F30)), 0)</f>
        <v>0</v>
      </c>
      <c r="J30" s="4">
        <f t="shared" si="0"/>
        <v>67</v>
      </c>
      <c r="K30" s="4">
        <f t="shared" si="1"/>
        <v>67</v>
      </c>
      <c r="L30" cm="1">
        <f t="array" ref="L30">IFERROR(SUM(_xlfn._xlws.FILTER($C$12:$C$19, $A$12:$A$19 = $F30)), 0)</f>
        <v>0</v>
      </c>
      <c r="M30" s="4">
        <f t="shared" si="2"/>
        <v>67</v>
      </c>
      <c r="N30" s="4">
        <f t="shared" si="3"/>
        <v>67</v>
      </c>
    </row>
    <row r="31" spans="1:14" x14ac:dyDescent="0.2">
      <c r="A31" s="8" t="s">
        <v>42</v>
      </c>
      <c r="B31" t="s">
        <v>16</v>
      </c>
      <c r="C31" s="9">
        <v>960</v>
      </c>
      <c r="F31" s="16" t="s">
        <v>37</v>
      </c>
      <c r="G31" s="2" t="s">
        <v>101</v>
      </c>
      <c r="H31" s="18">
        <v>20</v>
      </c>
      <c r="I31" cm="1">
        <f t="array" ref="I31">IFERROR(SUM(_xlfn._xlws.FILTER($C$25:$C$42, $A$25:$A$42 = $F31)), 0)</f>
        <v>0</v>
      </c>
      <c r="J31" s="4">
        <f t="shared" si="0"/>
        <v>20</v>
      </c>
      <c r="K31" s="4">
        <f t="shared" si="1"/>
        <v>20</v>
      </c>
      <c r="L31" cm="1">
        <f t="array" ref="L31">IFERROR(SUM(_xlfn._xlws.FILTER($C$12:$C$19, $A$12:$A$19 = $F31)), 0)</f>
        <v>0</v>
      </c>
      <c r="M31" s="4">
        <f t="shared" si="2"/>
        <v>20</v>
      </c>
      <c r="N31" s="4">
        <f t="shared" si="3"/>
        <v>20</v>
      </c>
    </row>
    <row r="32" spans="1:14" x14ac:dyDescent="0.2">
      <c r="A32" s="8" t="s">
        <v>43</v>
      </c>
      <c r="B32" t="s">
        <v>44</v>
      </c>
      <c r="C32" s="10">
        <v>1238</v>
      </c>
      <c r="F32" s="16" t="s">
        <v>39</v>
      </c>
      <c r="G32" s="2" t="s">
        <v>102</v>
      </c>
      <c r="H32" s="17">
        <v>11042</v>
      </c>
      <c r="I32" cm="1">
        <f t="array" ref="I32">IFERROR(SUM(_xlfn._xlws.FILTER($C$25:$C$42, $A$25:$A$42 = $F32)), 0)</f>
        <v>845</v>
      </c>
      <c r="J32" s="4">
        <f t="shared" si="0"/>
        <v>10197</v>
      </c>
      <c r="K32" s="4">
        <f t="shared" si="1"/>
        <v>10197</v>
      </c>
      <c r="L32" cm="1">
        <f t="array" ref="L32">IFERROR(SUM(_xlfn._xlws.FILTER($C$12:$C$19, $A$12:$A$19 = $F32)), 0)</f>
        <v>11000</v>
      </c>
      <c r="M32" s="4">
        <f t="shared" si="2"/>
        <v>-803</v>
      </c>
      <c r="N32" s="4">
        <f t="shared" si="3"/>
        <v>0</v>
      </c>
    </row>
    <row r="33" spans="1:14" x14ac:dyDescent="0.2">
      <c r="A33" s="8" t="s">
        <v>43</v>
      </c>
      <c r="B33" t="s">
        <v>44</v>
      </c>
      <c r="C33" s="9">
        <v>200</v>
      </c>
      <c r="F33" s="16" t="s">
        <v>41</v>
      </c>
      <c r="G33" s="2" t="s">
        <v>88</v>
      </c>
      <c r="H33" s="17">
        <v>5540</v>
      </c>
      <c r="I33" cm="1">
        <f t="array" ref="I33">IFERROR(SUM(_xlfn._xlws.FILTER($C$25:$C$42, $A$25:$A$42 = $F33)), 0)</f>
        <v>736</v>
      </c>
      <c r="J33" s="4">
        <f t="shared" si="0"/>
        <v>4804</v>
      </c>
      <c r="K33" s="4">
        <f t="shared" si="1"/>
        <v>4804</v>
      </c>
      <c r="L33" cm="1">
        <f t="array" ref="L33">IFERROR(SUM(_xlfn._xlws.FILTER($C$12:$C$19, $A$12:$A$19 = $F33)), 0)</f>
        <v>0</v>
      </c>
      <c r="M33" s="4">
        <f t="shared" si="2"/>
        <v>4804</v>
      </c>
      <c r="N33" s="4">
        <f t="shared" si="3"/>
        <v>4804</v>
      </c>
    </row>
    <row r="34" spans="1:14" x14ac:dyDescent="0.2">
      <c r="A34" s="8" t="s">
        <v>6</v>
      </c>
      <c r="B34" t="s">
        <v>7</v>
      </c>
      <c r="C34" s="9">
        <v>662</v>
      </c>
      <c r="F34" s="16" t="s">
        <v>42</v>
      </c>
      <c r="G34" s="2" t="s">
        <v>90</v>
      </c>
      <c r="H34" s="17">
        <v>5211</v>
      </c>
      <c r="I34" cm="1">
        <f t="array" ref="I34">IFERROR(SUM(_xlfn._xlws.FILTER($C$25:$C$42, $A$25:$A$42 = $F34)), 0)</f>
        <v>4382</v>
      </c>
      <c r="J34" s="4">
        <f t="shared" si="0"/>
        <v>829</v>
      </c>
      <c r="K34" s="4">
        <f t="shared" si="1"/>
        <v>829</v>
      </c>
      <c r="L34" cm="1">
        <f t="array" ref="L34">IFERROR(SUM(_xlfn._xlws.FILTER($C$12:$C$19, $A$12:$A$19 = $F34)), 0)</f>
        <v>0</v>
      </c>
      <c r="M34" s="4">
        <f t="shared" si="2"/>
        <v>829</v>
      </c>
      <c r="N34" s="4">
        <f t="shared" si="3"/>
        <v>829</v>
      </c>
    </row>
    <row r="35" spans="1:14" x14ac:dyDescent="0.2">
      <c r="A35" s="8" t="s">
        <v>6</v>
      </c>
      <c r="B35" t="s">
        <v>7</v>
      </c>
      <c r="C35" s="9">
        <v>1</v>
      </c>
      <c r="F35" s="16" t="s">
        <v>43</v>
      </c>
      <c r="G35" s="2" t="s">
        <v>103</v>
      </c>
      <c r="H35" s="17">
        <v>6930</v>
      </c>
      <c r="I35" cm="1">
        <f t="array" ref="I35">IFERROR(SUM(_xlfn._xlws.FILTER($C$25:$C$42, $A$25:$A$42 = $F35)), 0)</f>
        <v>9141</v>
      </c>
      <c r="J35" s="4">
        <f t="shared" si="0"/>
        <v>-2211</v>
      </c>
      <c r="K35" s="4">
        <f t="shared" si="1"/>
        <v>0</v>
      </c>
      <c r="L35" cm="1">
        <f t="array" ref="L35">IFERROR(SUM(_xlfn._xlws.FILTER($C$12:$C$19, $A$12:$A$19 = $F35)), 0)</f>
        <v>2940</v>
      </c>
      <c r="M35" s="4">
        <f t="shared" si="2"/>
        <v>-2940</v>
      </c>
      <c r="N35" s="4">
        <f t="shared" si="3"/>
        <v>0</v>
      </c>
    </row>
    <row r="36" spans="1:14" x14ac:dyDescent="0.2">
      <c r="A36" s="8" t="s">
        <v>42</v>
      </c>
      <c r="B36" t="s">
        <v>16</v>
      </c>
      <c r="C36" s="9">
        <v>600</v>
      </c>
      <c r="F36" s="16" t="s">
        <v>45</v>
      </c>
      <c r="G36" s="2" t="s">
        <v>104</v>
      </c>
      <c r="H36" s="17">
        <v>7610</v>
      </c>
      <c r="I36" cm="1">
        <f t="array" ref="I36">IFERROR(SUM(_xlfn._xlws.FILTER($C$25:$C$42, $A$25:$A$42 = $F36)), 0)</f>
        <v>0</v>
      </c>
      <c r="J36" s="4">
        <f t="shared" si="0"/>
        <v>7610</v>
      </c>
      <c r="K36" s="4">
        <f t="shared" si="1"/>
        <v>7610</v>
      </c>
      <c r="L36" cm="1">
        <f t="array" ref="L36">IFERROR(SUM(_xlfn._xlws.FILTER($C$12:$C$19, $A$12:$A$19 = $F36)), 0)</f>
        <v>0</v>
      </c>
      <c r="M36" s="4">
        <f t="shared" si="2"/>
        <v>7610</v>
      </c>
      <c r="N36" s="4">
        <f t="shared" si="3"/>
        <v>7610</v>
      </c>
    </row>
    <row r="37" spans="1:14" x14ac:dyDescent="0.2">
      <c r="A37" s="8" t="s">
        <v>2</v>
      </c>
      <c r="B37" t="s">
        <v>3</v>
      </c>
      <c r="C37" s="9">
        <v>481</v>
      </c>
      <c r="F37" s="16" t="s">
        <v>47</v>
      </c>
      <c r="G37" s="2" t="s">
        <v>105</v>
      </c>
      <c r="H37" s="18">
        <v>354</v>
      </c>
      <c r="I37" cm="1">
        <f t="array" ref="I37">IFERROR(SUM(_xlfn._xlws.FILTER($C$25:$C$42, $A$25:$A$42 = $F37)), 0)</f>
        <v>0</v>
      </c>
      <c r="J37" s="4">
        <f t="shared" si="0"/>
        <v>354</v>
      </c>
      <c r="K37" s="4">
        <f t="shared" si="1"/>
        <v>354</v>
      </c>
      <c r="L37" cm="1">
        <f t="array" ref="L37">IFERROR(SUM(_xlfn._xlws.FILTER($C$12:$C$19, $A$12:$A$19 = $F37)), 0)</f>
        <v>0</v>
      </c>
      <c r="M37" s="4">
        <f t="shared" si="2"/>
        <v>354</v>
      </c>
      <c r="N37" s="4">
        <f t="shared" si="3"/>
        <v>354</v>
      </c>
    </row>
    <row r="38" spans="1:14" x14ac:dyDescent="0.2">
      <c r="A38" s="8" t="s">
        <v>43</v>
      </c>
      <c r="B38" t="s">
        <v>44</v>
      </c>
      <c r="C38" s="9">
        <v>165</v>
      </c>
      <c r="F38" s="16" t="s">
        <v>49</v>
      </c>
      <c r="G38" s="2" t="s">
        <v>106</v>
      </c>
      <c r="H38" s="18">
        <v>635</v>
      </c>
      <c r="I38" cm="1">
        <f t="array" ref="I38">IFERROR(SUM(_xlfn._xlws.FILTER($C$25:$C$42, $A$25:$A$42 = $F38)), 0)</f>
        <v>0</v>
      </c>
      <c r="J38" s="4">
        <f t="shared" si="0"/>
        <v>635</v>
      </c>
      <c r="K38" s="4">
        <f t="shared" si="1"/>
        <v>635</v>
      </c>
      <c r="L38" cm="1">
        <f t="array" ref="L38">IFERROR(SUM(_xlfn._xlws.FILTER($C$12:$C$19, $A$12:$A$19 = $F38)), 0)</f>
        <v>0</v>
      </c>
      <c r="M38" s="4">
        <f t="shared" si="2"/>
        <v>635</v>
      </c>
      <c r="N38" s="4">
        <f t="shared" si="3"/>
        <v>635</v>
      </c>
    </row>
    <row r="39" spans="1:14" x14ac:dyDescent="0.2">
      <c r="A39" s="8" t="s">
        <v>39</v>
      </c>
      <c r="B39" t="s">
        <v>40</v>
      </c>
      <c r="C39" s="9">
        <v>845</v>
      </c>
      <c r="F39" s="16" t="s">
        <v>51</v>
      </c>
      <c r="G39" s="2" t="s">
        <v>107</v>
      </c>
      <c r="H39" s="18">
        <v>41</v>
      </c>
      <c r="I39" cm="1">
        <f t="array" ref="I39">IFERROR(SUM(_xlfn._xlws.FILTER($C$25:$C$42, $A$25:$A$42 = $F39)), 0)</f>
        <v>0</v>
      </c>
      <c r="J39" s="4">
        <f t="shared" si="0"/>
        <v>41</v>
      </c>
      <c r="K39" s="4">
        <f t="shared" si="1"/>
        <v>41</v>
      </c>
      <c r="L39" cm="1">
        <f t="array" ref="L39">IFERROR(SUM(_xlfn._xlws.FILTER($C$12:$C$19, $A$12:$A$19 = $F39)), 0)</f>
        <v>0</v>
      </c>
      <c r="M39" s="4">
        <f t="shared" si="2"/>
        <v>41</v>
      </c>
      <c r="N39" s="4">
        <f t="shared" si="3"/>
        <v>41</v>
      </c>
    </row>
    <row r="40" spans="1:14" x14ac:dyDescent="0.2">
      <c r="A40" s="8" t="s">
        <v>43</v>
      </c>
      <c r="B40" t="s">
        <v>44</v>
      </c>
      <c r="C40" s="9">
        <v>7538</v>
      </c>
      <c r="F40" s="16" t="s">
        <v>53</v>
      </c>
      <c r="G40" s="2" t="s">
        <v>108</v>
      </c>
      <c r="H40" s="18">
        <v>230</v>
      </c>
      <c r="I40" cm="1">
        <f t="array" ref="I40">IFERROR(SUM(_xlfn._xlws.FILTER($C$25:$C$42, $A$25:$A$42 = $F40)), 0)</f>
        <v>0</v>
      </c>
      <c r="J40" s="4">
        <f t="shared" si="0"/>
        <v>230</v>
      </c>
      <c r="K40" s="4">
        <f t="shared" si="1"/>
        <v>230</v>
      </c>
      <c r="L40" cm="1">
        <f t="array" ref="L40">IFERROR(SUM(_xlfn._xlws.FILTER($C$12:$C$19, $A$12:$A$19 = $F40)), 0)</f>
        <v>0</v>
      </c>
      <c r="M40" s="4">
        <f t="shared" si="2"/>
        <v>230</v>
      </c>
      <c r="N40" s="4">
        <f t="shared" si="3"/>
        <v>230</v>
      </c>
    </row>
    <row r="41" spans="1:14" x14ac:dyDescent="0.2">
      <c r="A41" s="8" t="s">
        <v>42</v>
      </c>
      <c r="B41" t="s">
        <v>16</v>
      </c>
      <c r="C41" s="9">
        <v>610</v>
      </c>
      <c r="F41" s="16" t="s">
        <v>55</v>
      </c>
      <c r="G41" s="2" t="s">
        <v>109</v>
      </c>
      <c r="H41" s="18">
        <v>94</v>
      </c>
      <c r="I41" cm="1">
        <f t="array" ref="I41">IFERROR(SUM(_xlfn._xlws.FILTER($C$25:$C$42, $A$25:$A$42 = $F41)), 0)</f>
        <v>0</v>
      </c>
      <c r="J41" s="4">
        <f t="shared" si="0"/>
        <v>94</v>
      </c>
      <c r="K41" s="4">
        <f t="shared" si="1"/>
        <v>94</v>
      </c>
      <c r="L41" cm="1">
        <f t="array" ref="L41">IFERROR(SUM(_xlfn._xlws.FILTER($C$12:$C$19, $A$12:$A$19 = $F41)), 0)</f>
        <v>0</v>
      </c>
      <c r="M41" s="4">
        <f t="shared" si="2"/>
        <v>94</v>
      </c>
      <c r="N41" s="4">
        <f t="shared" si="3"/>
        <v>94</v>
      </c>
    </row>
    <row r="42" spans="1:14" ht="13.5" thickBot="1" x14ac:dyDescent="0.25">
      <c r="A42" s="11" t="s">
        <v>6</v>
      </c>
      <c r="B42" s="12" t="s">
        <v>7</v>
      </c>
      <c r="C42" s="15">
        <v>967</v>
      </c>
      <c r="F42" s="16" t="s">
        <v>57</v>
      </c>
      <c r="G42" s="2" t="s">
        <v>110</v>
      </c>
      <c r="H42" s="18">
        <v>74</v>
      </c>
      <c r="I42" cm="1">
        <f t="array" ref="I42">IFERROR(SUM(_xlfn._xlws.FILTER($C$25:$C$42, $A$25:$A$42 = $F42)), 0)</f>
        <v>0</v>
      </c>
      <c r="J42" s="4">
        <f t="shared" si="0"/>
        <v>74</v>
      </c>
      <c r="K42" s="4">
        <f t="shared" si="1"/>
        <v>74</v>
      </c>
      <c r="L42" cm="1">
        <f t="array" ref="L42">IFERROR(SUM(_xlfn._xlws.FILTER($C$12:$C$19, $A$12:$A$19 = $F42)), 0)</f>
        <v>0</v>
      </c>
      <c r="M42" s="4">
        <f t="shared" si="2"/>
        <v>74</v>
      </c>
      <c r="N42" s="4">
        <f t="shared" si="3"/>
        <v>74</v>
      </c>
    </row>
    <row r="43" spans="1:14" x14ac:dyDescent="0.2">
      <c r="F43" s="16" t="s">
        <v>59</v>
      </c>
      <c r="G43" s="2" t="s">
        <v>111</v>
      </c>
      <c r="H43" s="18">
        <v>36</v>
      </c>
      <c r="I43" cm="1">
        <f t="array" ref="I43">IFERROR(SUM(_xlfn._xlws.FILTER($C$25:$C$42, $A$25:$A$42 = $F43)), 0)</f>
        <v>0</v>
      </c>
      <c r="J43" s="4">
        <f t="shared" si="0"/>
        <v>36</v>
      </c>
      <c r="K43" s="4">
        <f t="shared" si="1"/>
        <v>36</v>
      </c>
      <c r="L43" cm="1">
        <f t="array" ref="L43">IFERROR(SUM(_xlfn._xlws.FILTER($C$12:$C$19, $A$12:$A$19 = $F43)), 0)</f>
        <v>0</v>
      </c>
      <c r="M43" s="4">
        <f t="shared" si="2"/>
        <v>36</v>
      </c>
      <c r="N43" s="4">
        <f t="shared" si="3"/>
        <v>36</v>
      </c>
    </row>
    <row r="44" spans="1:14" x14ac:dyDescent="0.2">
      <c r="F44" s="16" t="s">
        <v>61</v>
      </c>
      <c r="G44" s="2" t="s">
        <v>112</v>
      </c>
      <c r="H44" s="18">
        <v>5</v>
      </c>
      <c r="I44" cm="1">
        <f t="array" ref="I44">IFERROR(SUM(_xlfn._xlws.FILTER($C$25:$C$42, $A$25:$A$42 = $F44)), 0)</f>
        <v>0</v>
      </c>
      <c r="J44" s="4">
        <f t="shared" si="0"/>
        <v>5</v>
      </c>
      <c r="K44" s="4">
        <f t="shared" si="1"/>
        <v>5</v>
      </c>
      <c r="L44" cm="1">
        <f t="array" ref="L44">IFERROR(SUM(_xlfn._xlws.FILTER($C$12:$C$19, $A$12:$A$19 = $F44)), 0)</f>
        <v>0</v>
      </c>
      <c r="M44" s="4">
        <f t="shared" si="2"/>
        <v>5</v>
      </c>
      <c r="N44" s="4">
        <f t="shared" si="3"/>
        <v>5</v>
      </c>
    </row>
    <row r="45" spans="1:14" x14ac:dyDescent="0.2">
      <c r="F45" s="16" t="s">
        <v>63</v>
      </c>
      <c r="G45" s="2" t="s">
        <v>113</v>
      </c>
      <c r="H45" s="18">
        <v>3</v>
      </c>
      <c r="I45" cm="1">
        <f t="array" ref="I45">IFERROR(SUM(_xlfn._xlws.FILTER($C$25:$C$42, $A$25:$A$42 = $F45)), 0)</f>
        <v>0</v>
      </c>
      <c r="J45" s="4">
        <f t="shared" si="0"/>
        <v>3</v>
      </c>
      <c r="K45" s="4">
        <f t="shared" si="1"/>
        <v>3</v>
      </c>
      <c r="L45" cm="1">
        <f t="array" ref="L45">IFERROR(SUM(_xlfn._xlws.FILTER($C$12:$C$19, $A$12:$A$19 = $F45)), 0)</f>
        <v>0</v>
      </c>
      <c r="M45" s="4">
        <f t="shared" si="2"/>
        <v>3</v>
      </c>
      <c r="N45" s="4">
        <f t="shared" si="3"/>
        <v>3</v>
      </c>
    </row>
    <row r="46" spans="1:14" x14ac:dyDescent="0.2">
      <c r="F46" s="16" t="s">
        <v>65</v>
      </c>
      <c r="G46" s="2" t="s">
        <v>114</v>
      </c>
      <c r="H46" s="18">
        <v>360</v>
      </c>
      <c r="I46" cm="1">
        <f t="array" ref="I46">IFERROR(SUM(_xlfn._xlws.FILTER($C$25:$C$42, $A$25:$A$42 = $F46)), 0)</f>
        <v>0</v>
      </c>
      <c r="J46" s="4">
        <f t="shared" si="0"/>
        <v>360</v>
      </c>
      <c r="K46" s="4">
        <f t="shared" si="1"/>
        <v>360</v>
      </c>
      <c r="L46" cm="1">
        <f t="array" ref="L46">IFERROR(SUM(_xlfn._xlws.FILTER($C$12:$C$19, $A$12:$A$19 = $F46)), 0)</f>
        <v>0</v>
      </c>
      <c r="M46" s="4">
        <f t="shared" si="2"/>
        <v>360</v>
      </c>
      <c r="N46" s="4">
        <f t="shared" si="3"/>
        <v>360</v>
      </c>
    </row>
    <row r="47" spans="1:14" x14ac:dyDescent="0.2">
      <c r="F47" s="16" t="s">
        <v>67</v>
      </c>
      <c r="G47" s="2" t="s">
        <v>115</v>
      </c>
      <c r="H47" s="18">
        <v>59</v>
      </c>
      <c r="I47" cm="1">
        <f t="array" ref="I47">IFERROR(SUM(_xlfn._xlws.FILTER($C$25:$C$42, $A$25:$A$42 = $F47)), 0)</f>
        <v>0</v>
      </c>
      <c r="J47" s="4">
        <f t="shared" si="0"/>
        <v>59</v>
      </c>
      <c r="K47" s="4">
        <f t="shared" si="1"/>
        <v>59</v>
      </c>
      <c r="L47" cm="1">
        <f t="array" ref="L47">IFERROR(SUM(_xlfn._xlws.FILTER($C$12:$C$19, $A$12:$A$19 = $F47)), 0)</f>
        <v>0</v>
      </c>
      <c r="M47" s="4">
        <f t="shared" si="2"/>
        <v>59</v>
      </c>
      <c r="N47" s="4">
        <f t="shared" si="3"/>
        <v>59</v>
      </c>
    </row>
    <row r="48" spans="1:14" x14ac:dyDescent="0.2">
      <c r="F48" s="16" t="s">
        <v>69</v>
      </c>
      <c r="G48" s="2" t="s">
        <v>92</v>
      </c>
      <c r="H48" s="17">
        <v>1936</v>
      </c>
      <c r="I48" cm="1">
        <f t="array" ref="I48">IFERROR(SUM(_xlfn._xlws.FILTER($C$25:$C$42, $A$25:$A$42 = $F48)), 0)</f>
        <v>0</v>
      </c>
      <c r="J48" s="4">
        <f t="shared" si="0"/>
        <v>1936</v>
      </c>
      <c r="K48" s="4">
        <f t="shared" si="1"/>
        <v>1936</v>
      </c>
      <c r="L48" cm="1">
        <f t="array" ref="L48">IFERROR(SUM(_xlfn._xlws.FILTER($C$12:$C$19, $A$12:$A$19 = $F48)), 0)</f>
        <v>0</v>
      </c>
      <c r="M48" s="4">
        <f t="shared" si="2"/>
        <v>1936</v>
      </c>
      <c r="N48" s="4">
        <f t="shared" si="3"/>
        <v>1936</v>
      </c>
    </row>
    <row r="49" spans="6:14" x14ac:dyDescent="0.2">
      <c r="F49" s="16" t="s">
        <v>70</v>
      </c>
      <c r="G49" s="2" t="s">
        <v>116</v>
      </c>
      <c r="H49" s="17">
        <v>2395</v>
      </c>
      <c r="I49" cm="1">
        <f t="array" ref="I49">IFERROR(SUM(_xlfn._xlws.FILTER($C$25:$C$42, $A$25:$A$42 = $F49)), 0)</f>
        <v>0</v>
      </c>
      <c r="J49" s="4">
        <f t="shared" si="0"/>
        <v>2395</v>
      </c>
      <c r="K49" s="4">
        <f t="shared" si="1"/>
        <v>2395</v>
      </c>
      <c r="L49" cm="1">
        <f t="array" ref="L49">IFERROR(SUM(_xlfn._xlws.FILTER($C$12:$C$19, $A$12:$A$19 = $F49)), 0)</f>
        <v>0</v>
      </c>
      <c r="M49" s="4">
        <f t="shared" si="2"/>
        <v>2395</v>
      </c>
      <c r="N49" s="4">
        <f t="shared" si="3"/>
        <v>2395</v>
      </c>
    </row>
    <row r="50" spans="6:14" x14ac:dyDescent="0.2">
      <c r="F50" s="16" t="s">
        <v>72</v>
      </c>
      <c r="G50" s="2" t="s">
        <v>117</v>
      </c>
      <c r="H50" s="17">
        <v>1200</v>
      </c>
      <c r="I50" cm="1">
        <f t="array" ref="I50">IFERROR(SUM(_xlfn._xlws.FILTER($C$25:$C$42, $A$25:$A$42 = $F50)), 0)</f>
        <v>0</v>
      </c>
      <c r="J50" s="4">
        <f t="shared" si="0"/>
        <v>1200</v>
      </c>
      <c r="K50" s="4">
        <f t="shared" si="1"/>
        <v>1200</v>
      </c>
      <c r="L50" cm="1">
        <f t="array" ref="L50">IFERROR(SUM(_xlfn._xlws.FILTER($C$12:$C$19, $A$12:$A$19 = $F50)), 0)</f>
        <v>0</v>
      </c>
      <c r="M50" s="4">
        <f t="shared" si="2"/>
        <v>1200</v>
      </c>
      <c r="N50" s="4">
        <f t="shared" si="3"/>
        <v>1200</v>
      </c>
    </row>
    <row r="51" spans="6:14" x14ac:dyDescent="0.2">
      <c r="F51" s="16" t="s">
        <v>74</v>
      </c>
      <c r="G51" s="2" t="s">
        <v>118</v>
      </c>
      <c r="H51" s="17">
        <v>1901</v>
      </c>
      <c r="I51" cm="1">
        <f t="array" ref="I51">IFERROR(SUM(_xlfn._xlws.FILTER($C$25:$C$42, $A$25:$A$42 = $F51)), 0)</f>
        <v>0</v>
      </c>
      <c r="J51" s="4">
        <f t="shared" si="0"/>
        <v>1901</v>
      </c>
      <c r="K51" s="4">
        <f t="shared" si="1"/>
        <v>1901</v>
      </c>
      <c r="L51" cm="1">
        <f t="array" ref="L51">IFERROR(SUM(_xlfn._xlws.FILTER($C$12:$C$19, $A$12:$A$19 = $F51)), 0)</f>
        <v>0</v>
      </c>
      <c r="M51" s="4">
        <f t="shared" si="2"/>
        <v>1901</v>
      </c>
      <c r="N51" s="4">
        <f t="shared" si="3"/>
        <v>1901</v>
      </c>
    </row>
    <row r="52" spans="6:14" ht="13.5" thickBot="1" x14ac:dyDescent="0.25">
      <c r="F52" s="19" t="s">
        <v>76</v>
      </c>
      <c r="G52" s="20" t="s">
        <v>119</v>
      </c>
      <c r="H52" s="21">
        <v>317</v>
      </c>
      <c r="I52" cm="1">
        <f t="array" ref="I52">IFERROR(SUM(_xlfn._xlws.FILTER($C$25:$C$42, $A$25:$A$42 = $F52)), 0)</f>
        <v>0</v>
      </c>
      <c r="J52" s="4">
        <f t="shared" si="0"/>
        <v>317</v>
      </c>
      <c r="K52" s="4">
        <f t="shared" si="1"/>
        <v>317</v>
      </c>
      <c r="L52" cm="1">
        <f t="array" ref="L52">IFERROR(SUM(_xlfn._xlws.FILTER($C$12:$C$19, $A$12:$A$19 = $F52)), 0)</f>
        <v>0</v>
      </c>
      <c r="M52" s="4">
        <f t="shared" si="2"/>
        <v>317</v>
      </c>
      <c r="N52" s="4">
        <f t="shared" si="3"/>
        <v>317</v>
      </c>
    </row>
  </sheetData>
  <mergeCells count="1">
    <mergeCell ref="A7:G7"/>
  </mergeCells>
  <phoneticPr fontId="2" type="noConversion"/>
  <conditionalFormatting sqref="J1:K1048576">
    <cfRule type="cellIs" dxfId="4" priority="7" operator="lessThan">
      <formula>0</formula>
    </cfRule>
  </conditionalFormatting>
  <conditionalFormatting sqref="K11:K52">
    <cfRule type="cellIs" dxfId="3" priority="4" operator="equal">
      <formula>0</formula>
    </cfRule>
  </conditionalFormatting>
  <conditionalFormatting sqref="M1:M1048576">
    <cfRule type="cellIs" dxfId="2" priority="8" operator="lessThan">
      <formula>0</formula>
    </cfRule>
  </conditionalFormatting>
  <conditionalFormatting sqref="N11:N52">
    <cfRule type="cellIs" dxfId="1" priority="1" operator="equal">
      <formula>0</formula>
    </cfRule>
    <cfRule type="cellIs" dxfId="0" priority="2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DE70-91AE-4698-9C76-82DF27229E54}">
  <dimension ref="A3:B10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14.42578125" bestFit="1" customWidth="1"/>
  </cols>
  <sheetData>
    <row r="3" spans="1:2" x14ac:dyDescent="0.2">
      <c r="A3" s="26" t="s">
        <v>139</v>
      </c>
      <c r="B3" t="s">
        <v>146</v>
      </c>
    </row>
    <row r="4" spans="1:2" x14ac:dyDescent="0.2">
      <c r="A4" s="27" t="s">
        <v>148</v>
      </c>
      <c r="B4">
        <v>13407</v>
      </c>
    </row>
    <row r="5" spans="1:2" x14ac:dyDescent="0.2">
      <c r="A5" s="27" t="s">
        <v>149</v>
      </c>
      <c r="B5">
        <v>18257</v>
      </c>
    </row>
    <row r="6" spans="1:2" x14ac:dyDescent="0.2">
      <c r="A6" s="27" t="s">
        <v>150</v>
      </c>
      <c r="B6">
        <v>33259</v>
      </c>
    </row>
    <row r="7" spans="1:2" x14ac:dyDescent="0.2">
      <c r="A7" s="27" t="s">
        <v>151</v>
      </c>
      <c r="B7">
        <v>15566</v>
      </c>
    </row>
    <row r="8" spans="1:2" x14ac:dyDescent="0.2">
      <c r="A8" s="27" t="s">
        <v>152</v>
      </c>
      <c r="B8">
        <v>3114</v>
      </c>
    </row>
    <row r="9" spans="1:2" x14ac:dyDescent="0.2">
      <c r="A9" s="27" t="s">
        <v>153</v>
      </c>
      <c r="B9">
        <v>590</v>
      </c>
    </row>
    <row r="10" spans="1:2" x14ac:dyDescent="0.2">
      <c r="A10" s="27" t="s">
        <v>154</v>
      </c>
      <c r="B10">
        <v>84193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abSelected="1" workbookViewId="0">
      <selection activeCell="A5" sqref="A5:E5"/>
    </sheetView>
  </sheetViews>
  <sheetFormatPr defaultRowHeight="12.75" x14ac:dyDescent="0.2"/>
  <cols>
    <col min="1" max="1" width="11.7109375" bestFit="1" customWidth="1"/>
    <col min="2" max="2" width="46" bestFit="1" customWidth="1"/>
    <col min="6" max="6" width="13.85546875" bestFit="1" customWidth="1"/>
    <col min="7" max="7" width="14.42578125" bestFit="1" customWidth="1"/>
  </cols>
  <sheetData>
    <row r="1" spans="1:7" x14ac:dyDescent="0.2">
      <c r="A1" s="22" t="s">
        <v>125</v>
      </c>
      <c r="B1" s="23" t="s">
        <v>126</v>
      </c>
    </row>
    <row r="2" spans="1:7" x14ac:dyDescent="0.2">
      <c r="A2" s="1"/>
      <c r="B2" s="23" t="s">
        <v>127</v>
      </c>
    </row>
    <row r="3" spans="1:7" x14ac:dyDescent="0.2">
      <c r="A3" s="1"/>
      <c r="B3" s="23" t="s">
        <v>128</v>
      </c>
    </row>
    <row r="4" spans="1:7" ht="21" x14ac:dyDescent="0.35">
      <c r="A4" s="24" t="s">
        <v>134</v>
      </c>
      <c r="B4" s="23"/>
    </row>
    <row r="5" spans="1:7" ht="136.5" customHeight="1" x14ac:dyDescent="0.2">
      <c r="A5" s="28" t="s">
        <v>155</v>
      </c>
      <c r="B5" s="30"/>
      <c r="C5" s="30"/>
      <c r="D5" s="30"/>
      <c r="E5" s="30"/>
    </row>
    <row r="6" spans="1:7" x14ac:dyDescent="0.2">
      <c r="A6" s="1"/>
      <c r="F6" s="25"/>
    </row>
    <row r="7" spans="1:7" x14ac:dyDescent="0.2">
      <c r="A7" s="8" t="s">
        <v>78</v>
      </c>
      <c r="B7" t="s">
        <v>79</v>
      </c>
      <c r="C7" s="9" t="s">
        <v>80</v>
      </c>
      <c r="D7" s="25" t="s">
        <v>137</v>
      </c>
      <c r="F7" s="25" t="s">
        <v>147</v>
      </c>
      <c r="G7" s="25" t="s">
        <v>138</v>
      </c>
    </row>
    <row r="8" spans="1:7" x14ac:dyDescent="0.2">
      <c r="A8" s="2" t="s">
        <v>0</v>
      </c>
      <c r="B8" s="2" t="s">
        <v>1</v>
      </c>
      <c r="C8" s="3">
        <v>13407</v>
      </c>
      <c r="D8" t="str">
        <f>LEFT(_xlfn.TEXTAFTER($B8, " R "), 2)</f>
        <v>13</v>
      </c>
      <c r="F8" t="s">
        <v>142</v>
      </c>
      <c r="G8">
        <v>33259</v>
      </c>
    </row>
    <row r="9" spans="1:7" x14ac:dyDescent="0.2">
      <c r="A9" s="2" t="s">
        <v>2</v>
      </c>
      <c r="B9" s="2" t="s">
        <v>3</v>
      </c>
      <c r="C9" s="3">
        <v>4660</v>
      </c>
      <c r="D9" t="str">
        <f t="shared" ref="D9:D48" si="0">LEFT(_xlfn.TEXTAFTER($B9, " R "), 2)</f>
        <v>14</v>
      </c>
      <c r="F9" t="s">
        <v>141</v>
      </c>
      <c r="G9">
        <v>18257</v>
      </c>
    </row>
    <row r="10" spans="1:7" x14ac:dyDescent="0.2">
      <c r="A10" s="2" t="s">
        <v>4</v>
      </c>
      <c r="B10" s="2" t="s">
        <v>5</v>
      </c>
      <c r="C10" s="3">
        <v>4194</v>
      </c>
      <c r="D10" t="str">
        <f t="shared" si="0"/>
        <v>14</v>
      </c>
      <c r="F10" t="s">
        <v>143</v>
      </c>
      <c r="G10">
        <v>15566</v>
      </c>
    </row>
    <row r="11" spans="1:7" x14ac:dyDescent="0.2">
      <c r="A11" s="2" t="s">
        <v>6</v>
      </c>
      <c r="B11" s="2" t="s">
        <v>7</v>
      </c>
      <c r="C11" s="3">
        <v>9261</v>
      </c>
      <c r="D11" t="str">
        <f t="shared" si="0"/>
        <v>15</v>
      </c>
      <c r="F11" t="s">
        <v>140</v>
      </c>
      <c r="G11">
        <v>13407</v>
      </c>
    </row>
    <row r="12" spans="1:7" x14ac:dyDescent="0.2">
      <c r="A12" s="2" t="s">
        <v>8</v>
      </c>
      <c r="B12" s="2" t="s">
        <v>9</v>
      </c>
      <c r="C12" s="2">
        <v>73</v>
      </c>
      <c r="D12" t="str">
        <f t="shared" si="0"/>
        <v>14</v>
      </c>
      <c r="F12" t="s">
        <v>144</v>
      </c>
      <c r="G12">
        <v>3114</v>
      </c>
    </row>
    <row r="13" spans="1:7" x14ac:dyDescent="0.2">
      <c r="A13" s="2" t="s">
        <v>10</v>
      </c>
      <c r="B13" s="2" t="s">
        <v>5</v>
      </c>
      <c r="C13" s="2">
        <v>520</v>
      </c>
      <c r="D13" t="str">
        <f t="shared" si="0"/>
        <v>14</v>
      </c>
      <c r="F13" t="s">
        <v>145</v>
      </c>
      <c r="G13">
        <v>590</v>
      </c>
    </row>
    <row r="14" spans="1:7" x14ac:dyDescent="0.2">
      <c r="A14" s="2" t="s">
        <v>11</v>
      </c>
      <c r="B14" s="2" t="s">
        <v>12</v>
      </c>
      <c r="C14" s="2">
        <v>24</v>
      </c>
      <c r="D14" t="str">
        <f t="shared" si="0"/>
        <v>15</v>
      </c>
    </row>
    <row r="15" spans="1:7" x14ac:dyDescent="0.2">
      <c r="A15" s="2" t="s">
        <v>13</v>
      </c>
      <c r="B15" s="2" t="s">
        <v>14</v>
      </c>
      <c r="C15" s="2">
        <v>25</v>
      </c>
      <c r="D15" t="str">
        <f t="shared" si="0"/>
        <v>15</v>
      </c>
    </row>
    <row r="16" spans="1:7" x14ac:dyDescent="0.2">
      <c r="A16" s="2" t="s">
        <v>15</v>
      </c>
      <c r="B16" s="2" t="s">
        <v>16</v>
      </c>
      <c r="C16" s="2">
        <v>1</v>
      </c>
      <c r="D16" t="str">
        <f t="shared" si="0"/>
        <v>15</v>
      </c>
    </row>
    <row r="17" spans="1:4" x14ac:dyDescent="0.2">
      <c r="A17" s="2" t="s">
        <v>17</v>
      </c>
      <c r="B17" s="2" t="s">
        <v>18</v>
      </c>
      <c r="C17" s="2">
        <v>217</v>
      </c>
      <c r="D17" t="str">
        <f t="shared" si="0"/>
        <v>15</v>
      </c>
    </row>
    <row r="18" spans="1:4" x14ac:dyDescent="0.2">
      <c r="A18" s="2" t="s">
        <v>19</v>
      </c>
      <c r="B18" s="2" t="s">
        <v>20</v>
      </c>
      <c r="C18" s="2">
        <v>107</v>
      </c>
      <c r="D18" t="str">
        <f t="shared" si="0"/>
        <v>16</v>
      </c>
    </row>
    <row r="19" spans="1:4" x14ac:dyDescent="0.2">
      <c r="A19" s="2" t="s">
        <v>21</v>
      </c>
      <c r="B19" s="2" t="s">
        <v>22</v>
      </c>
      <c r="C19" s="2">
        <v>68</v>
      </c>
      <c r="D19" t="str">
        <f t="shared" si="0"/>
        <v>16</v>
      </c>
    </row>
    <row r="20" spans="1:4" x14ac:dyDescent="0.2">
      <c r="A20" s="2" t="s">
        <v>23</v>
      </c>
      <c r="B20" s="2" t="s">
        <v>24</v>
      </c>
      <c r="C20" s="3">
        <v>1042</v>
      </c>
      <c r="D20" t="str">
        <f t="shared" si="0"/>
        <v>16</v>
      </c>
    </row>
    <row r="21" spans="1:4" x14ac:dyDescent="0.2">
      <c r="A21" s="2" t="s">
        <v>25</v>
      </c>
      <c r="B21" s="2" t="s">
        <v>26</v>
      </c>
      <c r="C21" s="3">
        <v>1130</v>
      </c>
      <c r="D21" t="str">
        <f t="shared" si="0"/>
        <v>15</v>
      </c>
    </row>
    <row r="22" spans="1:4" x14ac:dyDescent="0.2">
      <c r="A22" s="2" t="s">
        <v>27</v>
      </c>
      <c r="B22" s="2" t="s">
        <v>28</v>
      </c>
      <c r="C22" s="2">
        <v>805</v>
      </c>
      <c r="D22" t="str">
        <f t="shared" si="0"/>
        <v>15</v>
      </c>
    </row>
    <row r="23" spans="1:4" x14ac:dyDescent="0.2">
      <c r="A23" s="2" t="s">
        <v>29</v>
      </c>
      <c r="B23" s="2" t="s">
        <v>30</v>
      </c>
      <c r="C23" s="3">
        <v>1384</v>
      </c>
      <c r="D23" t="str">
        <f t="shared" si="0"/>
        <v>16</v>
      </c>
    </row>
    <row r="24" spans="1:4" x14ac:dyDescent="0.2">
      <c r="A24" s="2" t="s">
        <v>31</v>
      </c>
      <c r="B24" s="2" t="s">
        <v>32</v>
      </c>
      <c r="C24" s="2">
        <v>688</v>
      </c>
      <c r="D24" t="str">
        <f t="shared" si="0"/>
        <v>16</v>
      </c>
    </row>
    <row r="25" spans="1:4" x14ac:dyDescent="0.2">
      <c r="A25" s="2" t="s">
        <v>33</v>
      </c>
      <c r="B25" s="2" t="s">
        <v>34</v>
      </c>
      <c r="C25" s="2">
        <v>527</v>
      </c>
      <c r="D25" t="str">
        <f t="shared" si="0"/>
        <v>16</v>
      </c>
    </row>
    <row r="26" spans="1:4" x14ac:dyDescent="0.2">
      <c r="A26" s="2" t="s">
        <v>35</v>
      </c>
      <c r="B26" s="2" t="s">
        <v>36</v>
      </c>
      <c r="C26" s="2">
        <v>67</v>
      </c>
      <c r="D26" t="str">
        <f t="shared" si="0"/>
        <v>17</v>
      </c>
    </row>
    <row r="27" spans="1:4" x14ac:dyDescent="0.2">
      <c r="A27" s="2" t="s">
        <v>37</v>
      </c>
      <c r="B27" s="2" t="s">
        <v>38</v>
      </c>
      <c r="C27" s="2">
        <v>20</v>
      </c>
      <c r="D27" t="str">
        <f t="shared" si="0"/>
        <v>16</v>
      </c>
    </row>
    <row r="28" spans="1:4" x14ac:dyDescent="0.2">
      <c r="A28" s="2" t="s">
        <v>39</v>
      </c>
      <c r="B28" s="2" t="s">
        <v>40</v>
      </c>
      <c r="C28" s="3">
        <v>11042</v>
      </c>
      <c r="D28" t="str">
        <f t="shared" si="0"/>
        <v>15</v>
      </c>
    </row>
    <row r="29" spans="1:4" x14ac:dyDescent="0.2">
      <c r="A29" s="2" t="s">
        <v>41</v>
      </c>
      <c r="B29" s="2" t="s">
        <v>12</v>
      </c>
      <c r="C29" s="3">
        <v>5540</v>
      </c>
      <c r="D29" t="str">
        <f t="shared" si="0"/>
        <v>15</v>
      </c>
    </row>
    <row r="30" spans="1:4" x14ac:dyDescent="0.2">
      <c r="A30" s="2" t="s">
        <v>42</v>
      </c>
      <c r="B30" s="2" t="s">
        <v>16</v>
      </c>
      <c r="C30" s="3">
        <v>5211</v>
      </c>
      <c r="D30" t="str">
        <f t="shared" si="0"/>
        <v>15</v>
      </c>
    </row>
    <row r="31" spans="1:4" x14ac:dyDescent="0.2">
      <c r="A31" s="2" t="s">
        <v>43</v>
      </c>
      <c r="B31" s="2" t="s">
        <v>44</v>
      </c>
      <c r="C31" s="3">
        <v>6930</v>
      </c>
      <c r="D31" t="str">
        <f t="shared" si="0"/>
        <v>16</v>
      </c>
    </row>
    <row r="32" spans="1:4" x14ac:dyDescent="0.2">
      <c r="A32" s="2" t="s">
        <v>45</v>
      </c>
      <c r="B32" s="2" t="s">
        <v>46</v>
      </c>
      <c r="C32" s="3">
        <v>7610</v>
      </c>
      <c r="D32" t="str">
        <f t="shared" si="0"/>
        <v>14</v>
      </c>
    </row>
    <row r="33" spans="1:4" x14ac:dyDescent="0.2">
      <c r="A33" s="2" t="s">
        <v>47</v>
      </c>
      <c r="B33" s="2" t="s">
        <v>48</v>
      </c>
      <c r="C33" s="2">
        <v>354</v>
      </c>
      <c r="D33" t="str">
        <f t="shared" si="0"/>
        <v>16</v>
      </c>
    </row>
    <row r="34" spans="1:4" x14ac:dyDescent="0.2">
      <c r="A34" s="2" t="s">
        <v>49</v>
      </c>
      <c r="B34" s="2" t="s">
        <v>50</v>
      </c>
      <c r="C34" s="2">
        <v>635</v>
      </c>
      <c r="D34" t="str">
        <f t="shared" si="0"/>
        <v>17</v>
      </c>
    </row>
    <row r="35" spans="1:4" x14ac:dyDescent="0.2">
      <c r="A35" s="2" t="s">
        <v>51</v>
      </c>
      <c r="B35" s="2" t="s">
        <v>52</v>
      </c>
      <c r="C35" s="2">
        <v>41</v>
      </c>
      <c r="D35" t="str">
        <f t="shared" si="0"/>
        <v>17</v>
      </c>
    </row>
    <row r="36" spans="1:4" x14ac:dyDescent="0.2">
      <c r="A36" s="2" t="s">
        <v>53</v>
      </c>
      <c r="B36" s="2" t="s">
        <v>54</v>
      </c>
      <c r="C36" s="2">
        <v>230</v>
      </c>
      <c r="D36" t="str">
        <f t="shared" si="0"/>
        <v>18</v>
      </c>
    </row>
    <row r="37" spans="1:4" x14ac:dyDescent="0.2">
      <c r="A37" s="2" t="s">
        <v>55</v>
      </c>
      <c r="B37" s="2" t="s">
        <v>56</v>
      </c>
      <c r="C37" s="2">
        <v>94</v>
      </c>
      <c r="D37" t="str">
        <f t="shared" si="0"/>
        <v>17</v>
      </c>
    </row>
    <row r="38" spans="1:4" x14ac:dyDescent="0.2">
      <c r="A38" s="2" t="s">
        <v>57</v>
      </c>
      <c r="B38" s="2" t="s">
        <v>58</v>
      </c>
      <c r="C38" s="2">
        <v>74</v>
      </c>
      <c r="D38" t="str">
        <f t="shared" si="0"/>
        <v>16</v>
      </c>
    </row>
    <row r="39" spans="1:4" x14ac:dyDescent="0.2">
      <c r="A39" s="2" t="s">
        <v>59</v>
      </c>
      <c r="B39" s="2" t="s">
        <v>60</v>
      </c>
      <c r="C39" s="2">
        <v>36</v>
      </c>
      <c r="D39" t="str">
        <f t="shared" si="0"/>
        <v>16</v>
      </c>
    </row>
    <row r="40" spans="1:4" x14ac:dyDescent="0.2">
      <c r="A40" s="2" t="s">
        <v>61</v>
      </c>
      <c r="B40" s="2" t="s">
        <v>62</v>
      </c>
      <c r="C40" s="2">
        <v>5</v>
      </c>
      <c r="D40" t="str">
        <f t="shared" si="0"/>
        <v>16</v>
      </c>
    </row>
    <row r="41" spans="1:4" x14ac:dyDescent="0.2">
      <c r="A41" s="2" t="s">
        <v>63</v>
      </c>
      <c r="B41" s="2" t="s">
        <v>64</v>
      </c>
      <c r="C41" s="2">
        <v>3</v>
      </c>
      <c r="D41" t="str">
        <f t="shared" si="0"/>
        <v>15</v>
      </c>
    </row>
    <row r="42" spans="1:4" x14ac:dyDescent="0.2">
      <c r="A42" s="2" t="s">
        <v>65</v>
      </c>
      <c r="B42" s="2" t="s">
        <v>66</v>
      </c>
      <c r="C42" s="2">
        <v>360</v>
      </c>
      <c r="D42" t="str">
        <f t="shared" si="0"/>
        <v>18</v>
      </c>
    </row>
    <row r="43" spans="1:4" x14ac:dyDescent="0.2">
      <c r="A43" s="2" t="s">
        <v>67</v>
      </c>
      <c r="B43" s="2" t="s">
        <v>68</v>
      </c>
      <c r="C43" s="2">
        <v>59</v>
      </c>
      <c r="D43" t="str">
        <f t="shared" si="0"/>
        <v>17</v>
      </c>
    </row>
    <row r="44" spans="1:4" x14ac:dyDescent="0.2">
      <c r="A44" s="2" t="s">
        <v>69</v>
      </c>
      <c r="B44" s="2" t="s">
        <v>20</v>
      </c>
      <c r="C44" s="3">
        <v>1936</v>
      </c>
      <c r="D44" t="str">
        <f t="shared" si="0"/>
        <v>16</v>
      </c>
    </row>
    <row r="45" spans="1:4" x14ac:dyDescent="0.2">
      <c r="A45" s="2" t="s">
        <v>70</v>
      </c>
      <c r="B45" s="2" t="s">
        <v>71</v>
      </c>
      <c r="C45" s="3">
        <v>2395</v>
      </c>
      <c r="D45" t="str">
        <f t="shared" si="0"/>
        <v>16</v>
      </c>
    </row>
    <row r="46" spans="1:4" x14ac:dyDescent="0.2">
      <c r="A46" s="2" t="s">
        <v>72</v>
      </c>
      <c r="B46" s="2" t="s">
        <v>73</v>
      </c>
      <c r="C46" s="3">
        <v>1200</v>
      </c>
      <c r="D46" t="str">
        <f t="shared" si="0"/>
        <v>14</v>
      </c>
    </row>
    <row r="47" spans="1:4" x14ac:dyDescent="0.2">
      <c r="A47" s="2" t="s">
        <v>74</v>
      </c>
      <c r="B47" s="2" t="s">
        <v>75</v>
      </c>
      <c r="C47" s="3">
        <v>1901</v>
      </c>
      <c r="D47" t="str">
        <f t="shared" si="0"/>
        <v>17</v>
      </c>
    </row>
    <row r="48" spans="1:4" x14ac:dyDescent="0.2">
      <c r="A48" s="2" t="s">
        <v>76</v>
      </c>
      <c r="B48" s="2" t="s">
        <v>77</v>
      </c>
      <c r="C48" s="2">
        <v>317</v>
      </c>
      <c r="D48" t="str">
        <f t="shared" si="0"/>
        <v>17</v>
      </c>
    </row>
  </sheetData>
  <mergeCells count="1">
    <mergeCell ref="A5:E5"/>
  </mergeCells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задание1</vt:lpstr>
      <vt:lpstr>Сводая по диаметрам</vt:lpstr>
      <vt:lpstr>задание2</vt:lpstr>
    </vt:vector>
  </TitlesOfParts>
  <Company>OOO Nokian Tyres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earkhipova</dc:creator>
  <cp:lastModifiedBy>office</cp:lastModifiedBy>
  <dcterms:created xsi:type="dcterms:W3CDTF">2006-12-12T05:59:34Z</dcterms:created>
  <dcterms:modified xsi:type="dcterms:W3CDTF">2025-11-23T13:53:06Z</dcterms:modified>
</cp:coreProperties>
</file>