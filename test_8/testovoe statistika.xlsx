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E1A13C66-4134-4E25-B50B-4AD0B43399EA}" xr6:coauthVersionLast="47" xr6:coauthVersionMax="47" xr10:uidLastSave="{00000000-0000-0000-0000-000000000000}"/>
  <bookViews>
    <workbookView xWindow="-120" yWindow="-120" windowWidth="38595" windowHeight="19365" xr2:uid="{00000000-000D-0000-FFFF-FFFF00000000}"/>
  </bookViews>
  <sheets>
    <sheet name="Лист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H22" i="1"/>
  <c r="G23" i="1"/>
  <c r="H23" i="1"/>
  <c r="G24" i="1"/>
  <c r="H24" i="1"/>
  <c r="G25" i="1"/>
  <c r="H25" i="1"/>
  <c r="G26" i="1"/>
  <c r="H26" i="1"/>
  <c r="G27" i="1"/>
  <c r="H27" i="1"/>
  <c r="G21" i="1"/>
  <c r="H21" i="1"/>
  <c r="F23" i="1"/>
  <c r="F24" i="1"/>
  <c r="F25" i="1"/>
  <c r="F26" i="1"/>
  <c r="F27" i="1"/>
  <c r="D22" i="1"/>
  <c r="D23" i="1"/>
  <c r="D24" i="1"/>
  <c r="D25" i="1"/>
  <c r="D26" i="1"/>
  <c r="D27" i="1"/>
  <c r="D21" i="1"/>
  <c r="C22" i="1"/>
  <c r="E22" i="1"/>
  <c r="F22" i="1"/>
  <c r="C23" i="1"/>
  <c r="E23" i="1"/>
  <c r="C24" i="1"/>
  <c r="E24" i="1"/>
  <c r="C25" i="1"/>
  <c r="E25" i="1"/>
  <c r="C26" i="1"/>
  <c r="E26" i="1"/>
  <c r="C27" i="1"/>
  <c r="E27" i="1"/>
  <c r="F21" i="1"/>
  <c r="C21" i="1"/>
  <c r="E21" i="1"/>
  <c r="C18" i="1"/>
</calcChain>
</file>

<file path=xl/sharedStrings.xml><?xml version="1.0" encoding="utf-8"?>
<sst xmlns="http://schemas.openxmlformats.org/spreadsheetml/2006/main" count="19" uniqueCount="19">
  <si>
    <t xml:space="preserve">Доля МП </t>
  </si>
  <si>
    <t>Квартир</t>
  </si>
  <si>
    <t>Новая История</t>
  </si>
  <si>
    <t>ЖК</t>
  </si>
  <si>
    <t>Специалистов</t>
  </si>
  <si>
    <t>2. Определить, сможете ли вы с доступными ресурсами покрыть необходимую выборку с помощью опроса в мобильном приложении (МП) и специалиста колл-центра</t>
  </si>
  <si>
    <t>Время, дней</t>
  </si>
  <si>
    <t>1. Оценить, какое количество ответов надо собрать, для получения статистически значимых результатов</t>
  </si>
  <si>
    <t>Вы проводите исследование NPS в новом ЖК. В нем 5000 квартир. Вам надо определить выборку, провести опрос через мобильное приложение (вы получите 25% необходимых ответов с помощью МП) и завершить опрос за следующие 10 дней с помощью специалиста колл-центра, который может заполнять 10 анкет в день</t>
  </si>
  <si>
    <t>4. Объяснить полученный объем выборки с точки зрения статистики: какой доверительный интервал для рассчитанного значения NPS может быть получен при заданных вами условиях и какова его ожидаемая точность.</t>
  </si>
  <si>
    <t>Максимум анкет заполнено</t>
  </si>
  <si>
    <t>Специалист КЦ заполнит в день анкет</t>
  </si>
  <si>
    <t>Доверительный интервал</t>
  </si>
  <si>
    <t>Z-score</t>
  </si>
  <si>
    <t>Размер выборки</t>
  </si>
  <si>
    <t>Погрешность в натуральной величине</t>
  </si>
  <si>
    <t>Доля признака</t>
  </si>
  <si>
    <t>3. Если ресурса на сбор ответов не хватате - уточнить выборку</t>
  </si>
  <si>
    <r>
      <rPr>
        <b/>
        <sz val="14"/>
        <color theme="1"/>
        <rFont val="Calibri"/>
        <family val="2"/>
        <scheme val="minor"/>
      </rPr>
      <t>Вывод</t>
    </r>
    <r>
      <rPr>
        <sz val="14"/>
        <color theme="1"/>
        <rFont val="Calibri"/>
        <family val="2"/>
        <scheme val="minor"/>
      </rPr>
      <t>: Необходимый размер выборки выделен зеленым в расчетах выше. Мы хотим максимизировать доверительный интервал и минимизировать погрешность в натуральной величине. Первое, разумеется, важнее. Поэтому лучшим вариантом будет 97%-ый интервал с погрешностью в 10%. Соотвественно, для участвия в опросе необходимо 90 человек.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</si>
</sst>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9" fontId="0" fillId="0" borderId="1" xfId="0" applyNumberFormat="1" applyBorder="1"/>
    <xf numFmtId="0" fontId="1" fillId="0" borderId="0" xfId="0" applyFont="1" applyAlignment="1">
      <alignment horizontal="center" wrapText="1"/>
    </xf>
    <xf numFmtId="9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0" borderId="1" xfId="0" applyFill="1" applyBorder="1"/>
    <xf numFmtId="0" fontId="2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41"/>
  <sheetViews>
    <sheetView tabSelected="1" workbookViewId="0">
      <selection activeCell="M32" sqref="M32"/>
    </sheetView>
  </sheetViews>
  <sheetFormatPr defaultRowHeight="15" x14ac:dyDescent="0.25"/>
  <cols>
    <col min="2" max="2" width="31.140625" customWidth="1"/>
    <col min="3" max="3" width="18.140625" customWidth="1"/>
  </cols>
  <sheetData>
    <row r="2" spans="2:17" x14ac:dyDescent="0.25">
      <c r="B2" s="4" t="s">
        <v>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x14ac:dyDescent="0.2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5.25" customHeight="1" x14ac:dyDescent="0.2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x14ac:dyDescent="0.25">
      <c r="B5" t="s">
        <v>7</v>
      </c>
    </row>
    <row r="6" spans="2:17" x14ac:dyDescent="0.25">
      <c r="B6" t="s">
        <v>5</v>
      </c>
    </row>
    <row r="7" spans="2:17" x14ac:dyDescent="0.25">
      <c r="B7" t="s">
        <v>17</v>
      </c>
    </row>
    <row r="8" spans="2:17" x14ac:dyDescent="0.25">
      <c r="B8" t="s">
        <v>9</v>
      </c>
    </row>
    <row r="12" spans="2:17" x14ac:dyDescent="0.25">
      <c r="B12" s="1" t="s">
        <v>3</v>
      </c>
      <c r="C12" s="2" t="s">
        <v>2</v>
      </c>
    </row>
    <row r="13" spans="2:17" x14ac:dyDescent="0.25">
      <c r="B13" s="1" t="s">
        <v>1</v>
      </c>
      <c r="C13" s="1">
        <v>5000</v>
      </c>
    </row>
    <row r="14" spans="2:17" x14ac:dyDescent="0.25">
      <c r="B14" s="1" t="s">
        <v>0</v>
      </c>
      <c r="C14" s="3">
        <v>0.25</v>
      </c>
      <c r="D14" t="s">
        <v>16</v>
      </c>
    </row>
    <row r="15" spans="2:17" x14ac:dyDescent="0.25">
      <c r="B15" s="1" t="s">
        <v>11</v>
      </c>
      <c r="C15" s="2">
        <v>10</v>
      </c>
    </row>
    <row r="16" spans="2:17" x14ac:dyDescent="0.25">
      <c r="B16" s="1" t="s">
        <v>6</v>
      </c>
      <c r="C16" s="1">
        <v>10</v>
      </c>
    </row>
    <row r="17" spans="2:9" x14ac:dyDescent="0.25">
      <c r="B17" s="1" t="s">
        <v>4</v>
      </c>
      <c r="C17" s="1">
        <v>1</v>
      </c>
    </row>
    <row r="18" spans="2:9" x14ac:dyDescent="0.25">
      <c r="B18" s="8" t="s">
        <v>10</v>
      </c>
      <c r="C18" s="1">
        <f>PRODUCT(C15:C17)</f>
        <v>100</v>
      </c>
    </row>
    <row r="19" spans="2:9" x14ac:dyDescent="0.25">
      <c r="B19" s="8" t="s">
        <v>12</v>
      </c>
      <c r="C19" s="5">
        <v>0.8</v>
      </c>
      <c r="D19" s="5">
        <v>0.85</v>
      </c>
      <c r="E19" s="5">
        <v>0.9</v>
      </c>
      <c r="F19" s="5">
        <v>0.95</v>
      </c>
      <c r="G19" s="5">
        <v>0.97</v>
      </c>
      <c r="H19" s="5">
        <v>0.99</v>
      </c>
    </row>
    <row r="20" spans="2:9" x14ac:dyDescent="0.25">
      <c r="B20" s="8" t="s">
        <v>13</v>
      </c>
      <c r="C20">
        <v>1.28</v>
      </c>
      <c r="D20">
        <v>1.44</v>
      </c>
      <c r="E20">
        <v>1.64</v>
      </c>
      <c r="F20">
        <v>1.96</v>
      </c>
      <c r="G20">
        <v>2.1800000000000002</v>
      </c>
      <c r="H20">
        <v>2.58</v>
      </c>
      <c r="I20" t="s">
        <v>15</v>
      </c>
    </row>
    <row r="21" spans="2:9" x14ac:dyDescent="0.25">
      <c r="B21" s="8" t="s">
        <v>14</v>
      </c>
      <c r="C21" s="6">
        <f>(C$20^2 * $C$14 * (1-$C$14) / ($I21)^2)</f>
        <v>3072</v>
      </c>
      <c r="D21" s="6">
        <f>(D$20^2 * $C$14 * (1-$C$14) / ($I21)^2)</f>
        <v>3887.9999999999995</v>
      </c>
      <c r="E21" s="6">
        <f>(E$20^2 * $C$14 * (1-$C$14) / ($I21)^2)</f>
        <v>5042.9999999999991</v>
      </c>
      <c r="F21" s="6">
        <f>(F$20^2 * $C$14 * (1-$C$14) / ($I21)^2)</f>
        <v>7202.9999999999991</v>
      </c>
      <c r="G21" s="6">
        <f t="shared" ref="G21:H27" si="0">(G$20^2 * $C$14 * (1-$C$14) / ($I21)^2)</f>
        <v>8910.75</v>
      </c>
      <c r="H21" s="6">
        <f t="shared" si="0"/>
        <v>12480.75</v>
      </c>
      <c r="I21" s="7">
        <v>0.01</v>
      </c>
    </row>
    <row r="22" spans="2:9" x14ac:dyDescent="0.25">
      <c r="C22" s="6">
        <f>(C$20^2 * $C$14 * (1-$C$14) / ($I22)^2)</f>
        <v>122.87999999999998</v>
      </c>
      <c r="D22" s="6">
        <f>(D$20^2 * $C$14 * (1-$C$14) / ($I22)^2)</f>
        <v>155.51999999999995</v>
      </c>
      <c r="E22" s="6">
        <f>(E$20^2 * $C$14 * (1-$C$14) / ($I22)^2)</f>
        <v>201.71999999999994</v>
      </c>
      <c r="F22" s="6">
        <f>(F$20^2 * $C$14 * (1-$C$14) / ($I22)^2)</f>
        <v>288.11999999999995</v>
      </c>
      <c r="G22" s="6">
        <f t="shared" si="0"/>
        <v>356.42999999999995</v>
      </c>
      <c r="H22" s="6">
        <f t="shared" si="0"/>
        <v>499.2299999999999</v>
      </c>
      <c r="I22" s="5">
        <v>0.05</v>
      </c>
    </row>
    <row r="23" spans="2:9" x14ac:dyDescent="0.25">
      <c r="C23" s="6">
        <f>(C$20^2 * $C$14 * (1-$C$14) / ($I23)^2)</f>
        <v>85.333333333333343</v>
      </c>
      <c r="D23" s="6">
        <f>(D$20^2 * $C$14 * (1-$C$14) / ($I23)^2)</f>
        <v>108</v>
      </c>
      <c r="E23" s="6">
        <f>(E$20^2 * $C$14 * (1-$C$14) / ($I23)^2)</f>
        <v>140.08333333333334</v>
      </c>
      <c r="F23" s="6">
        <f>(F$20^2 * $C$14 * (1-$C$14) / ($I23)^2)</f>
        <v>200.08333333333331</v>
      </c>
      <c r="G23" s="6">
        <f t="shared" si="0"/>
        <v>247.52083333333337</v>
      </c>
      <c r="H23" s="6">
        <f t="shared" si="0"/>
        <v>346.6875</v>
      </c>
      <c r="I23" s="5">
        <v>0.06</v>
      </c>
    </row>
    <row r="24" spans="2:9" x14ac:dyDescent="0.25">
      <c r="C24" s="6">
        <f>(C$20^2 * $C$14 * (1-$C$14) / ($I24)^2)</f>
        <v>62.693877551020407</v>
      </c>
      <c r="D24" s="6">
        <f>(D$20^2 * $C$14 * (1-$C$14) / ($I24)^2)</f>
        <v>79.346938775510182</v>
      </c>
      <c r="E24" s="6">
        <f>(E$20^2 * $C$14 * (1-$C$14) / ($I24)^2)</f>
        <v>102.91836734693875</v>
      </c>
      <c r="F24" s="6">
        <f>(F$20^2 * $C$14 * (1-$C$14) / ($I24)^2)</f>
        <v>146.99999999999997</v>
      </c>
      <c r="G24" s="6">
        <f t="shared" si="0"/>
        <v>181.85204081632651</v>
      </c>
      <c r="H24" s="6">
        <f t="shared" si="0"/>
        <v>254.70918367346937</v>
      </c>
      <c r="I24" s="5">
        <v>7.0000000000000007E-2</v>
      </c>
    </row>
    <row r="25" spans="2:9" x14ac:dyDescent="0.25">
      <c r="C25" s="6">
        <f>(C$20^2 * $C$14 * (1-$C$14) / ($I25)^2)</f>
        <v>48</v>
      </c>
      <c r="D25" s="6">
        <f>(D$20^2 * $C$14 * (1-$C$14) / ($I25)^2)</f>
        <v>60.749999999999993</v>
      </c>
      <c r="E25" s="6">
        <f>(E$20^2 * $C$14 * (1-$C$14) / ($I25)^2)</f>
        <v>78.796874999999986</v>
      </c>
      <c r="F25" s="6">
        <f>(F$20^2 * $C$14 * (1-$C$14) / ($I25)^2)</f>
        <v>112.54687499999999</v>
      </c>
      <c r="G25" s="6">
        <f t="shared" si="0"/>
        <v>139.23046875</v>
      </c>
      <c r="H25" s="6">
        <f t="shared" si="0"/>
        <v>195.01171875</v>
      </c>
      <c r="I25" s="5">
        <v>0.08</v>
      </c>
    </row>
    <row r="26" spans="2:9" x14ac:dyDescent="0.25">
      <c r="C26" s="6">
        <f>(C$20^2 * $C$14 * (1-$C$14) / ($I26)^2)</f>
        <v>37.925925925925931</v>
      </c>
      <c r="D26" s="6">
        <f>(D$20^2 * $C$14 * (1-$C$14) / ($I26)^2)</f>
        <v>48</v>
      </c>
      <c r="E26" s="6">
        <f>(E$20^2 * $C$14 * (1-$C$14) / ($I26)^2)</f>
        <v>62.25925925925926</v>
      </c>
      <c r="F26" s="6">
        <f>(F$20^2 * $C$14 * (1-$C$14) / ($I26)^2)</f>
        <v>88.925925925925924</v>
      </c>
      <c r="G26" s="6">
        <f t="shared" si="0"/>
        <v>110.00925925925927</v>
      </c>
      <c r="H26" s="6">
        <f t="shared" si="0"/>
        <v>154.08333333333334</v>
      </c>
      <c r="I26" s="5">
        <v>0.09</v>
      </c>
    </row>
    <row r="27" spans="2:9" x14ac:dyDescent="0.25">
      <c r="C27" s="6">
        <f>(C$20^2 * $C$14 * (1-$C$14) / ($I27)^2)</f>
        <v>30.719999999999995</v>
      </c>
      <c r="D27" s="6">
        <f>(D$20^2 * $C$14 * (1-$C$14) / ($I27)^2)</f>
        <v>38.879999999999988</v>
      </c>
      <c r="E27" s="6">
        <f>(E$20^2 * $C$14 * (1-$C$14) / ($I27)^2)</f>
        <v>50.429999999999986</v>
      </c>
      <c r="F27" s="6">
        <f>(F$20^2 * $C$14 * (1-$C$14) / ($I27)^2)</f>
        <v>72.029999999999987</v>
      </c>
      <c r="G27" s="6">
        <f t="shared" si="0"/>
        <v>89.107499999999987</v>
      </c>
      <c r="H27" s="6">
        <f t="shared" si="0"/>
        <v>124.80749999999998</v>
      </c>
      <c r="I27" s="5">
        <v>0.1</v>
      </c>
    </row>
    <row r="28" spans="2:9" x14ac:dyDescent="0.25">
      <c r="F28" s="5"/>
    </row>
    <row r="29" spans="2:9" ht="15" customHeight="1" x14ac:dyDescent="0.25">
      <c r="B29" s="12" t="s">
        <v>18</v>
      </c>
      <c r="C29" s="11"/>
      <c r="D29" s="11"/>
      <c r="E29" s="11"/>
      <c r="F29" s="11"/>
      <c r="G29" s="10"/>
      <c r="H29" s="10"/>
    </row>
    <row r="30" spans="2:9" ht="15" customHeight="1" x14ac:dyDescent="0.25">
      <c r="B30" s="11"/>
      <c r="C30" s="11"/>
      <c r="D30" s="11"/>
      <c r="E30" s="11"/>
      <c r="F30" s="11"/>
      <c r="G30" s="9"/>
      <c r="H30" s="9"/>
    </row>
    <row r="31" spans="2:9" ht="15" customHeight="1" x14ac:dyDescent="0.25">
      <c r="B31" s="11"/>
      <c r="C31" s="11"/>
      <c r="D31" s="11"/>
      <c r="E31" s="11"/>
      <c r="F31" s="11"/>
      <c r="G31" s="9"/>
      <c r="H31" s="9"/>
    </row>
    <row r="32" spans="2:9" ht="15" customHeight="1" x14ac:dyDescent="0.25">
      <c r="B32" s="11"/>
      <c r="C32" s="11"/>
      <c r="D32" s="11"/>
      <c r="E32" s="11"/>
      <c r="F32" s="11"/>
      <c r="G32" s="9"/>
      <c r="H32" s="9"/>
    </row>
    <row r="33" spans="2:6" x14ac:dyDescent="0.25">
      <c r="B33" s="11"/>
      <c r="C33" s="11"/>
      <c r="D33" s="11"/>
      <c r="E33" s="11"/>
      <c r="F33" s="11"/>
    </row>
    <row r="34" spans="2:6" x14ac:dyDescent="0.25">
      <c r="B34" s="11"/>
      <c r="C34" s="11"/>
      <c r="D34" s="11"/>
      <c r="E34" s="11"/>
      <c r="F34" s="11"/>
    </row>
    <row r="35" spans="2:6" x14ac:dyDescent="0.25">
      <c r="B35" s="11"/>
      <c r="C35" s="11"/>
      <c r="D35" s="11"/>
      <c r="E35" s="11"/>
      <c r="F35" s="11"/>
    </row>
    <row r="36" spans="2:6" x14ac:dyDescent="0.25">
      <c r="B36" s="11"/>
      <c r="C36" s="11"/>
      <c r="D36" s="11"/>
      <c r="E36" s="11"/>
      <c r="F36" s="11"/>
    </row>
    <row r="37" spans="2:6" x14ac:dyDescent="0.25">
      <c r="B37" s="11"/>
      <c r="C37" s="11"/>
      <c r="D37" s="11"/>
      <c r="E37" s="11"/>
      <c r="F37" s="11"/>
    </row>
    <row r="38" spans="2:6" x14ac:dyDescent="0.25">
      <c r="B38" s="11"/>
      <c r="C38" s="11"/>
      <c r="D38" s="11"/>
      <c r="E38" s="11"/>
      <c r="F38" s="11"/>
    </row>
    <row r="39" spans="2:6" x14ac:dyDescent="0.25">
      <c r="B39" s="11"/>
      <c r="C39" s="11"/>
      <c r="D39" s="11"/>
      <c r="E39" s="11"/>
      <c r="F39" s="11"/>
    </row>
    <row r="40" spans="2:6" x14ac:dyDescent="0.25">
      <c r="B40" s="11"/>
      <c r="C40" s="11"/>
      <c r="D40" s="11"/>
      <c r="E40" s="11"/>
      <c r="F40" s="11"/>
    </row>
    <row r="41" spans="2:6" x14ac:dyDescent="0.25">
      <c r="B41" s="11"/>
      <c r="C41" s="11"/>
      <c r="D41" s="11"/>
      <c r="E41" s="11"/>
      <c r="F41" s="11"/>
    </row>
  </sheetData>
  <mergeCells count="2">
    <mergeCell ref="B2:Q4"/>
    <mergeCell ref="B29:F41"/>
  </mergeCells>
  <conditionalFormatting sqref="C21:H27">
    <cfRule type="cellIs" dxfId="0" priority="1" operator="lessThan">
      <formula>$C$18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Литун Кирилл Валерьевич</dc:creator>
  <cp:lastModifiedBy>office</cp:lastModifiedBy>
  <dcterms:created xsi:type="dcterms:W3CDTF">2025-08-11T09:27:39Z</dcterms:created>
  <dcterms:modified xsi:type="dcterms:W3CDTF">2025-09-15T14:02:27Z</dcterms:modified>
</cp:coreProperties>
</file>