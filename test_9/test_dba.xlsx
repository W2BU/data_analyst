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ЭтаКнига" hidePivotFieldList="1"/>
  <mc:AlternateContent xmlns:mc="http://schemas.openxmlformats.org/markup-compatibility/2006">
    <mc:Choice Requires="x15">
      <x15ac:absPath xmlns:x15ac="http://schemas.microsoft.com/office/spreadsheetml/2010/11/ac" url="Z:\vedexx\"/>
    </mc:Choice>
  </mc:AlternateContent>
  <xr:revisionPtr revIDLastSave="0" documentId="13_ncr:1_{B033DBA0-06E4-4CB0-8925-D8FA37C58956}" xr6:coauthVersionLast="47" xr6:coauthVersionMax="47" xr10:uidLastSave="{00000000-0000-0000-0000-000000000000}"/>
  <bookViews>
    <workbookView xWindow="-120" yWindow="-120" windowWidth="38610" windowHeight="17010" tabRatio="778" activeTab="9" xr2:uid="{00000000-000D-0000-FFFF-FFFF00000000}"/>
  </bookViews>
  <sheets>
    <sheet name="Инструкция к работе" sheetId="17" r:id="rId1"/>
    <sheet name="Фрахт" sheetId="12" r:id="rId2"/>
    <sheet name="Фрахт Транс" sheetId="18" r:id="rId3"/>
    <sheet name="Drop off" sheetId="14" r:id="rId4"/>
    <sheet name="ж.д." sheetId="13" r:id="rId5"/>
    <sheet name="Охрана" sheetId="15" r:id="rId6"/>
    <sheet name="Москва" sheetId="8" r:id="rId7"/>
    <sheet name="СПБ" sheetId="11" r:id="rId8"/>
    <sheet name="Новосибирск" sheetId="9" r:id="rId9"/>
    <sheet name="Екатеринбург" sheetId="10" r:id="rId10"/>
  </sheets>
  <definedNames>
    <definedName name="_xlnm._FilterDatabase" localSheetId="9" hidden="1">Екатеринбург!$B$1:$S$64</definedName>
    <definedName name="_xlnm._FilterDatabase" localSheetId="4" hidden="1">'ж.д.'!$B$24:$D$26</definedName>
    <definedName name="_xlnm._FilterDatabase" localSheetId="6" hidden="1">Москва!$A$2:$AD$71</definedName>
    <definedName name="_xlnm._FilterDatabase" localSheetId="8" hidden="1">Новосибирск!$B$1:$AJ$64</definedName>
    <definedName name="_xlnm._FilterDatabase" localSheetId="7" hidden="1">СПБ!$Q$2:$S$2</definedName>
    <definedName name="_xlnm._FilterDatabase" localSheetId="1">Фрахт!$A$2:$E$75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10" l="1" a="1"/>
  <c r="E4" i="10" s="1"/>
  <c r="F4" i="10" a="1"/>
  <c r="F4" i="10"/>
  <c r="E5" i="10" a="1"/>
  <c r="E5" i="10" s="1"/>
  <c r="F5" i="10" a="1"/>
  <c r="F5" i="10" s="1"/>
  <c r="E6" i="10" a="1"/>
  <c r="E6" i="10" s="1"/>
  <c r="F6" i="10" a="1"/>
  <c r="F6" i="10" s="1"/>
  <c r="E7" i="10" a="1"/>
  <c r="E7" i="10" s="1"/>
  <c r="F7" i="10" a="1"/>
  <c r="F7" i="10" s="1"/>
  <c r="E8" i="10" a="1"/>
  <c r="E8" i="10" s="1"/>
  <c r="F8" i="10" a="1"/>
  <c r="F8" i="10" s="1"/>
  <c r="E9" i="10" a="1"/>
  <c r="E9" i="10" s="1"/>
  <c r="F9" i="10" a="1"/>
  <c r="F9" i="10"/>
  <c r="E10" i="10" a="1"/>
  <c r="E10" i="10" s="1"/>
  <c r="F10" i="10" a="1"/>
  <c r="F10" i="10" s="1"/>
  <c r="E11" i="10" a="1"/>
  <c r="E11" i="10" s="1"/>
  <c r="F11" i="10" a="1"/>
  <c r="F11" i="10"/>
  <c r="E12" i="10" a="1"/>
  <c r="E12" i="10" s="1"/>
  <c r="F12" i="10" a="1"/>
  <c r="F12" i="10" s="1"/>
  <c r="E13" i="10" a="1"/>
  <c r="E13" i="10" s="1"/>
  <c r="F13" i="10" a="1"/>
  <c r="F13" i="10" s="1"/>
  <c r="E14" i="10" a="1"/>
  <c r="E14" i="10" s="1"/>
  <c r="F14" i="10" a="1"/>
  <c r="F14" i="10" s="1"/>
  <c r="E15" i="10" a="1"/>
  <c r="E15" i="10" s="1"/>
  <c r="F15" i="10" a="1"/>
  <c r="F15" i="10"/>
  <c r="E16" i="10" a="1"/>
  <c r="E16" i="10" s="1"/>
  <c r="F16" i="10" a="1"/>
  <c r="F16" i="10" s="1"/>
  <c r="E17" i="10" a="1"/>
  <c r="E17" i="10" s="1"/>
  <c r="F17" i="10" a="1"/>
  <c r="F17" i="10" s="1"/>
  <c r="E18" i="10" a="1"/>
  <c r="E18" i="10" s="1"/>
  <c r="F18" i="10" a="1"/>
  <c r="F18" i="10" s="1"/>
  <c r="E19" i="10" a="1"/>
  <c r="E19" i="10" s="1"/>
  <c r="F19" i="10" a="1"/>
  <c r="F19" i="10" s="1"/>
  <c r="E20" i="10" a="1"/>
  <c r="E20" i="10"/>
  <c r="F20" i="10" a="1"/>
  <c r="F20" i="10" s="1"/>
  <c r="E21" i="10" a="1"/>
  <c r="E21" i="10" s="1"/>
  <c r="F21" i="10" a="1"/>
  <c r="F21" i="10" s="1"/>
  <c r="E22" i="10" a="1"/>
  <c r="E22" i="10"/>
  <c r="F22" i="10" a="1"/>
  <c r="F22" i="10" s="1"/>
  <c r="E23" i="10" a="1"/>
  <c r="E23" i="10" s="1"/>
  <c r="F23" i="10" a="1"/>
  <c r="F23" i="10" s="1"/>
  <c r="E24" i="10" a="1"/>
  <c r="E24" i="10" s="1"/>
  <c r="F24" i="10" a="1"/>
  <c r="F24" i="10"/>
  <c r="E25" i="10" a="1"/>
  <c r="E25" i="10" s="1"/>
  <c r="F25" i="10" a="1"/>
  <c r="F25" i="10" s="1"/>
  <c r="E26" i="10" a="1"/>
  <c r="E26" i="10" s="1"/>
  <c r="F26" i="10" a="1"/>
  <c r="F26" i="10"/>
  <c r="E27" i="10" a="1"/>
  <c r="E27" i="10" s="1"/>
  <c r="F27" i="10" a="1"/>
  <c r="F27" i="10" s="1"/>
  <c r="E28" i="10" a="1"/>
  <c r="E28" i="10" s="1"/>
  <c r="F28" i="10" a="1"/>
  <c r="F28" i="10"/>
  <c r="E29" i="10" a="1"/>
  <c r="E29" i="10" s="1"/>
  <c r="F29" i="10" a="1"/>
  <c r="F29" i="10" s="1"/>
  <c r="E30" i="10" a="1"/>
  <c r="E30" i="10" s="1"/>
  <c r="F30" i="10" a="1"/>
  <c r="F30" i="10" s="1"/>
  <c r="E31" i="10" a="1"/>
  <c r="E31" i="10" s="1"/>
  <c r="F31" i="10" a="1"/>
  <c r="F31" i="10" s="1"/>
  <c r="E32" i="10" a="1"/>
  <c r="E32" i="10" s="1"/>
  <c r="F32" i="10" a="1"/>
  <c r="F32" i="10" s="1"/>
  <c r="E33" i="10" a="1"/>
  <c r="E33" i="10" s="1"/>
  <c r="F33" i="10" a="1"/>
  <c r="F33" i="10" s="1"/>
  <c r="E34" i="10" a="1"/>
  <c r="E34" i="10" s="1"/>
  <c r="F34" i="10" a="1"/>
  <c r="F34" i="10" s="1"/>
  <c r="E35" i="10" a="1"/>
  <c r="E35" i="10" s="1"/>
  <c r="F35" i="10" a="1"/>
  <c r="F35" i="10" s="1"/>
  <c r="E36" i="10" a="1"/>
  <c r="E36" i="10" s="1"/>
  <c r="F36" i="10" a="1"/>
  <c r="F36" i="10"/>
  <c r="E37" i="10" a="1"/>
  <c r="E37" i="10" s="1"/>
  <c r="F37" i="10" a="1"/>
  <c r="F37" i="10"/>
  <c r="E38" i="10" a="1"/>
  <c r="E38" i="10" s="1"/>
  <c r="F38" i="10" a="1"/>
  <c r="F38" i="10" s="1"/>
  <c r="E39" i="10" a="1"/>
  <c r="E39" i="10" s="1"/>
  <c r="F39" i="10" a="1"/>
  <c r="F39" i="10" s="1"/>
  <c r="E40" i="10" a="1"/>
  <c r="E40" i="10" s="1"/>
  <c r="F40" i="10" a="1"/>
  <c r="F40" i="10" s="1"/>
  <c r="E41" i="10" a="1"/>
  <c r="E41" i="10" s="1"/>
  <c r="F41" i="10" a="1"/>
  <c r="F41" i="10" s="1"/>
  <c r="E42" i="10" a="1"/>
  <c r="E42" i="10" s="1"/>
  <c r="F42" i="10" a="1"/>
  <c r="F42" i="10" s="1"/>
  <c r="E43" i="10" a="1"/>
  <c r="E43" i="10" s="1"/>
  <c r="F43" i="10" a="1"/>
  <c r="F43" i="10" s="1"/>
  <c r="E44" i="10" a="1"/>
  <c r="E44" i="10"/>
  <c r="F44" i="10" a="1"/>
  <c r="F44" i="10" s="1"/>
  <c r="E45" i="10" a="1"/>
  <c r="E45" i="10" s="1"/>
  <c r="F45" i="10" a="1"/>
  <c r="F45" i="10" s="1"/>
  <c r="E46" i="10" a="1"/>
  <c r="E46" i="10" s="1"/>
  <c r="F46" i="10" a="1"/>
  <c r="F46" i="10" s="1"/>
  <c r="E47" i="10" a="1"/>
  <c r="E47" i="10" s="1"/>
  <c r="F47" i="10" a="1"/>
  <c r="F47" i="10" s="1"/>
  <c r="E48" i="10" a="1"/>
  <c r="E48" i="10" s="1"/>
  <c r="F48" i="10" a="1"/>
  <c r="F48" i="10" s="1"/>
  <c r="E49" i="10" a="1"/>
  <c r="E49" i="10" s="1"/>
  <c r="F49" i="10" a="1"/>
  <c r="F49" i="10"/>
  <c r="E50" i="10" a="1"/>
  <c r="E50" i="10" s="1"/>
  <c r="F50" i="10" a="1"/>
  <c r="F50" i="10" s="1"/>
  <c r="E51" i="10" a="1"/>
  <c r="E51" i="10" s="1"/>
  <c r="F51" i="10" a="1"/>
  <c r="F51" i="10"/>
  <c r="E52" i="10" a="1"/>
  <c r="E52" i="10" s="1"/>
  <c r="F52" i="10" a="1"/>
  <c r="F52" i="10" s="1"/>
  <c r="E53" i="10" a="1"/>
  <c r="E53" i="10" s="1"/>
  <c r="F53" i="10" a="1"/>
  <c r="F53" i="10"/>
  <c r="E54" i="10" a="1"/>
  <c r="E54" i="10" s="1"/>
  <c r="F54" i="10" a="1"/>
  <c r="F54" i="10" s="1"/>
  <c r="E55" i="10" a="1"/>
  <c r="E55" i="10" s="1"/>
  <c r="F55" i="10" a="1"/>
  <c r="F55" i="10" s="1"/>
  <c r="E56" i="10" a="1"/>
  <c r="E56" i="10" s="1"/>
  <c r="F56" i="10" a="1"/>
  <c r="F56" i="10" s="1"/>
  <c r="E57" i="10" a="1"/>
  <c r="E57" i="10" s="1"/>
  <c r="F57" i="10" a="1"/>
  <c r="F57" i="10" s="1"/>
  <c r="E58" i="10" a="1"/>
  <c r="E58" i="10" s="1"/>
  <c r="F58" i="10" a="1"/>
  <c r="F58" i="10" s="1"/>
  <c r="E59" i="10" a="1"/>
  <c r="E59" i="10" s="1"/>
  <c r="F59" i="10" a="1"/>
  <c r="F59" i="10" s="1"/>
  <c r="E60" i="10" a="1"/>
  <c r="E60" i="10" s="1"/>
  <c r="F60" i="10" a="1"/>
  <c r="F60" i="10"/>
  <c r="E61" i="10" a="1"/>
  <c r="E61" i="10" s="1"/>
  <c r="F61" i="10" a="1"/>
  <c r="F61" i="10" s="1"/>
  <c r="E62" i="10" a="1"/>
  <c r="E62" i="10" s="1"/>
  <c r="F62" i="10" a="1"/>
  <c r="F62" i="10" s="1"/>
  <c r="E63" i="10" a="1"/>
  <c r="E63" i="10" s="1"/>
  <c r="F63" i="10" a="1"/>
  <c r="F63" i="10" s="1"/>
  <c r="E64" i="10" a="1"/>
  <c r="E64" i="10" s="1"/>
  <c r="F64" i="10" a="1"/>
  <c r="F64" i="10" s="1"/>
  <c r="F3" i="10" a="1"/>
  <c r="F3" i="10" s="1"/>
  <c r="E3" i="10" a="1"/>
  <c r="E3" i="10" s="1"/>
  <c r="E4" i="9" a="1"/>
  <c r="E4" i="9" s="1"/>
  <c r="F4" i="9" a="1"/>
  <c r="F4" i="9"/>
  <c r="E5" i="9" a="1"/>
  <c r="E5" i="9" s="1"/>
  <c r="F5" i="9" a="1"/>
  <c r="F5" i="9" s="1"/>
  <c r="E6" i="9" a="1"/>
  <c r="E6" i="9" s="1"/>
  <c r="F6" i="9" a="1"/>
  <c r="F6" i="9" s="1"/>
  <c r="E7" i="9" a="1"/>
  <c r="E7" i="9" s="1"/>
  <c r="F7" i="9" a="1"/>
  <c r="F7" i="9" s="1"/>
  <c r="E8" i="9" a="1"/>
  <c r="E8" i="9" s="1"/>
  <c r="F8" i="9" a="1"/>
  <c r="F8" i="9" s="1"/>
  <c r="E9" i="9" a="1"/>
  <c r="E9" i="9" s="1"/>
  <c r="F9" i="9" a="1"/>
  <c r="F9" i="9" s="1"/>
  <c r="E10" i="9" a="1"/>
  <c r="E10" i="9" s="1"/>
  <c r="F10" i="9" a="1"/>
  <c r="F10" i="9" s="1"/>
  <c r="E11" i="9" a="1"/>
  <c r="E11" i="9" s="1"/>
  <c r="F11" i="9" a="1"/>
  <c r="F11" i="9" s="1"/>
  <c r="E12" i="9" a="1"/>
  <c r="E12" i="9" s="1"/>
  <c r="F12" i="9" a="1"/>
  <c r="F12" i="9" s="1"/>
  <c r="E13" i="9" a="1"/>
  <c r="E13" i="9" s="1"/>
  <c r="F13" i="9" a="1"/>
  <c r="F13" i="9" s="1"/>
  <c r="E14" i="9" a="1"/>
  <c r="E14" i="9" s="1"/>
  <c r="F14" i="9" a="1"/>
  <c r="F14" i="9" s="1"/>
  <c r="E15" i="9" a="1"/>
  <c r="E15" i="9" s="1"/>
  <c r="F15" i="9" a="1"/>
  <c r="F15" i="9" s="1"/>
  <c r="E16" i="9" a="1"/>
  <c r="E16" i="9" s="1"/>
  <c r="F16" i="9" a="1"/>
  <c r="F16" i="9" s="1"/>
  <c r="E17" i="9" a="1"/>
  <c r="E17" i="9" s="1"/>
  <c r="F17" i="9" a="1"/>
  <c r="F17" i="9" s="1"/>
  <c r="E18" i="9" a="1"/>
  <c r="E18" i="9" s="1"/>
  <c r="F18" i="9" a="1"/>
  <c r="F18" i="9" s="1"/>
  <c r="E19" i="9" a="1"/>
  <c r="E19" i="9" s="1"/>
  <c r="F19" i="9" a="1"/>
  <c r="F19" i="9" s="1"/>
  <c r="E20" i="9" a="1"/>
  <c r="E20" i="9" s="1"/>
  <c r="F20" i="9" a="1"/>
  <c r="F20" i="9" s="1"/>
  <c r="E21" i="9" a="1"/>
  <c r="E21" i="9" s="1"/>
  <c r="F21" i="9" a="1"/>
  <c r="F21" i="9" s="1"/>
  <c r="E22" i="9" a="1"/>
  <c r="E22" i="9" s="1"/>
  <c r="F22" i="9" a="1"/>
  <c r="F22" i="9" s="1"/>
  <c r="E23" i="9" a="1"/>
  <c r="E23" i="9" s="1"/>
  <c r="F23" i="9" a="1"/>
  <c r="F23" i="9" s="1"/>
  <c r="E24" i="9" a="1"/>
  <c r="E24" i="9" s="1"/>
  <c r="F24" i="9" a="1"/>
  <c r="F24" i="9" s="1"/>
  <c r="E25" i="9" a="1"/>
  <c r="E25" i="9" s="1"/>
  <c r="F25" i="9" a="1"/>
  <c r="F25" i="9" s="1"/>
  <c r="E26" i="9" a="1"/>
  <c r="E26" i="9" s="1"/>
  <c r="F26" i="9" a="1"/>
  <c r="F26" i="9" s="1"/>
  <c r="E27" i="9" a="1"/>
  <c r="E27" i="9" s="1"/>
  <c r="F27" i="9" a="1"/>
  <c r="F27" i="9" s="1"/>
  <c r="E28" i="9" a="1"/>
  <c r="E28" i="9" s="1"/>
  <c r="F28" i="9" a="1"/>
  <c r="F28" i="9" s="1"/>
  <c r="E29" i="9" a="1"/>
  <c r="E29" i="9" s="1"/>
  <c r="F29" i="9" a="1"/>
  <c r="F29" i="9" s="1"/>
  <c r="E30" i="9" a="1"/>
  <c r="E30" i="9" s="1"/>
  <c r="F30" i="9" a="1"/>
  <c r="F30" i="9" s="1"/>
  <c r="E31" i="9" a="1"/>
  <c r="E31" i="9" s="1"/>
  <c r="F31" i="9" a="1"/>
  <c r="F31" i="9" s="1"/>
  <c r="E32" i="9" a="1"/>
  <c r="E32" i="9" s="1"/>
  <c r="F32" i="9" a="1"/>
  <c r="F32" i="9" s="1"/>
  <c r="E33" i="9" a="1"/>
  <c r="E33" i="9" s="1"/>
  <c r="F33" i="9" a="1"/>
  <c r="F33" i="9" s="1"/>
  <c r="E34" i="9" a="1"/>
  <c r="E34" i="9" s="1"/>
  <c r="F34" i="9" a="1"/>
  <c r="F34" i="9" s="1"/>
  <c r="E35" i="9" a="1"/>
  <c r="E35" i="9" s="1"/>
  <c r="F35" i="9" a="1"/>
  <c r="F35" i="9" s="1"/>
  <c r="E36" i="9" a="1"/>
  <c r="E36" i="9" s="1"/>
  <c r="F36" i="9" a="1"/>
  <c r="F36" i="9" s="1"/>
  <c r="E37" i="9" a="1"/>
  <c r="E37" i="9" s="1"/>
  <c r="F37" i="9" a="1"/>
  <c r="F37" i="9" s="1"/>
  <c r="E38" i="9" a="1"/>
  <c r="E38" i="9" s="1"/>
  <c r="F38" i="9" a="1"/>
  <c r="F38" i="9" s="1"/>
  <c r="E39" i="9" a="1"/>
  <c r="E39" i="9"/>
  <c r="F39" i="9" a="1"/>
  <c r="F39" i="9" s="1"/>
  <c r="E40" i="9" a="1"/>
  <c r="E40" i="9" s="1"/>
  <c r="F40" i="9" a="1"/>
  <c r="F40" i="9" s="1"/>
  <c r="E41" i="9" a="1"/>
  <c r="E41" i="9" s="1"/>
  <c r="F41" i="9" a="1"/>
  <c r="F41" i="9" s="1"/>
  <c r="E42" i="9" a="1"/>
  <c r="E42" i="9" s="1"/>
  <c r="F42" i="9" a="1"/>
  <c r="F42" i="9" s="1"/>
  <c r="E43" i="9" a="1"/>
  <c r="E43" i="9" s="1"/>
  <c r="F43" i="9" a="1"/>
  <c r="F43" i="9" s="1"/>
  <c r="E44" i="9" a="1"/>
  <c r="E44" i="9" s="1"/>
  <c r="F44" i="9" a="1"/>
  <c r="F44" i="9" s="1"/>
  <c r="E45" i="9" a="1"/>
  <c r="E45" i="9" s="1"/>
  <c r="F45" i="9" a="1"/>
  <c r="F45" i="9" s="1"/>
  <c r="E46" i="9" a="1"/>
  <c r="E46" i="9" s="1"/>
  <c r="F46" i="9" a="1"/>
  <c r="F46" i="9" s="1"/>
  <c r="E47" i="9" a="1"/>
  <c r="E47" i="9" s="1"/>
  <c r="F47" i="9" a="1"/>
  <c r="F47" i="9" s="1"/>
  <c r="E48" i="9" a="1"/>
  <c r="E48" i="9" s="1"/>
  <c r="F48" i="9" a="1"/>
  <c r="F48" i="9" s="1"/>
  <c r="E49" i="9" a="1"/>
  <c r="E49" i="9" s="1"/>
  <c r="F49" i="9" a="1"/>
  <c r="F49" i="9" s="1"/>
  <c r="E50" i="9" a="1"/>
  <c r="E50" i="9" s="1"/>
  <c r="F50" i="9" a="1"/>
  <c r="F50" i="9" s="1"/>
  <c r="E51" i="9" a="1"/>
  <c r="E51" i="9" s="1"/>
  <c r="F51" i="9" a="1"/>
  <c r="F51" i="9" s="1"/>
  <c r="E52" i="9" a="1"/>
  <c r="E52" i="9" s="1"/>
  <c r="F52" i="9" a="1"/>
  <c r="F52" i="9" s="1"/>
  <c r="E53" i="9" a="1"/>
  <c r="E53" i="9" s="1"/>
  <c r="F53" i="9" a="1"/>
  <c r="F53" i="9" s="1"/>
  <c r="E54" i="9" a="1"/>
  <c r="E54" i="9" s="1"/>
  <c r="F54" i="9" a="1"/>
  <c r="F54" i="9" s="1"/>
  <c r="E55" i="9" a="1"/>
  <c r="E55" i="9" s="1"/>
  <c r="F55" i="9" a="1"/>
  <c r="F55" i="9" s="1"/>
  <c r="E56" i="9" a="1"/>
  <c r="E56" i="9"/>
  <c r="F56" i="9" a="1"/>
  <c r="F56" i="9" s="1"/>
  <c r="E57" i="9" a="1"/>
  <c r="E57" i="9"/>
  <c r="F57" i="9" a="1"/>
  <c r="F57" i="9" s="1"/>
  <c r="E58" i="9" a="1"/>
  <c r="E58" i="9"/>
  <c r="F58" i="9" a="1"/>
  <c r="F58" i="9" s="1"/>
  <c r="E59" i="9" a="1"/>
  <c r="E59" i="9"/>
  <c r="F59" i="9" a="1"/>
  <c r="F59" i="9" s="1"/>
  <c r="E60" i="9" a="1"/>
  <c r="E60" i="9"/>
  <c r="F60" i="9" a="1"/>
  <c r="F60" i="9" s="1"/>
  <c r="E61" i="9" a="1"/>
  <c r="E61" i="9"/>
  <c r="F61" i="9" a="1"/>
  <c r="F61" i="9" s="1"/>
  <c r="E62" i="9" a="1"/>
  <c r="E62" i="9"/>
  <c r="F62" i="9" a="1"/>
  <c r="F62" i="9" s="1"/>
  <c r="E63" i="9" a="1"/>
  <c r="E63" i="9"/>
  <c r="F63" i="9" a="1"/>
  <c r="F63" i="9" s="1"/>
  <c r="E64" i="9" a="1"/>
  <c r="E64" i="9"/>
  <c r="F64" i="9" a="1"/>
  <c r="F64" i="9" s="1"/>
  <c r="F3" i="9" a="1"/>
  <c r="F3" i="9" s="1"/>
  <c r="E3" i="9" a="1"/>
  <c r="E3" i="9" s="1"/>
  <c r="E4" i="11" a="1"/>
  <c r="E4" i="11" s="1"/>
  <c r="F4" i="11" a="1"/>
  <c r="F4" i="11"/>
  <c r="E5" i="11" a="1"/>
  <c r="E5" i="11" s="1"/>
  <c r="F5" i="11" a="1"/>
  <c r="F5" i="11" s="1"/>
  <c r="E6" i="11" a="1"/>
  <c r="E6" i="11" s="1"/>
  <c r="F6" i="11" a="1"/>
  <c r="F6" i="11"/>
  <c r="E7" i="11" a="1"/>
  <c r="E7" i="11" s="1"/>
  <c r="F7" i="11" a="1"/>
  <c r="F7" i="11" s="1"/>
  <c r="E8" i="11" a="1"/>
  <c r="E8" i="11" s="1"/>
  <c r="F8" i="11" a="1"/>
  <c r="F8" i="11"/>
  <c r="E9" i="11" a="1"/>
  <c r="E9" i="11" s="1"/>
  <c r="F9" i="11" a="1"/>
  <c r="F9" i="11" s="1"/>
  <c r="E10" i="11" a="1"/>
  <c r="E10" i="11" s="1"/>
  <c r="F10" i="11" a="1"/>
  <c r="F10" i="11"/>
  <c r="E11" i="11" a="1"/>
  <c r="E11" i="11" s="1"/>
  <c r="F11" i="11" a="1"/>
  <c r="F11" i="11" s="1"/>
  <c r="E12" i="11" a="1"/>
  <c r="E12" i="11" s="1"/>
  <c r="F12" i="11" a="1"/>
  <c r="F12" i="11"/>
  <c r="E13" i="11" a="1"/>
  <c r="E13" i="11" s="1"/>
  <c r="F13" i="11" a="1"/>
  <c r="F13" i="11" s="1"/>
  <c r="E14" i="11" a="1"/>
  <c r="E14" i="11" s="1"/>
  <c r="F14" i="11" a="1"/>
  <c r="F14" i="11"/>
  <c r="E15" i="11" a="1"/>
  <c r="E15" i="11" s="1"/>
  <c r="F15" i="11" a="1"/>
  <c r="F15" i="11" s="1"/>
  <c r="E16" i="11" a="1"/>
  <c r="E16" i="11" s="1"/>
  <c r="F16" i="11" a="1"/>
  <c r="F16" i="11"/>
  <c r="E17" i="11" a="1"/>
  <c r="E17" i="11" s="1"/>
  <c r="F17" i="11" a="1"/>
  <c r="F17" i="11" s="1"/>
  <c r="E18" i="11" a="1"/>
  <c r="E18" i="11" s="1"/>
  <c r="F18" i="11" a="1"/>
  <c r="F18" i="11" s="1"/>
  <c r="E19" i="11" a="1"/>
  <c r="E19" i="11" s="1"/>
  <c r="F19" i="11" a="1"/>
  <c r="F19" i="11"/>
  <c r="E20" i="11" a="1"/>
  <c r="E20" i="11" s="1"/>
  <c r="F20" i="11" a="1"/>
  <c r="F20" i="11" s="1"/>
  <c r="E21" i="11" a="1"/>
  <c r="E21" i="11" s="1"/>
  <c r="F21" i="11" a="1"/>
  <c r="F21" i="11"/>
  <c r="E22" i="11" a="1"/>
  <c r="E22" i="11" s="1"/>
  <c r="F22" i="11" a="1"/>
  <c r="F22" i="11" s="1"/>
  <c r="E23" i="11" a="1"/>
  <c r="E23" i="11" s="1"/>
  <c r="F23" i="11" a="1"/>
  <c r="F23" i="11" s="1"/>
  <c r="E24" i="11" a="1"/>
  <c r="E24" i="11" s="1"/>
  <c r="F24" i="11" a="1"/>
  <c r="F24" i="11"/>
  <c r="E25" i="11" a="1"/>
  <c r="E25" i="11" s="1"/>
  <c r="F25" i="11" a="1"/>
  <c r="F25" i="11" s="1"/>
  <c r="E26" i="11" a="1"/>
  <c r="E26" i="11" s="1"/>
  <c r="F26" i="11" a="1"/>
  <c r="F26" i="11"/>
  <c r="E27" i="11" a="1"/>
  <c r="E27" i="11" s="1"/>
  <c r="F27" i="11" a="1"/>
  <c r="F27" i="11" s="1"/>
  <c r="E28" i="11" a="1"/>
  <c r="E28" i="11" s="1"/>
  <c r="F28" i="11" a="1"/>
  <c r="F28" i="11"/>
  <c r="E29" i="11" a="1"/>
  <c r="E29" i="11" s="1"/>
  <c r="F29" i="11" a="1"/>
  <c r="F29" i="11" s="1"/>
  <c r="E30" i="11" a="1"/>
  <c r="E30" i="11" s="1"/>
  <c r="F30" i="11" a="1"/>
  <c r="F30" i="11"/>
  <c r="E31" i="11" a="1"/>
  <c r="E31" i="11" s="1"/>
  <c r="F31" i="11" a="1"/>
  <c r="F31" i="11" s="1"/>
  <c r="E32" i="11" a="1"/>
  <c r="E32" i="11" s="1"/>
  <c r="F32" i="11" a="1"/>
  <c r="F32" i="11"/>
  <c r="E33" i="11" a="1"/>
  <c r="E33" i="11" s="1"/>
  <c r="F33" i="11" a="1"/>
  <c r="F33" i="11" s="1"/>
  <c r="E34" i="11" a="1"/>
  <c r="E34" i="11" s="1"/>
  <c r="F34" i="11" a="1"/>
  <c r="F34" i="11"/>
  <c r="E35" i="11" a="1"/>
  <c r="E35" i="11" s="1"/>
  <c r="F35" i="11" a="1"/>
  <c r="F35" i="11" s="1"/>
  <c r="E36" i="11" a="1"/>
  <c r="E36" i="11" s="1"/>
  <c r="F36" i="11" a="1"/>
  <c r="F36" i="11"/>
  <c r="E37" i="11" a="1"/>
  <c r="E37" i="11" s="1"/>
  <c r="F37" i="11" a="1"/>
  <c r="F37" i="11" s="1"/>
  <c r="E38" i="11" a="1"/>
  <c r="E38" i="11" s="1"/>
  <c r="F38" i="11" a="1"/>
  <c r="F38" i="11"/>
  <c r="E39" i="11" a="1"/>
  <c r="E39" i="11" s="1"/>
  <c r="F39" i="11" a="1"/>
  <c r="F39" i="11" s="1"/>
  <c r="E40" i="11" a="1"/>
  <c r="E40" i="11" s="1"/>
  <c r="F40" i="11" a="1"/>
  <c r="F40" i="11"/>
  <c r="E41" i="11" a="1"/>
  <c r="E41" i="11" s="1"/>
  <c r="F41" i="11" a="1"/>
  <c r="F41" i="11" s="1"/>
  <c r="E42" i="11" a="1"/>
  <c r="E42" i="11" s="1"/>
  <c r="F42" i="11" a="1"/>
  <c r="F42" i="11"/>
  <c r="E43" i="11" a="1"/>
  <c r="E43" i="11" s="1"/>
  <c r="F43" i="11" a="1"/>
  <c r="F43" i="11" s="1"/>
  <c r="E44" i="11" a="1"/>
  <c r="E44" i="11"/>
  <c r="F44" i="11" a="1"/>
  <c r="F44" i="11" s="1"/>
  <c r="E45" i="11" a="1"/>
  <c r="E45" i="11"/>
  <c r="F45" i="11" a="1"/>
  <c r="F45" i="11" s="1"/>
  <c r="E46" i="11" a="1"/>
  <c r="E46" i="11"/>
  <c r="F46" i="11" a="1"/>
  <c r="F46" i="11" s="1"/>
  <c r="E47" i="11" a="1"/>
  <c r="E47" i="11"/>
  <c r="F47" i="11" a="1"/>
  <c r="F47" i="11" s="1"/>
  <c r="E48" i="11" a="1"/>
  <c r="E48" i="11"/>
  <c r="F48" i="11" a="1"/>
  <c r="F48" i="11" s="1"/>
  <c r="E49" i="11" a="1"/>
  <c r="E49" i="11"/>
  <c r="F49" i="11" a="1"/>
  <c r="F49" i="11" s="1"/>
  <c r="E50" i="11" a="1"/>
  <c r="E50" i="11"/>
  <c r="F50" i="11" a="1"/>
  <c r="F50" i="11" s="1"/>
  <c r="E51" i="11" a="1"/>
  <c r="E51" i="11"/>
  <c r="F51" i="11" a="1"/>
  <c r="F51" i="11" s="1"/>
  <c r="E52" i="11" a="1"/>
  <c r="E52" i="11"/>
  <c r="F52" i="11" a="1"/>
  <c r="F52" i="11" s="1"/>
  <c r="E53" i="11" a="1"/>
  <c r="E53" i="11"/>
  <c r="F53" i="11" a="1"/>
  <c r="F53" i="11" s="1"/>
  <c r="F3" i="11" a="1"/>
  <c r="F3" i="11" s="1"/>
  <c r="E3" i="11" a="1"/>
  <c r="E3" i="11" s="1"/>
  <c r="E4" i="8" a="1"/>
  <c r="E4" i="8" s="1"/>
  <c r="F4" i="8" a="1"/>
  <c r="F4" i="8"/>
  <c r="E5" i="8" a="1"/>
  <c r="E5" i="8" s="1"/>
  <c r="F5" i="8" a="1"/>
  <c r="F5" i="8" s="1"/>
  <c r="E6" i="8" a="1"/>
  <c r="E6" i="8" s="1"/>
  <c r="F6" i="8" a="1"/>
  <c r="F6" i="8"/>
  <c r="E7" i="8" a="1"/>
  <c r="E7" i="8" s="1"/>
  <c r="F7" i="8" a="1"/>
  <c r="F7" i="8" s="1"/>
  <c r="E8" i="8" a="1"/>
  <c r="E8" i="8" s="1"/>
  <c r="F8" i="8" a="1"/>
  <c r="F8" i="8"/>
  <c r="E9" i="8" a="1"/>
  <c r="E9" i="8" s="1"/>
  <c r="F9" i="8" a="1"/>
  <c r="F9" i="8" s="1"/>
  <c r="E10" i="8" a="1"/>
  <c r="E10" i="8" s="1"/>
  <c r="F10" i="8" a="1"/>
  <c r="F10" i="8"/>
  <c r="E11" i="8" a="1"/>
  <c r="E11" i="8" s="1"/>
  <c r="F11" i="8" a="1"/>
  <c r="F11" i="8" s="1"/>
  <c r="E12" i="8" a="1"/>
  <c r="E12" i="8" s="1"/>
  <c r="F12" i="8" a="1"/>
  <c r="F12" i="8"/>
  <c r="E13" i="8" a="1"/>
  <c r="E13" i="8" s="1"/>
  <c r="F13" i="8" a="1"/>
  <c r="F13" i="8" s="1"/>
  <c r="E14" i="8" a="1"/>
  <c r="E14" i="8" s="1"/>
  <c r="F14" i="8" a="1"/>
  <c r="F14" i="8"/>
  <c r="E15" i="8" a="1"/>
  <c r="E15" i="8" s="1"/>
  <c r="F15" i="8" a="1"/>
  <c r="F15" i="8" s="1"/>
  <c r="E16" i="8" a="1"/>
  <c r="E16" i="8" s="1"/>
  <c r="F16" i="8" a="1"/>
  <c r="F16" i="8"/>
  <c r="E17" i="8" a="1"/>
  <c r="E17" i="8" s="1"/>
  <c r="F17" i="8" a="1"/>
  <c r="F17" i="8" s="1"/>
  <c r="E18" i="8" a="1"/>
  <c r="E18" i="8" s="1"/>
  <c r="F18" i="8" a="1"/>
  <c r="F18" i="8"/>
  <c r="E19" i="8" a="1"/>
  <c r="E19" i="8" s="1"/>
  <c r="F19" i="8" a="1"/>
  <c r="F19" i="8"/>
  <c r="E20" i="8" a="1"/>
  <c r="E20" i="8" s="1"/>
  <c r="F20" i="8" a="1"/>
  <c r="F20" i="8"/>
  <c r="E21" i="8" a="1"/>
  <c r="E21" i="8" s="1"/>
  <c r="F21" i="8" a="1"/>
  <c r="F21" i="8"/>
  <c r="E22" i="8" a="1"/>
  <c r="E22" i="8" s="1"/>
  <c r="F22" i="8" a="1"/>
  <c r="F22" i="8" s="1"/>
  <c r="E23" i="8" a="1"/>
  <c r="E23" i="8" s="1"/>
  <c r="F23" i="8" a="1"/>
  <c r="F23" i="8" s="1"/>
  <c r="E24" i="8" a="1"/>
  <c r="E24" i="8" s="1"/>
  <c r="F24" i="8" a="1"/>
  <c r="F24" i="8" s="1"/>
  <c r="E25" i="8" a="1"/>
  <c r="E25" i="8" s="1"/>
  <c r="F25" i="8" a="1"/>
  <c r="F25" i="8"/>
  <c r="E26" i="8" a="1"/>
  <c r="E26" i="8" s="1"/>
  <c r="F26" i="8" a="1"/>
  <c r="F26" i="8" s="1"/>
  <c r="E27" i="8" a="1"/>
  <c r="E27" i="8" s="1"/>
  <c r="F27" i="8" a="1"/>
  <c r="F27" i="8"/>
  <c r="E28" i="8" a="1"/>
  <c r="E28" i="8" s="1"/>
  <c r="F28" i="8" a="1"/>
  <c r="F28" i="8" s="1"/>
  <c r="E29" i="8" a="1"/>
  <c r="E29" i="8" s="1"/>
  <c r="F29" i="8" a="1"/>
  <c r="F29" i="8"/>
  <c r="E30" i="8" a="1"/>
  <c r="E30" i="8" s="1"/>
  <c r="F30" i="8" a="1"/>
  <c r="F30" i="8" s="1"/>
  <c r="E31" i="8" a="1"/>
  <c r="E31" i="8" s="1"/>
  <c r="F31" i="8" a="1"/>
  <c r="F31" i="8"/>
  <c r="E32" i="8" a="1"/>
  <c r="E32" i="8" s="1"/>
  <c r="F32" i="8" a="1"/>
  <c r="F32" i="8" s="1"/>
  <c r="E33" i="8" a="1"/>
  <c r="E33" i="8" s="1"/>
  <c r="F33" i="8" a="1"/>
  <c r="F33" i="8"/>
  <c r="E34" i="8" a="1"/>
  <c r="E34" i="8" s="1"/>
  <c r="F34" i="8" a="1"/>
  <c r="F34" i="8" s="1"/>
  <c r="E35" i="8" a="1"/>
  <c r="E35" i="8" s="1"/>
  <c r="F35" i="8" a="1"/>
  <c r="F35" i="8"/>
  <c r="E36" i="8" a="1"/>
  <c r="E36" i="8" s="1"/>
  <c r="F36" i="8" a="1"/>
  <c r="F36" i="8" s="1"/>
  <c r="E37" i="8" a="1"/>
  <c r="E37" i="8" s="1"/>
  <c r="F37" i="8" a="1"/>
  <c r="F37" i="8"/>
  <c r="E38" i="8" a="1"/>
  <c r="E38" i="8" s="1"/>
  <c r="F38" i="8" a="1"/>
  <c r="F38" i="8" s="1"/>
  <c r="E39" i="8" a="1"/>
  <c r="E39" i="8" s="1"/>
  <c r="F39" i="8" a="1"/>
  <c r="F39" i="8"/>
  <c r="E40" i="8" a="1"/>
  <c r="E40" i="8" s="1"/>
  <c r="F40" i="8" a="1"/>
  <c r="F40" i="8" s="1"/>
  <c r="E41" i="8" a="1"/>
  <c r="E41" i="8" s="1"/>
  <c r="F41" i="8" a="1"/>
  <c r="F41" i="8"/>
  <c r="E42" i="8" a="1"/>
  <c r="E42" i="8" s="1"/>
  <c r="F42" i="8" a="1"/>
  <c r="F42" i="8" s="1"/>
  <c r="E43" i="8" a="1"/>
  <c r="E43" i="8" s="1"/>
  <c r="F43" i="8" a="1"/>
  <c r="F43" i="8"/>
  <c r="E44" i="8" a="1"/>
  <c r="E44" i="8"/>
  <c r="F44" i="8" a="1"/>
  <c r="F44" i="8" s="1"/>
  <c r="E45" i="8" a="1"/>
  <c r="E45" i="8"/>
  <c r="F45" i="8" a="1"/>
  <c r="F45" i="8" s="1"/>
  <c r="E46" i="8" a="1"/>
  <c r="E46" i="8" s="1"/>
  <c r="F46" i="8" a="1"/>
  <c r="F46" i="8" s="1"/>
  <c r="E47" i="8" a="1"/>
  <c r="E47" i="8"/>
  <c r="F47" i="8" a="1"/>
  <c r="F47" i="8" s="1"/>
  <c r="E48" i="8" a="1"/>
  <c r="E48" i="8" s="1"/>
  <c r="F48" i="8" a="1"/>
  <c r="F48" i="8" s="1"/>
  <c r="E49" i="8" a="1"/>
  <c r="E49" i="8"/>
  <c r="F49" i="8" a="1"/>
  <c r="F49" i="8" s="1"/>
  <c r="E50" i="8" a="1"/>
  <c r="E50" i="8" s="1"/>
  <c r="F50" i="8" a="1"/>
  <c r="F50" i="8" s="1"/>
  <c r="E51" i="8" a="1"/>
  <c r="E51" i="8"/>
  <c r="F51" i="8" a="1"/>
  <c r="F51" i="8" s="1"/>
  <c r="E52" i="8" a="1"/>
  <c r="E52" i="8" s="1"/>
  <c r="F52" i="8" a="1"/>
  <c r="F52" i="8" s="1"/>
  <c r="E53" i="8" a="1"/>
  <c r="E53" i="8"/>
  <c r="F53" i="8" a="1"/>
  <c r="F53" i="8" s="1"/>
  <c r="E54" i="8" a="1"/>
  <c r="E54" i="8" s="1"/>
  <c r="F54" i="8" a="1"/>
  <c r="F54" i="8" s="1"/>
  <c r="E55" i="8" a="1"/>
  <c r="E55" i="8"/>
  <c r="F55" i="8" a="1"/>
  <c r="F55" i="8"/>
  <c r="E56" i="8" a="1"/>
  <c r="E56" i="8"/>
  <c r="F56" i="8" a="1"/>
  <c r="F56" i="8"/>
  <c r="E57" i="8" a="1"/>
  <c r="E57" i="8"/>
  <c r="F57" i="8" a="1"/>
  <c r="F57" i="8"/>
  <c r="E58" i="8" a="1"/>
  <c r="E58" i="8"/>
  <c r="F58" i="8" a="1"/>
  <c r="F58" i="8"/>
  <c r="E59" i="8" a="1"/>
  <c r="E59" i="8"/>
  <c r="F59" i="8" a="1"/>
  <c r="F59" i="8"/>
  <c r="E60" i="8" a="1"/>
  <c r="E60" i="8"/>
  <c r="F60" i="8" a="1"/>
  <c r="F60" i="8"/>
  <c r="E61" i="8" a="1"/>
  <c r="E61" i="8"/>
  <c r="F61" i="8" a="1"/>
  <c r="F61" i="8"/>
  <c r="E62" i="8" a="1"/>
  <c r="E62" i="8"/>
  <c r="F62" i="8" a="1"/>
  <c r="F62" i="8"/>
  <c r="E63" i="8" a="1"/>
  <c r="E63" i="8"/>
  <c r="F63" i="8" a="1"/>
  <c r="F63" i="8"/>
  <c r="E64" i="8" a="1"/>
  <c r="E64" i="8"/>
  <c r="F64" i="8" a="1"/>
  <c r="F64" i="8"/>
  <c r="E65" i="8" a="1"/>
  <c r="E65" i="8"/>
  <c r="F65" i="8" a="1"/>
  <c r="F65" i="8"/>
  <c r="E66" i="8" a="1"/>
  <c r="E66" i="8"/>
  <c r="F66" i="8" a="1"/>
  <c r="F66" i="8"/>
  <c r="E67" i="8" a="1"/>
  <c r="E67" i="8"/>
  <c r="F67" i="8" a="1"/>
  <c r="F67" i="8"/>
  <c r="E68" i="8" a="1"/>
  <c r="E68" i="8"/>
  <c r="F68" i="8" a="1"/>
  <c r="F68" i="8"/>
  <c r="E69" i="8" a="1"/>
  <c r="E69" i="8"/>
  <c r="F69" i="8" a="1"/>
  <c r="F69" i="8"/>
  <c r="E70" i="8" a="1"/>
  <c r="E70" i="8"/>
  <c r="F70" i="8" a="1"/>
  <c r="F70" i="8"/>
  <c r="E71" i="8" a="1"/>
  <c r="E71" i="8"/>
  <c r="F71" i="8" a="1"/>
  <c r="F71" i="8"/>
  <c r="S2" i="10" a="1"/>
  <c r="S2" i="10" s="1"/>
  <c r="I9" i="10" s="1" a="1"/>
  <c r="I9" i="10" s="1"/>
  <c r="S2" i="9" a="1"/>
  <c r="S2" i="9" s="1"/>
  <c r="I24" i="9" s="1" a="1"/>
  <c r="I24" i="9" s="1"/>
  <c r="S2" i="11" a="1"/>
  <c r="S2" i="11" s="1"/>
  <c r="J34" i="11" s="1" a="1"/>
  <c r="J34" i="11" s="1"/>
  <c r="E3" i="8" a="1"/>
  <c r="E3" i="8" s="1"/>
  <c r="F3" i="8" a="1"/>
  <c r="F3" i="8" s="1"/>
  <c r="S2" i="8" a="1"/>
  <c r="S2" i="8" s="1"/>
  <c r="O18" i="8" s="1" a="1"/>
  <c r="O18" i="8" s="1"/>
  <c r="G64" i="10" l="1" a="1"/>
  <c r="G64" i="10" s="1"/>
  <c r="P63" i="10" a="1"/>
  <c r="P63" i="10" s="1"/>
  <c r="H61" i="10" a="1"/>
  <c r="H61" i="10" s="1"/>
  <c r="J60" i="10" a="1"/>
  <c r="J60" i="10" s="1"/>
  <c r="G58" i="10" a="1"/>
  <c r="G58" i="10" s="1"/>
  <c r="O56" i="10" a="1"/>
  <c r="O56" i="10" s="1"/>
  <c r="J49" i="10" a="1"/>
  <c r="J49" i="10" s="1"/>
  <c r="P48" i="10" a="1"/>
  <c r="P48" i="10" s="1"/>
  <c r="H47" i="10" a="1"/>
  <c r="H47" i="10" s="1"/>
  <c r="N46" i="10" a="1"/>
  <c r="N46" i="10" s="1"/>
  <c r="P44" i="10" a="1"/>
  <c r="P44" i="10" s="1"/>
  <c r="H43" i="10" a="1"/>
  <c r="H43" i="10" s="1"/>
  <c r="P39" i="10" a="1"/>
  <c r="P39" i="10" s="1"/>
  <c r="H29" i="10" a="1"/>
  <c r="H29" i="10" s="1"/>
  <c r="J15" i="10" a="1"/>
  <c r="J15" i="10" s="1"/>
  <c r="H14" i="10" a="1"/>
  <c r="H14" i="10" s="1"/>
  <c r="H4" i="10" a="1"/>
  <c r="H4" i="10" s="1"/>
  <c r="K63" i="10" a="1"/>
  <c r="K63" i="10" s="1"/>
  <c r="J62" i="10" a="1"/>
  <c r="J62" i="10" s="1"/>
  <c r="G60" i="10" a="1"/>
  <c r="G60" i="10" s="1"/>
  <c r="P59" i="10" a="1"/>
  <c r="P59" i="10" s="1"/>
  <c r="H57" i="10" a="1"/>
  <c r="H57" i="10" s="1"/>
  <c r="J56" i="10" a="1"/>
  <c r="J56" i="10" s="1"/>
  <c r="J53" i="10" a="1"/>
  <c r="J53" i="10" s="1"/>
  <c r="P52" i="10" a="1"/>
  <c r="P52" i="10" s="1"/>
  <c r="H51" i="10" a="1"/>
  <c r="H51" i="10" s="1"/>
  <c r="J50" i="10" a="1"/>
  <c r="J50" i="10" s="1"/>
  <c r="H48" i="10" a="1"/>
  <c r="H48" i="10" s="1"/>
  <c r="J46" i="10" a="1"/>
  <c r="J46" i="10" s="1"/>
  <c r="J45" i="10" a="1"/>
  <c r="J45" i="10" s="1"/>
  <c r="G37" i="10" a="1"/>
  <c r="G37" i="10" s="1"/>
  <c r="K36" i="10" a="1"/>
  <c r="K36" i="10" s="1"/>
  <c r="O35" i="10" a="1"/>
  <c r="O35" i="10" s="1"/>
  <c r="O64" i="10" a="1"/>
  <c r="O64" i="10" s="1"/>
  <c r="H63" i="10" a="1"/>
  <c r="H63" i="10" s="1"/>
  <c r="I62" i="10" a="1"/>
  <c r="I62" i="10" s="1"/>
  <c r="K61" i="10" a="1"/>
  <c r="K61" i="10" s="1"/>
  <c r="K59" i="10" a="1"/>
  <c r="K59" i="10" s="1"/>
  <c r="J58" i="10" a="1"/>
  <c r="J58" i="10" s="1"/>
  <c r="I56" i="10" a="1"/>
  <c r="I56" i="10" s="1"/>
  <c r="H55" i="10" a="1"/>
  <c r="H55" i="10" s="1"/>
  <c r="J54" i="10" a="1"/>
  <c r="J54" i="10" s="1"/>
  <c r="H52" i="10" a="1"/>
  <c r="H52" i="10" s="1"/>
  <c r="J35" i="10" a="1"/>
  <c r="J35" i="10" s="1"/>
  <c r="I32" i="10" a="1"/>
  <c r="I32" i="10" s="1"/>
  <c r="P31" i="10" a="1"/>
  <c r="P31" i="10" s="1"/>
  <c r="J64" i="10" a="1"/>
  <c r="J64" i="10" s="1"/>
  <c r="G62" i="10" a="1"/>
  <c r="G62" i="10" s="1"/>
  <c r="L62" i="10" s="1" a="1"/>
  <c r="L62" i="10" s="1"/>
  <c r="O60" i="10" a="1"/>
  <c r="O60" i="10" s="1"/>
  <c r="H59" i="10" a="1"/>
  <c r="H59" i="10" s="1"/>
  <c r="I58" i="10" a="1"/>
  <c r="I58" i="10" s="1"/>
  <c r="K57" i="10" a="1"/>
  <c r="K57" i="10" s="1"/>
  <c r="N57" i="10" s="1" a="1"/>
  <c r="N57" i="10" s="1"/>
  <c r="G56" i="10" a="1"/>
  <c r="G56" i="10" s="1"/>
  <c r="O41" i="10" a="1"/>
  <c r="O41" i="10" s="1"/>
  <c r="P33" i="10" a="1"/>
  <c r="P33" i="10" s="1"/>
  <c r="H23" i="10" a="1"/>
  <c r="H23" i="10" s="1"/>
  <c r="J22" i="10" a="1"/>
  <c r="J22" i="10" s="1"/>
  <c r="I64" i="10" a="1"/>
  <c r="I64" i="10" s="1"/>
  <c r="L64" i="10" s="1" a="1"/>
  <c r="L64" i="10" s="1"/>
  <c r="O62" i="10" a="1"/>
  <c r="O62" i="10" s="1"/>
  <c r="P61" i="10" a="1"/>
  <c r="P61" i="10" s="1"/>
  <c r="I60" i="10" a="1"/>
  <c r="I60" i="10" s="1"/>
  <c r="O58" i="10" a="1"/>
  <c r="O58" i="10" s="1"/>
  <c r="P57" i="10" a="1"/>
  <c r="P57" i="10" s="1"/>
  <c r="L56" i="10" a="1"/>
  <c r="L56" i="10" s="1"/>
  <c r="P55" i="10" a="1"/>
  <c r="P55" i="10" s="1"/>
  <c r="P51" i="10" a="1"/>
  <c r="P51" i="10" s="1"/>
  <c r="P47" i="10" a="1"/>
  <c r="P47" i="10" s="1"/>
  <c r="H44" i="10" a="1"/>
  <c r="H44" i="10" s="1"/>
  <c r="J41" i="10" a="1"/>
  <c r="J41" i="10" s="1"/>
  <c r="I40" i="10" a="1"/>
  <c r="I40" i="10" s="1"/>
  <c r="G39" i="10" a="1"/>
  <c r="G39" i="10" s="1"/>
  <c r="K38" i="10" a="1"/>
  <c r="K38" i="10" s="1"/>
  <c r="M37" i="10" a="1"/>
  <c r="M37" i="10" s="1"/>
  <c r="H35" i="10" a="1"/>
  <c r="H35" i="10" s="1"/>
  <c r="H31" i="10" a="1"/>
  <c r="H31" i="10" s="1"/>
  <c r="P20" i="10" a="1"/>
  <c r="P20" i="10" s="1"/>
  <c r="J7" i="10" a="1"/>
  <c r="J7" i="10" s="1"/>
  <c r="H6" i="10" a="1"/>
  <c r="H6" i="10" s="1"/>
  <c r="J43" i="10" a="1"/>
  <c r="J43" i="10" s="1"/>
  <c r="P41" i="10" a="1"/>
  <c r="P41" i="10" s="1"/>
  <c r="I38" i="10" a="1"/>
  <c r="I38" i="10" s="1"/>
  <c r="H37" i="10" a="1"/>
  <c r="H37" i="10" s="1"/>
  <c r="I26" i="10" a="1"/>
  <c r="I26" i="10" s="1"/>
  <c r="P25" i="10" a="1"/>
  <c r="P25" i="10" s="1"/>
  <c r="I24" i="10" a="1"/>
  <c r="I24" i="10" s="1"/>
  <c r="P23" i="10" a="1"/>
  <c r="P23" i="10" s="1"/>
  <c r="K52" i="11" a="1"/>
  <c r="K52" i="11" s="1"/>
  <c r="H50" i="11" a="1"/>
  <c r="H50" i="11" s="1"/>
  <c r="G49" i="11" a="1"/>
  <c r="G49" i="11" s="1"/>
  <c r="P48" i="11" a="1"/>
  <c r="P48" i="11" s="1"/>
  <c r="K64" i="10" a="1"/>
  <c r="K64" i="10" s="1"/>
  <c r="O63" i="10" a="1"/>
  <c r="O63" i="10" s="1"/>
  <c r="J63" i="10" a="1"/>
  <c r="J63" i="10" s="1"/>
  <c r="G63" i="10" a="1"/>
  <c r="G63" i="10" s="1"/>
  <c r="K62" i="10" a="1"/>
  <c r="K62" i="10" s="1"/>
  <c r="O61" i="10" a="1"/>
  <c r="O61" i="10" s="1"/>
  <c r="J61" i="10" a="1"/>
  <c r="J61" i="10" s="1"/>
  <c r="G61" i="10" a="1"/>
  <c r="G61" i="10" s="1"/>
  <c r="K60" i="10" a="1"/>
  <c r="K60" i="10" s="1"/>
  <c r="O59" i="10" a="1"/>
  <c r="O59" i="10" s="1"/>
  <c r="J59" i="10" a="1"/>
  <c r="J59" i="10" s="1"/>
  <c r="G59" i="10" a="1"/>
  <c r="G59" i="10" s="1"/>
  <c r="K58" i="10" a="1"/>
  <c r="K58" i="10" s="1"/>
  <c r="O57" i="10" a="1"/>
  <c r="O57" i="10" s="1"/>
  <c r="J57" i="10" a="1"/>
  <c r="J57" i="10" s="1"/>
  <c r="G57" i="10" a="1"/>
  <c r="G57" i="10" s="1"/>
  <c r="N56" i="10" a="1"/>
  <c r="N56" i="10" s="1"/>
  <c r="K56" i="10" a="1"/>
  <c r="K56" i="10" s="1"/>
  <c r="P54" i="10" a="1"/>
  <c r="P54" i="10" s="1"/>
  <c r="H54" i="10" a="1"/>
  <c r="H54" i="10" s="1"/>
  <c r="J52" i="10" a="1"/>
  <c r="J52" i="10" s="1"/>
  <c r="P50" i="10" a="1"/>
  <c r="P50" i="10" s="1"/>
  <c r="H50" i="10" a="1"/>
  <c r="H50" i="10" s="1"/>
  <c r="J48" i="10" a="1"/>
  <c r="J48" i="10" s="1"/>
  <c r="P46" i="10" a="1"/>
  <c r="P46" i="10" s="1"/>
  <c r="L46" i="10" a="1"/>
  <c r="L46" i="10" s="1"/>
  <c r="H46" i="10" a="1"/>
  <c r="H46" i="10" s="1"/>
  <c r="J44" i="10" a="1"/>
  <c r="J44" i="10" s="1"/>
  <c r="P43" i="10" a="1"/>
  <c r="P43" i="10" s="1"/>
  <c r="G43" i="10" a="1"/>
  <c r="G43" i="10" s="1"/>
  <c r="K42" i="10" a="1"/>
  <c r="K42" i="10" s="1"/>
  <c r="H41" i="10" a="1"/>
  <c r="H41" i="10" s="1"/>
  <c r="O39" i="10" a="1"/>
  <c r="O39" i="10" s="1"/>
  <c r="J39" i="10" a="1"/>
  <c r="J39" i="10" s="1"/>
  <c r="P37" i="10" a="1"/>
  <c r="P37" i="10" s="1"/>
  <c r="I36" i="10" a="1"/>
  <c r="I36" i="10" s="1"/>
  <c r="G35" i="10" a="1"/>
  <c r="G35" i="10" s="1"/>
  <c r="K34" i="10" a="1"/>
  <c r="K34" i="10" s="1"/>
  <c r="I30" i="10" a="1"/>
  <c r="I30" i="10" s="1"/>
  <c r="P29" i="10" a="1"/>
  <c r="P29" i="10" s="1"/>
  <c r="H27" i="10" a="1"/>
  <c r="H27" i="10" s="1"/>
  <c r="I21" i="10" a="1"/>
  <c r="I21" i="10" s="1"/>
  <c r="K20" i="10" a="1"/>
  <c r="K20" i="10" s="1"/>
  <c r="I17" i="10" a="1"/>
  <c r="I17" i="10" s="1"/>
  <c r="O51" i="11" a="1"/>
  <c r="O51" i="11" s="1"/>
  <c r="G4" i="10" a="1"/>
  <c r="G4" i="10" s="1"/>
  <c r="I4" i="10" a="1"/>
  <c r="I4" i="10" s="1"/>
  <c r="H5" i="10" a="1"/>
  <c r="H5" i="10" s="1"/>
  <c r="P5" i="10" a="1"/>
  <c r="P5" i="10" s="1"/>
  <c r="I6" i="10" a="1"/>
  <c r="I6" i="10" s="1"/>
  <c r="H7" i="10" a="1"/>
  <c r="H7" i="10" s="1"/>
  <c r="P7" i="10" a="1"/>
  <c r="P7" i="10" s="1"/>
  <c r="N7" i="10" s="1" a="1"/>
  <c r="N7" i="10" s="1"/>
  <c r="I8" i="10" a="1"/>
  <c r="I8" i="10" s="1"/>
  <c r="H9" i="10" a="1"/>
  <c r="H9" i="10" s="1"/>
  <c r="P9" i="10" a="1"/>
  <c r="P9" i="10" s="1"/>
  <c r="I10" i="10" a="1"/>
  <c r="I10" i="10" s="1"/>
  <c r="H11" i="10" a="1"/>
  <c r="H11" i="10" s="1"/>
  <c r="P11" i="10" a="1"/>
  <c r="P11" i="10" s="1"/>
  <c r="I12" i="10" a="1"/>
  <c r="I12" i="10" s="1"/>
  <c r="H13" i="10" a="1"/>
  <c r="H13" i="10" s="1"/>
  <c r="P13" i="10" a="1"/>
  <c r="P13" i="10" s="1"/>
  <c r="I14" i="10" a="1"/>
  <c r="I14" i="10" s="1"/>
  <c r="L14" i="10" a="1"/>
  <c r="L14" i="10" s="1"/>
  <c r="H15" i="10" a="1"/>
  <c r="H15" i="10" s="1"/>
  <c r="P15" i="10" a="1"/>
  <c r="P15" i="10" s="1"/>
  <c r="I16" i="10" a="1"/>
  <c r="I16" i="10" s="1"/>
  <c r="H17" i="10" a="1"/>
  <c r="H17" i="10" s="1"/>
  <c r="P17" i="10" a="1"/>
  <c r="P17" i="10" s="1"/>
  <c r="J4" i="10" a="1"/>
  <c r="J4" i="10" s="1"/>
  <c r="O4" i="10" a="1"/>
  <c r="O4" i="10" s="1"/>
  <c r="K5" i="10" a="1"/>
  <c r="K5" i="10" s="1"/>
  <c r="G6" i="10" a="1"/>
  <c r="G6" i="10" s="1"/>
  <c r="J6" i="10" a="1"/>
  <c r="J6" i="10" s="1"/>
  <c r="O6" i="10" a="1"/>
  <c r="O6" i="10" s="1"/>
  <c r="K7" i="10" a="1"/>
  <c r="K7" i="10" s="1"/>
  <c r="G8" i="10" a="1"/>
  <c r="G8" i="10" s="1"/>
  <c r="J8" i="10" a="1"/>
  <c r="J8" i="10" s="1"/>
  <c r="O8" i="10" a="1"/>
  <c r="O8" i="10" s="1"/>
  <c r="K9" i="10" a="1"/>
  <c r="K9" i="10" s="1"/>
  <c r="G10" i="10" a="1"/>
  <c r="G10" i="10" s="1"/>
  <c r="J10" i="10" a="1"/>
  <c r="J10" i="10" s="1"/>
  <c r="O10" i="10" a="1"/>
  <c r="O10" i="10" s="1"/>
  <c r="K11" i="10" a="1"/>
  <c r="K11" i="10" s="1"/>
  <c r="G12" i="10" a="1"/>
  <c r="G12" i="10" s="1"/>
  <c r="J12" i="10" a="1"/>
  <c r="J12" i="10" s="1"/>
  <c r="O12" i="10" a="1"/>
  <c r="O12" i="10" s="1"/>
  <c r="K13" i="10" a="1"/>
  <c r="K13" i="10" s="1"/>
  <c r="G14" i="10" a="1"/>
  <c r="G14" i="10" s="1"/>
  <c r="J14" i="10" a="1"/>
  <c r="J14" i="10" s="1"/>
  <c r="O14" i="10" a="1"/>
  <c r="O14" i="10" s="1"/>
  <c r="K15" i="10" a="1"/>
  <c r="K15" i="10" s="1"/>
  <c r="G16" i="10" a="1"/>
  <c r="G16" i="10" s="1"/>
  <c r="J16" i="10" a="1"/>
  <c r="J16" i="10" s="1"/>
  <c r="O16" i="10" a="1"/>
  <c r="O16" i="10" s="1"/>
  <c r="K17" i="10" a="1"/>
  <c r="K17" i="10" s="1"/>
  <c r="G18" i="10" a="1"/>
  <c r="G18" i="10" s="1"/>
  <c r="I18" i="10" a="1"/>
  <c r="I18" i="10" s="1"/>
  <c r="K18" i="10" a="1"/>
  <c r="K18" i="10" s="1"/>
  <c r="O18" i="10" a="1"/>
  <c r="O18" i="10" s="1"/>
  <c r="P4" i="10" a="1"/>
  <c r="P4" i="10" s="1"/>
  <c r="P6" i="10" a="1"/>
  <c r="P6" i="10" s="1"/>
  <c r="P8" i="10" a="1"/>
  <c r="P8" i="10" s="1"/>
  <c r="P10" i="10" a="1"/>
  <c r="P10" i="10" s="1"/>
  <c r="P12" i="10" a="1"/>
  <c r="P12" i="10" s="1"/>
  <c r="P14" i="10" a="1"/>
  <c r="P14" i="10" s="1"/>
  <c r="P16" i="10" a="1"/>
  <c r="P16" i="10" s="1"/>
  <c r="J19" i="10" a="1"/>
  <c r="J19" i="10" s="1"/>
  <c r="I20" i="10" a="1"/>
  <c r="I20" i="10" s="1"/>
  <c r="J21" i="10" a="1"/>
  <c r="J21" i="10" s="1"/>
  <c r="K4" i="10" a="1"/>
  <c r="K4" i="10" s="1"/>
  <c r="G5" i="10" a="1"/>
  <c r="G5" i="10" s="1"/>
  <c r="K6" i="10" a="1"/>
  <c r="K6" i="10" s="1"/>
  <c r="G7" i="10" a="1"/>
  <c r="G7" i="10" s="1"/>
  <c r="K8" i="10" a="1"/>
  <c r="K8" i="10" s="1"/>
  <c r="G9" i="10" a="1"/>
  <c r="G9" i="10" s="1"/>
  <c r="K10" i="10" a="1"/>
  <c r="K10" i="10" s="1"/>
  <c r="G11" i="10" a="1"/>
  <c r="G11" i="10" s="1"/>
  <c r="K12" i="10" a="1"/>
  <c r="K12" i="10" s="1"/>
  <c r="G13" i="10" a="1"/>
  <c r="G13" i="10" s="1"/>
  <c r="K14" i="10" a="1"/>
  <c r="K14" i="10" s="1"/>
  <c r="G15" i="10" a="1"/>
  <c r="G15" i="10" s="1"/>
  <c r="K16" i="10" a="1"/>
  <c r="K16" i="10" s="1"/>
  <c r="G17" i="10" a="1"/>
  <c r="G17" i="10" s="1"/>
  <c r="J18" i="10" a="1"/>
  <c r="J18" i="10" s="1"/>
  <c r="H19" i="10" a="1"/>
  <c r="H19" i="10" s="1"/>
  <c r="K19" i="10" a="1"/>
  <c r="K19" i="10" s="1"/>
  <c r="P19" i="10" a="1"/>
  <c r="P19" i="10" s="1"/>
  <c r="G20" i="10" a="1"/>
  <c r="G20" i="10" s="1"/>
  <c r="O20" i="10" a="1"/>
  <c r="O20" i="10" s="1"/>
  <c r="H21" i="10" a="1"/>
  <c r="H21" i="10" s="1"/>
  <c r="K21" i="10" a="1"/>
  <c r="K21" i="10" s="1"/>
  <c r="P21" i="10" a="1"/>
  <c r="P21" i="10" s="1"/>
  <c r="G22" i="10" a="1"/>
  <c r="G22" i="10" s="1"/>
  <c r="O22" i="10" a="1"/>
  <c r="O22" i="10" s="1"/>
  <c r="O5" i="10" a="1"/>
  <c r="O5" i="10" s="1"/>
  <c r="H8" i="10" a="1"/>
  <c r="H8" i="10" s="1"/>
  <c r="J9" i="10" a="1"/>
  <c r="J9" i="10" s="1"/>
  <c r="I11" i="10" a="1"/>
  <c r="I11" i="10" s="1"/>
  <c r="O13" i="10" a="1"/>
  <c r="O13" i="10" s="1"/>
  <c r="H16" i="10" a="1"/>
  <c r="H16" i="10" s="1"/>
  <c r="J17" i="10" a="1"/>
  <c r="J17" i="10" s="1"/>
  <c r="O19" i="10" a="1"/>
  <c r="O19" i="10" s="1"/>
  <c r="O21" i="10" a="1"/>
  <c r="O21" i="10" s="1"/>
  <c r="K22" i="10" a="1"/>
  <c r="K22" i="10" s="1"/>
  <c r="K23" i="10" a="1"/>
  <c r="K23" i="10" s="1"/>
  <c r="G24" i="10" a="1"/>
  <c r="G24" i="10" s="1"/>
  <c r="J24" i="10" a="1"/>
  <c r="J24" i="10" s="1"/>
  <c r="O24" i="10" a="1"/>
  <c r="O24" i="10" s="1"/>
  <c r="K25" i="10" a="1"/>
  <c r="K25" i="10" s="1"/>
  <c r="G26" i="10" a="1"/>
  <c r="G26" i="10" s="1"/>
  <c r="J26" i="10" a="1"/>
  <c r="J26" i="10" s="1"/>
  <c r="O26" i="10" a="1"/>
  <c r="O26" i="10" s="1"/>
  <c r="K27" i="10" a="1"/>
  <c r="K27" i="10" s="1"/>
  <c r="G28" i="10" a="1"/>
  <c r="G28" i="10" s="1"/>
  <c r="J28" i="10" a="1"/>
  <c r="J28" i="10" s="1"/>
  <c r="O28" i="10" a="1"/>
  <c r="O28" i="10" s="1"/>
  <c r="K29" i="10" a="1"/>
  <c r="K29" i="10" s="1"/>
  <c r="G30" i="10" a="1"/>
  <c r="G30" i="10" s="1"/>
  <c r="J30" i="10" a="1"/>
  <c r="J30" i="10" s="1"/>
  <c r="O30" i="10" a="1"/>
  <c r="O30" i="10" s="1"/>
  <c r="K31" i="10" a="1"/>
  <c r="K31" i="10" s="1"/>
  <c r="N31" i="10" s="1" a="1"/>
  <c r="N31" i="10" s="1"/>
  <c r="G32" i="10" a="1"/>
  <c r="G32" i="10" s="1"/>
  <c r="J32" i="10" a="1"/>
  <c r="J32" i="10" s="1"/>
  <c r="O32" i="10" a="1"/>
  <c r="O32" i="10" s="1"/>
  <c r="K33" i="10" a="1"/>
  <c r="K33" i="10" s="1"/>
  <c r="G34" i="10" a="1"/>
  <c r="G34" i="10" s="1"/>
  <c r="J34" i="10" a="1"/>
  <c r="J34" i="10" s="1"/>
  <c r="O34" i="10" a="1"/>
  <c r="O34" i="10" s="1"/>
  <c r="K35" i="10" a="1"/>
  <c r="K35" i="10" s="1"/>
  <c r="G36" i="10" a="1"/>
  <c r="G36" i="10" s="1"/>
  <c r="J36" i="10" a="1"/>
  <c r="J36" i="10" s="1"/>
  <c r="O36" i="10" a="1"/>
  <c r="O36" i="10" s="1"/>
  <c r="K37" i="10" a="1"/>
  <c r="K37" i="10" s="1"/>
  <c r="N37" i="10" a="1"/>
  <c r="N37" i="10" s="1"/>
  <c r="G38" i="10" a="1"/>
  <c r="G38" i="10" s="1"/>
  <c r="J38" i="10" a="1"/>
  <c r="J38" i="10" s="1"/>
  <c r="O38" i="10" a="1"/>
  <c r="O38" i="10" s="1"/>
  <c r="K39" i="10" a="1"/>
  <c r="K39" i="10" s="1"/>
  <c r="G40" i="10" a="1"/>
  <c r="G40" i="10" s="1"/>
  <c r="J40" i="10" a="1"/>
  <c r="J40" i="10" s="1"/>
  <c r="O40" i="10" a="1"/>
  <c r="O40" i="10" s="1"/>
  <c r="K41" i="10" a="1"/>
  <c r="K41" i="10" s="1"/>
  <c r="G42" i="10" a="1"/>
  <c r="G42" i="10" s="1"/>
  <c r="J42" i="10" a="1"/>
  <c r="J42" i="10" s="1"/>
  <c r="O42" i="10" a="1"/>
  <c r="O42" i="10" s="1"/>
  <c r="K43" i="10" a="1"/>
  <c r="K43" i="10" s="1"/>
  <c r="O43" i="10" a="1"/>
  <c r="O43" i="10" s="1"/>
  <c r="G44" i="10" a="1"/>
  <c r="G44" i="10" s="1"/>
  <c r="I44" i="10" a="1"/>
  <c r="I44" i="10" s="1"/>
  <c r="K44" i="10" a="1"/>
  <c r="K44" i="10" s="1"/>
  <c r="O44" i="10" a="1"/>
  <c r="O44" i="10" s="1"/>
  <c r="G45" i="10" a="1"/>
  <c r="G45" i="10" s="1"/>
  <c r="I45" i="10" a="1"/>
  <c r="I45" i="10" s="1"/>
  <c r="K45" i="10" a="1"/>
  <c r="K45" i="10" s="1"/>
  <c r="O45" i="10" a="1"/>
  <c r="O45" i="10" s="1"/>
  <c r="G46" i="10" a="1"/>
  <c r="G46" i="10" s="1"/>
  <c r="I46" i="10" a="1"/>
  <c r="I46" i="10" s="1"/>
  <c r="K46" i="10" a="1"/>
  <c r="K46" i="10" s="1"/>
  <c r="M46" i="10" a="1"/>
  <c r="M46" i="10" s="1"/>
  <c r="O46" i="10" a="1"/>
  <c r="O46" i="10" s="1"/>
  <c r="G47" i="10" a="1"/>
  <c r="G47" i="10" s="1"/>
  <c r="I47" i="10" a="1"/>
  <c r="I47" i="10" s="1"/>
  <c r="K47" i="10" a="1"/>
  <c r="K47" i="10" s="1"/>
  <c r="O47" i="10" a="1"/>
  <c r="O47" i="10" s="1"/>
  <c r="G48" i="10" a="1"/>
  <c r="G48" i="10" s="1"/>
  <c r="I48" i="10" a="1"/>
  <c r="I48" i="10" s="1"/>
  <c r="K48" i="10" a="1"/>
  <c r="K48" i="10" s="1"/>
  <c r="O48" i="10" a="1"/>
  <c r="O48" i="10" s="1"/>
  <c r="G49" i="10" a="1"/>
  <c r="G49" i="10" s="1"/>
  <c r="I49" i="10" a="1"/>
  <c r="I49" i="10" s="1"/>
  <c r="K49" i="10" a="1"/>
  <c r="K49" i="10" s="1"/>
  <c r="O49" i="10" a="1"/>
  <c r="O49" i="10" s="1"/>
  <c r="G50" i="10" a="1"/>
  <c r="G50" i="10" s="1"/>
  <c r="I50" i="10" a="1"/>
  <c r="I50" i="10" s="1"/>
  <c r="K50" i="10" a="1"/>
  <c r="K50" i="10" s="1"/>
  <c r="O50" i="10" a="1"/>
  <c r="O50" i="10" s="1"/>
  <c r="G51" i="10" a="1"/>
  <c r="G51" i="10" s="1"/>
  <c r="I51" i="10" a="1"/>
  <c r="I51" i="10" s="1"/>
  <c r="K51" i="10" a="1"/>
  <c r="K51" i="10" s="1"/>
  <c r="O51" i="10" a="1"/>
  <c r="O51" i="10" s="1"/>
  <c r="G52" i="10" a="1"/>
  <c r="G52" i="10" s="1"/>
  <c r="I52" i="10" a="1"/>
  <c r="I52" i="10" s="1"/>
  <c r="K52" i="10" a="1"/>
  <c r="K52" i="10" s="1"/>
  <c r="O52" i="10" a="1"/>
  <c r="O52" i="10" s="1"/>
  <c r="G53" i="10" a="1"/>
  <c r="G53" i="10" s="1"/>
  <c r="I53" i="10" a="1"/>
  <c r="I53" i="10" s="1"/>
  <c r="K53" i="10" a="1"/>
  <c r="K53" i="10" s="1"/>
  <c r="O53" i="10" a="1"/>
  <c r="O53" i="10" s="1"/>
  <c r="G54" i="10" a="1"/>
  <c r="G54" i="10" s="1"/>
  <c r="I54" i="10" a="1"/>
  <c r="I54" i="10" s="1"/>
  <c r="K54" i="10" a="1"/>
  <c r="K54" i="10" s="1"/>
  <c r="O54" i="10" a="1"/>
  <c r="O54" i="10" s="1"/>
  <c r="G55" i="10" a="1"/>
  <c r="G55" i="10" s="1"/>
  <c r="I55" i="10" a="1"/>
  <c r="I55" i="10" s="1"/>
  <c r="K55" i="10" a="1"/>
  <c r="K55" i="10" s="1"/>
  <c r="O55" i="10" a="1"/>
  <c r="O55" i="10" s="1"/>
  <c r="I5" i="10" a="1"/>
  <c r="I5" i="10" s="1"/>
  <c r="O7" i="10" a="1"/>
  <c r="O7" i="10" s="1"/>
  <c r="H10" i="10" a="1"/>
  <c r="H10" i="10" s="1"/>
  <c r="J11" i="10" a="1"/>
  <c r="J11" i="10" s="1"/>
  <c r="I13" i="10" a="1"/>
  <c r="I13" i="10" s="1"/>
  <c r="M14" i="10" a="1"/>
  <c r="M14" i="10" s="1"/>
  <c r="O15" i="10" a="1"/>
  <c r="O15" i="10" s="1"/>
  <c r="H20" i="10" a="1"/>
  <c r="H20" i="10" s="1"/>
  <c r="H22" i="10" a="1"/>
  <c r="H22" i="10" s="1"/>
  <c r="I23" i="10" a="1"/>
  <c r="I23" i="10" s="1"/>
  <c r="H24" i="10" a="1"/>
  <c r="H24" i="10" s="1"/>
  <c r="P24" i="10" a="1"/>
  <c r="P24" i="10" s="1"/>
  <c r="I25" i="10" a="1"/>
  <c r="I25" i="10" s="1"/>
  <c r="H26" i="10" a="1"/>
  <c r="H26" i="10" s="1"/>
  <c r="M26" i="10" a="1"/>
  <c r="M26" i="10" s="1"/>
  <c r="P26" i="10" a="1"/>
  <c r="P26" i="10" s="1"/>
  <c r="I27" i="10" a="1"/>
  <c r="I27" i="10" s="1"/>
  <c r="H28" i="10" a="1"/>
  <c r="H28" i="10" s="1"/>
  <c r="P28" i="10" a="1"/>
  <c r="P28" i="10" s="1"/>
  <c r="I29" i="10" a="1"/>
  <c r="I29" i="10" s="1"/>
  <c r="H30" i="10" a="1"/>
  <c r="H30" i="10" s="1"/>
  <c r="P30" i="10" a="1"/>
  <c r="P30" i="10" s="1"/>
  <c r="I31" i="10" a="1"/>
  <c r="I31" i="10" s="1"/>
  <c r="H32" i="10" a="1"/>
  <c r="H32" i="10" s="1"/>
  <c r="P32" i="10" a="1"/>
  <c r="P32" i="10" s="1"/>
  <c r="I33" i="10" a="1"/>
  <c r="I33" i="10" s="1"/>
  <c r="H34" i="10" a="1"/>
  <c r="H34" i="10" s="1"/>
  <c r="P34" i="10" a="1"/>
  <c r="P34" i="10" s="1"/>
  <c r="I35" i="10" a="1"/>
  <c r="I35" i="10" s="1"/>
  <c r="H36" i="10" a="1"/>
  <c r="H36" i="10" s="1"/>
  <c r="P36" i="10" a="1"/>
  <c r="P36" i="10" s="1"/>
  <c r="I37" i="10" a="1"/>
  <c r="I37" i="10" s="1"/>
  <c r="L37" i="10" a="1"/>
  <c r="L37" i="10" s="1"/>
  <c r="H38" i="10" a="1"/>
  <c r="H38" i="10" s="1"/>
  <c r="P38" i="10" a="1"/>
  <c r="P38" i="10" s="1"/>
  <c r="I39" i="10" a="1"/>
  <c r="I39" i="10" s="1"/>
  <c r="H40" i="10" a="1"/>
  <c r="H40" i="10" s="1"/>
  <c r="P40" i="10" a="1"/>
  <c r="P40" i="10" s="1"/>
  <c r="I41" i="10" a="1"/>
  <c r="I41" i="10" s="1"/>
  <c r="H42" i="10" a="1"/>
  <c r="H42" i="10" s="1"/>
  <c r="P42" i="10" a="1"/>
  <c r="P42" i="10" s="1"/>
  <c r="I43" i="10" a="1"/>
  <c r="I43" i="10" s="1"/>
  <c r="J5" i="10" a="1"/>
  <c r="J5" i="10" s="1"/>
  <c r="I7" i="10" a="1"/>
  <c r="I7" i="10" s="1"/>
  <c r="O9" i="10" a="1"/>
  <c r="O9" i="10" s="1"/>
  <c r="H12" i="10" a="1"/>
  <c r="H12" i="10" s="1"/>
  <c r="J13" i="10" a="1"/>
  <c r="J13" i="10" s="1"/>
  <c r="N14" i="10" a="1"/>
  <c r="N14" i="10" s="1"/>
  <c r="I15" i="10" a="1"/>
  <c r="I15" i="10" s="1"/>
  <c r="O17" i="10" a="1"/>
  <c r="O17" i="10" s="1"/>
  <c r="H18" i="10" a="1"/>
  <c r="H18" i="10" s="1"/>
  <c r="P18" i="10" a="1"/>
  <c r="P18" i="10" s="1"/>
  <c r="G19" i="10" a="1"/>
  <c r="G19" i="10" s="1"/>
  <c r="J20" i="10" a="1"/>
  <c r="J20" i="10" s="1"/>
  <c r="G21" i="10" a="1"/>
  <c r="G21" i="10" s="1"/>
  <c r="I22" i="10" a="1"/>
  <c r="I22" i="10" s="1"/>
  <c r="P22" i="10" a="1"/>
  <c r="P22" i="10" s="1"/>
  <c r="G23" i="10" a="1"/>
  <c r="G23" i="10" s="1"/>
  <c r="J23" i="10" a="1"/>
  <c r="J23" i="10" s="1"/>
  <c r="O23" i="10" a="1"/>
  <c r="O23" i="10" s="1"/>
  <c r="K24" i="10" a="1"/>
  <c r="K24" i="10" s="1"/>
  <c r="G25" i="10" a="1"/>
  <c r="G25" i="10" s="1"/>
  <c r="J25" i="10" a="1"/>
  <c r="J25" i="10" s="1"/>
  <c r="O25" i="10" a="1"/>
  <c r="O25" i="10" s="1"/>
  <c r="K26" i="10" a="1"/>
  <c r="K26" i="10" s="1"/>
  <c r="N26" i="10" a="1"/>
  <c r="N26" i="10" s="1"/>
  <c r="G27" i="10" a="1"/>
  <c r="G27" i="10" s="1"/>
  <c r="J27" i="10" a="1"/>
  <c r="J27" i="10" s="1"/>
  <c r="O27" i="10" a="1"/>
  <c r="O27" i="10" s="1"/>
  <c r="K28" i="10" a="1"/>
  <c r="K28" i="10" s="1"/>
  <c r="G29" i="10" a="1"/>
  <c r="G29" i="10" s="1"/>
  <c r="J29" i="10" a="1"/>
  <c r="J29" i="10" s="1"/>
  <c r="O29" i="10" a="1"/>
  <c r="O29" i="10" s="1"/>
  <c r="K30" i="10" a="1"/>
  <c r="K30" i="10" s="1"/>
  <c r="G31" i="10" a="1"/>
  <c r="G31" i="10" s="1"/>
  <c r="J31" i="10" a="1"/>
  <c r="J31" i="10" s="1"/>
  <c r="O31" i="10" a="1"/>
  <c r="O31" i="10" s="1"/>
  <c r="K32" i="10" a="1"/>
  <c r="K32" i="10" s="1"/>
  <c r="G33" i="10" a="1"/>
  <c r="G33" i="10" s="1"/>
  <c r="J33" i="10" a="1"/>
  <c r="J33" i="10" s="1"/>
  <c r="O33" i="10" a="1"/>
  <c r="O33" i="10" s="1"/>
  <c r="P64" i="10" a="1"/>
  <c r="P64" i="10" s="1"/>
  <c r="H64" i="10" a="1"/>
  <c r="H64" i="10" s="1"/>
  <c r="I63" i="10" a="1"/>
  <c r="I63" i="10" s="1"/>
  <c r="P62" i="10" a="1"/>
  <c r="P62" i="10" s="1"/>
  <c r="H62" i="10" a="1"/>
  <c r="H62" i="10" s="1"/>
  <c r="I61" i="10" a="1"/>
  <c r="I61" i="10" s="1"/>
  <c r="P60" i="10" a="1"/>
  <c r="P60" i="10" s="1"/>
  <c r="H60" i="10" a="1"/>
  <c r="H60" i="10" s="1"/>
  <c r="I59" i="10" a="1"/>
  <c r="I59" i="10" s="1"/>
  <c r="P58" i="10" a="1"/>
  <c r="P58" i="10" s="1"/>
  <c r="H58" i="10" a="1"/>
  <c r="H58" i="10" s="1"/>
  <c r="I57" i="10" a="1"/>
  <c r="I57" i="10" s="1"/>
  <c r="P56" i="10" a="1"/>
  <c r="P56" i="10" s="1"/>
  <c r="M56" i="10" a="1"/>
  <c r="M56" i="10" s="1"/>
  <c r="H56" i="10" a="1"/>
  <c r="H56" i="10" s="1"/>
  <c r="J55" i="10" a="1"/>
  <c r="J55" i="10" s="1"/>
  <c r="P53" i="10" a="1"/>
  <c r="P53" i="10" s="1"/>
  <c r="H53" i="10" a="1"/>
  <c r="H53" i="10" s="1"/>
  <c r="J51" i="10" a="1"/>
  <c r="J51" i="10" s="1"/>
  <c r="P49" i="10" a="1"/>
  <c r="P49" i="10" s="1"/>
  <c r="H49" i="10" a="1"/>
  <c r="H49" i="10" s="1"/>
  <c r="J47" i="10" a="1"/>
  <c r="J47" i="10" s="1"/>
  <c r="P45" i="10" a="1"/>
  <c r="P45" i="10" s="1"/>
  <c r="H45" i="10" a="1"/>
  <c r="H45" i="10" s="1"/>
  <c r="I42" i="10" a="1"/>
  <c r="I42" i="10" s="1"/>
  <c r="G41" i="10" a="1"/>
  <c r="G41" i="10" s="1"/>
  <c r="K40" i="10" a="1"/>
  <c r="K40" i="10" s="1"/>
  <c r="H39" i="10" a="1"/>
  <c r="H39" i="10" s="1"/>
  <c r="O37" i="10" a="1"/>
  <c r="O37" i="10" s="1"/>
  <c r="J37" i="10" a="1"/>
  <c r="J37" i="10" s="1"/>
  <c r="P35" i="10" a="1"/>
  <c r="P35" i="10" s="1"/>
  <c r="I34" i="10" a="1"/>
  <c r="I34" i="10" s="1"/>
  <c r="H33" i="10" a="1"/>
  <c r="H33" i="10" s="1"/>
  <c r="I28" i="10" a="1"/>
  <c r="I28" i="10" s="1"/>
  <c r="P27" i="10" a="1"/>
  <c r="P27" i="10" s="1"/>
  <c r="L26" i="10" a="1"/>
  <c r="L26" i="10" s="1"/>
  <c r="H25" i="10" a="1"/>
  <c r="H25" i="10" s="1"/>
  <c r="I19" i="10" a="1"/>
  <c r="I19" i="10" s="1"/>
  <c r="O11" i="10" a="1"/>
  <c r="O11" i="10" s="1"/>
  <c r="N17" i="10" a="1"/>
  <c r="N17" i="10" s="1"/>
  <c r="K3" i="10" a="1"/>
  <c r="K3" i="10" s="1"/>
  <c r="P3" i="10" a="1"/>
  <c r="P3" i="10" s="1"/>
  <c r="J3" i="10" a="1"/>
  <c r="J3" i="10" s="1"/>
  <c r="H3" i="10" a="1"/>
  <c r="H3" i="10" s="1"/>
  <c r="O3" i="10" a="1"/>
  <c r="O3" i="10" s="1"/>
  <c r="I3" i="10" a="1"/>
  <c r="I3" i="10" s="1"/>
  <c r="G3" i="10" a="1"/>
  <c r="G3" i="10" s="1"/>
  <c r="M3" i="10" a="1"/>
  <c r="M3" i="10" s="1"/>
  <c r="G53" i="11" a="1"/>
  <c r="G53" i="11" s="1"/>
  <c r="P52" i="11" a="1"/>
  <c r="P52" i="11" s="1"/>
  <c r="L3" i="10" a="1"/>
  <c r="L3" i="10" s="1"/>
  <c r="N3" i="10" a="1"/>
  <c r="N3" i="10" s="1"/>
  <c r="P63" i="9" a="1"/>
  <c r="P63" i="9" s="1"/>
  <c r="H37" i="9" a="1"/>
  <c r="H37" i="9" s="1"/>
  <c r="J36" i="9" a="1"/>
  <c r="J36" i="9" s="1"/>
  <c r="I20" i="9" a="1"/>
  <c r="I20" i="9" s="1"/>
  <c r="J64" i="9" a="1"/>
  <c r="J64" i="9" s="1"/>
  <c r="P62" i="9" a="1"/>
  <c r="P62" i="9" s="1"/>
  <c r="H62" i="9" a="1"/>
  <c r="H62" i="9" s="1"/>
  <c r="K43" i="9" a="1"/>
  <c r="K43" i="9" s="1"/>
  <c r="I39" i="9" a="1"/>
  <c r="I39" i="9" s="1"/>
  <c r="J61" i="9" a="1"/>
  <c r="J61" i="9" s="1"/>
  <c r="K54" i="9" a="1"/>
  <c r="K54" i="9" s="1"/>
  <c r="O51" i="9" a="1"/>
  <c r="O51" i="9" s="1"/>
  <c r="K50" i="9" a="1"/>
  <c r="K50" i="9" s="1"/>
  <c r="K48" i="9" a="1"/>
  <c r="K48" i="9" s="1"/>
  <c r="O47" i="9" a="1"/>
  <c r="O47" i="9" s="1"/>
  <c r="O45" i="9" a="1"/>
  <c r="O45" i="9" s="1"/>
  <c r="K44" i="9" a="1"/>
  <c r="K44" i="9" s="1"/>
  <c r="J63" i="9" a="1"/>
  <c r="J63" i="9" s="1"/>
  <c r="J53" i="9" a="1"/>
  <c r="J53" i="9" s="1"/>
  <c r="J49" i="9" a="1"/>
  <c r="J49" i="9" s="1"/>
  <c r="J47" i="9" a="1"/>
  <c r="J47" i="9" s="1"/>
  <c r="J45" i="9" a="1"/>
  <c r="J45" i="9" s="1"/>
  <c r="O40" i="9" a="1"/>
  <c r="O40" i="9" s="1"/>
  <c r="J38" i="9" a="1"/>
  <c r="J38" i="9" s="1"/>
  <c r="I29" i="9" a="1"/>
  <c r="I29" i="9" s="1"/>
  <c r="J28" i="9" a="1"/>
  <c r="J28" i="9" s="1"/>
  <c r="H4" i="9" a="1"/>
  <c r="H4" i="9" s="1"/>
  <c r="P4" i="9" a="1"/>
  <c r="P4" i="9" s="1"/>
  <c r="I5" i="9" a="1"/>
  <c r="I5" i="9" s="1"/>
  <c r="H6" i="9" a="1"/>
  <c r="H6" i="9" s="1"/>
  <c r="P6" i="9" a="1"/>
  <c r="P6" i="9" s="1"/>
  <c r="I7" i="9" a="1"/>
  <c r="I7" i="9" s="1"/>
  <c r="H8" i="9" a="1"/>
  <c r="H8" i="9" s="1"/>
  <c r="P8" i="9" a="1"/>
  <c r="P8" i="9" s="1"/>
  <c r="I9" i="9" a="1"/>
  <c r="I9" i="9" s="1"/>
  <c r="H10" i="9" a="1"/>
  <c r="H10" i="9" s="1"/>
  <c r="P10" i="9" a="1"/>
  <c r="P10" i="9" s="1"/>
  <c r="I11" i="9" a="1"/>
  <c r="I11" i="9" s="1"/>
  <c r="H12" i="9" a="1"/>
  <c r="H12" i="9" s="1"/>
  <c r="P12" i="9" a="1"/>
  <c r="P12" i="9" s="1"/>
  <c r="I13" i="9" a="1"/>
  <c r="I13" i="9" s="1"/>
  <c r="H14" i="9" a="1"/>
  <c r="H14" i="9" s="1"/>
  <c r="M14" i="9" a="1"/>
  <c r="M14" i="9" s="1"/>
  <c r="P14" i="9" a="1"/>
  <c r="P14" i="9" s="1"/>
  <c r="I15" i="9" a="1"/>
  <c r="I15" i="9" s="1"/>
  <c r="H16" i="9" a="1"/>
  <c r="H16" i="9" s="1"/>
  <c r="P16" i="9" a="1"/>
  <c r="P16" i="9" s="1"/>
  <c r="I17" i="9" a="1"/>
  <c r="I17" i="9" s="1"/>
  <c r="K4" i="9" a="1"/>
  <c r="K4" i="9" s="1"/>
  <c r="G5" i="9" a="1"/>
  <c r="G5" i="9" s="1"/>
  <c r="J5" i="9" a="1"/>
  <c r="J5" i="9" s="1"/>
  <c r="O5" i="9" a="1"/>
  <c r="O5" i="9" s="1"/>
  <c r="K6" i="9" a="1"/>
  <c r="K6" i="9" s="1"/>
  <c r="G7" i="9" a="1"/>
  <c r="G7" i="9" s="1"/>
  <c r="J7" i="9" a="1"/>
  <c r="J7" i="9" s="1"/>
  <c r="O7" i="9" a="1"/>
  <c r="O7" i="9" s="1"/>
  <c r="K8" i="9" a="1"/>
  <c r="K8" i="9" s="1"/>
  <c r="G9" i="9" a="1"/>
  <c r="G9" i="9" s="1"/>
  <c r="J9" i="9" a="1"/>
  <c r="J9" i="9" s="1"/>
  <c r="O9" i="9" a="1"/>
  <c r="O9" i="9" s="1"/>
  <c r="K10" i="9" a="1"/>
  <c r="K10" i="9" s="1"/>
  <c r="G11" i="9" a="1"/>
  <c r="G11" i="9" s="1"/>
  <c r="J11" i="9" a="1"/>
  <c r="J11" i="9" s="1"/>
  <c r="O11" i="9" a="1"/>
  <c r="O11" i="9" s="1"/>
  <c r="K12" i="9" a="1"/>
  <c r="K12" i="9" s="1"/>
  <c r="G13" i="9" a="1"/>
  <c r="G13" i="9" s="1"/>
  <c r="J13" i="9" a="1"/>
  <c r="J13" i="9" s="1"/>
  <c r="O13" i="9" a="1"/>
  <c r="O13" i="9" s="1"/>
  <c r="K14" i="9" a="1"/>
  <c r="K14" i="9" s="1"/>
  <c r="N14" i="9" a="1"/>
  <c r="N14" i="9" s="1"/>
  <c r="I4" i="9" a="1"/>
  <c r="I4" i="9" s="1"/>
  <c r="H5" i="9" a="1"/>
  <c r="H5" i="9" s="1"/>
  <c r="P5" i="9" a="1"/>
  <c r="P5" i="9" s="1"/>
  <c r="I6" i="9" a="1"/>
  <c r="I6" i="9" s="1"/>
  <c r="H7" i="9" a="1"/>
  <c r="H7" i="9" s="1"/>
  <c r="P7" i="9" a="1"/>
  <c r="P7" i="9" s="1"/>
  <c r="I8" i="9" a="1"/>
  <c r="I8" i="9" s="1"/>
  <c r="H9" i="9" a="1"/>
  <c r="H9" i="9" s="1"/>
  <c r="P9" i="9" a="1"/>
  <c r="P9" i="9" s="1"/>
  <c r="I10" i="9" a="1"/>
  <c r="I10" i="9" s="1"/>
  <c r="H11" i="9" a="1"/>
  <c r="H11" i="9" s="1"/>
  <c r="P11" i="9" a="1"/>
  <c r="P11" i="9" s="1"/>
  <c r="I12" i="9" a="1"/>
  <c r="I12" i="9" s="1"/>
  <c r="H13" i="9" a="1"/>
  <c r="H13" i="9" s="1"/>
  <c r="P13" i="9" a="1"/>
  <c r="P13" i="9" s="1"/>
  <c r="I14" i="9" a="1"/>
  <c r="I14" i="9" s="1"/>
  <c r="L14" i="9" a="1"/>
  <c r="L14" i="9" s="1"/>
  <c r="H15" i="9" a="1"/>
  <c r="H15" i="9" s="1"/>
  <c r="P15" i="9" a="1"/>
  <c r="P15" i="9" s="1"/>
  <c r="I16" i="9" a="1"/>
  <c r="I16" i="9" s="1"/>
  <c r="H17" i="9" a="1"/>
  <c r="H17" i="9" s="1"/>
  <c r="P17" i="9" a="1"/>
  <c r="P17" i="9" s="1"/>
  <c r="J4" i="9" a="1"/>
  <c r="J4" i="9" s="1"/>
  <c r="J6" i="9" a="1"/>
  <c r="J6" i="9" s="1"/>
  <c r="J8" i="9" a="1"/>
  <c r="J8" i="9" s="1"/>
  <c r="J10" i="9" a="1"/>
  <c r="J10" i="9" s="1"/>
  <c r="J12" i="9" a="1"/>
  <c r="J12" i="9" s="1"/>
  <c r="K15" i="9" a="1"/>
  <c r="K15" i="9" s="1"/>
  <c r="K17" i="9" a="1"/>
  <c r="K17" i="9" s="1"/>
  <c r="J18" i="9" a="1"/>
  <c r="J18" i="9" s="1"/>
  <c r="I19" i="9" a="1"/>
  <c r="I19" i="9" s="1"/>
  <c r="O4" i="9" a="1"/>
  <c r="O4" i="9" s="1"/>
  <c r="K5" i="9" a="1"/>
  <c r="K5" i="9" s="1"/>
  <c r="O6" i="9" a="1"/>
  <c r="O6" i="9" s="1"/>
  <c r="K7" i="9" a="1"/>
  <c r="K7" i="9" s="1"/>
  <c r="O8" i="9" a="1"/>
  <c r="O8" i="9" s="1"/>
  <c r="K9" i="9" a="1"/>
  <c r="K9" i="9" s="1"/>
  <c r="O10" i="9" a="1"/>
  <c r="O10" i="9" s="1"/>
  <c r="K11" i="9" a="1"/>
  <c r="K11" i="9" s="1"/>
  <c r="O12" i="9" a="1"/>
  <c r="O12" i="9" s="1"/>
  <c r="K13" i="9" a="1"/>
  <c r="K13" i="9" s="1"/>
  <c r="O14" i="9" a="1"/>
  <c r="O14" i="9" s="1"/>
  <c r="G15" i="9" a="1"/>
  <c r="G15" i="9" s="1"/>
  <c r="J16" i="9" a="1"/>
  <c r="J16" i="9" s="1"/>
  <c r="O16" i="9" a="1"/>
  <c r="O16" i="9" s="1"/>
  <c r="G17" i="9" a="1"/>
  <c r="G17" i="9" s="1"/>
  <c r="H18" i="9" a="1"/>
  <c r="H18" i="9" s="1"/>
  <c r="K18" i="9" a="1"/>
  <c r="K18" i="9" s="1"/>
  <c r="P18" i="9" a="1"/>
  <c r="P18" i="9" s="1"/>
  <c r="G19" i="9" a="1"/>
  <c r="G19" i="9" s="1"/>
  <c r="O19" i="9" a="1"/>
  <c r="O19" i="9" s="1"/>
  <c r="H20" i="9" a="1"/>
  <c r="H20" i="9" s="1"/>
  <c r="K20" i="9" a="1"/>
  <c r="K20" i="9" s="1"/>
  <c r="P20" i="9" a="1"/>
  <c r="P20" i="9" s="1"/>
  <c r="G21" i="9" a="1"/>
  <c r="G21" i="9" s="1"/>
  <c r="O21" i="9" a="1"/>
  <c r="O21" i="9" s="1"/>
  <c r="H22" i="9" a="1"/>
  <c r="H22" i="9" s="1"/>
  <c r="K22" i="9" a="1"/>
  <c r="K22" i="9" s="1"/>
  <c r="P22" i="9" a="1"/>
  <c r="P22" i="9" s="1"/>
  <c r="J15" i="9" a="1"/>
  <c r="J15" i="9" s="1"/>
  <c r="J17" i="9" a="1"/>
  <c r="J17" i="9" s="1"/>
  <c r="H19" i="9" a="1"/>
  <c r="H19" i="9" s="1"/>
  <c r="H21" i="9" a="1"/>
  <c r="H21" i="9" s="1"/>
  <c r="G22" i="9" a="1"/>
  <c r="G22" i="9" s="1"/>
  <c r="J22" i="9" a="1"/>
  <c r="J22" i="9" s="1"/>
  <c r="H23" i="9" a="1"/>
  <c r="H23" i="9" s="1"/>
  <c r="K23" i="9" a="1"/>
  <c r="K23" i="9" s="1"/>
  <c r="P23" i="9" a="1"/>
  <c r="P23" i="9" s="1"/>
  <c r="G24" i="9" a="1"/>
  <c r="G24" i="9" s="1"/>
  <c r="O24" i="9" a="1"/>
  <c r="O24" i="9" s="1"/>
  <c r="H25" i="9" a="1"/>
  <c r="H25" i="9" s="1"/>
  <c r="K25" i="9" a="1"/>
  <c r="K25" i="9" s="1"/>
  <c r="P25" i="9" a="1"/>
  <c r="P25" i="9" s="1"/>
  <c r="G26" i="9" a="1"/>
  <c r="G26" i="9" s="1"/>
  <c r="L26" i="9" a="1"/>
  <c r="L26" i="9" s="1"/>
  <c r="O26" i="9" a="1"/>
  <c r="O26" i="9" s="1"/>
  <c r="H27" i="9" a="1"/>
  <c r="H27" i="9" s="1"/>
  <c r="K27" i="9" a="1"/>
  <c r="K27" i="9" s="1"/>
  <c r="P27" i="9" a="1"/>
  <c r="P27" i="9" s="1"/>
  <c r="G28" i="9" a="1"/>
  <c r="G28" i="9" s="1"/>
  <c r="O28" i="9" a="1"/>
  <c r="O28" i="9" s="1"/>
  <c r="H29" i="9" a="1"/>
  <c r="H29" i="9" s="1"/>
  <c r="K29" i="9" a="1"/>
  <c r="K29" i="9" s="1"/>
  <c r="P29" i="9" a="1"/>
  <c r="P29" i="9" s="1"/>
  <c r="G30" i="9" a="1"/>
  <c r="G30" i="9" s="1"/>
  <c r="O30" i="9" a="1"/>
  <c r="O30" i="9" s="1"/>
  <c r="H31" i="9" a="1"/>
  <c r="H31" i="9" s="1"/>
  <c r="K31" i="9" a="1"/>
  <c r="K31" i="9" s="1"/>
  <c r="P31" i="9" a="1"/>
  <c r="P31" i="9" s="1"/>
  <c r="G32" i="9" a="1"/>
  <c r="G32" i="9" s="1"/>
  <c r="O32" i="9" a="1"/>
  <c r="O32" i="9" s="1"/>
  <c r="H33" i="9" a="1"/>
  <c r="H33" i="9" s="1"/>
  <c r="K33" i="9" a="1"/>
  <c r="K33" i="9" s="1"/>
  <c r="P33" i="9" a="1"/>
  <c r="P33" i="9" s="1"/>
  <c r="G34" i="9" a="1"/>
  <c r="G34" i="9" s="1"/>
  <c r="O34" i="9" a="1"/>
  <c r="O34" i="9" s="1"/>
  <c r="H35" i="9" a="1"/>
  <c r="H35" i="9" s="1"/>
  <c r="K35" i="9" a="1"/>
  <c r="K35" i="9" s="1"/>
  <c r="P35" i="9" a="1"/>
  <c r="P35" i="9" s="1"/>
  <c r="G36" i="9" a="1"/>
  <c r="G36" i="9" s="1"/>
  <c r="O36" i="9" a="1"/>
  <c r="O36" i="9" s="1"/>
  <c r="G6" i="9" a="1"/>
  <c r="G6" i="9" s="1"/>
  <c r="G10" i="9" a="1"/>
  <c r="G10" i="9" s="1"/>
  <c r="G16" i="9" a="1"/>
  <c r="G16" i="9" s="1"/>
  <c r="G18" i="9" a="1"/>
  <c r="G18" i="9" s="1"/>
  <c r="J19" i="9" a="1"/>
  <c r="J19" i="9" s="1"/>
  <c r="G20" i="9" a="1"/>
  <c r="G20" i="9" s="1"/>
  <c r="J20" i="9" a="1"/>
  <c r="J20" i="9" s="1"/>
  <c r="I21" i="9" a="1"/>
  <c r="I21" i="9" s="1"/>
  <c r="P21" i="9" a="1"/>
  <c r="P21" i="9" s="1"/>
  <c r="O22" i="9" a="1"/>
  <c r="O22" i="9" s="1"/>
  <c r="I23" i="9" a="1"/>
  <c r="I23" i="9" s="1"/>
  <c r="J24" i="9" a="1"/>
  <c r="J24" i="9" s="1"/>
  <c r="I25" i="9" a="1"/>
  <c r="I25" i="9" s="1"/>
  <c r="J26" i="9" a="1"/>
  <c r="J26" i="9" s="1"/>
  <c r="M26" i="9" a="1"/>
  <c r="M26" i="9" s="1"/>
  <c r="I27" i="9" a="1"/>
  <c r="I27" i="9" s="1"/>
  <c r="G14" i="9" a="1"/>
  <c r="G14" i="9" s="1"/>
  <c r="O15" i="9" a="1"/>
  <c r="O15" i="9" s="1"/>
  <c r="K16" i="9" a="1"/>
  <c r="K16" i="9" s="1"/>
  <c r="O17" i="9" a="1"/>
  <c r="O17" i="9" s="1"/>
  <c r="I18" i="9" a="1"/>
  <c r="I18" i="9" s="1"/>
  <c r="K19" i="9" a="1"/>
  <c r="K19" i="9" s="1"/>
  <c r="P19" i="9" a="1"/>
  <c r="P19" i="9" s="1"/>
  <c r="O20" i="9" a="1"/>
  <c r="O20" i="9" s="1"/>
  <c r="J21" i="9" a="1"/>
  <c r="J21" i="9" s="1"/>
  <c r="I22" i="9" a="1"/>
  <c r="I22" i="9" s="1"/>
  <c r="G23" i="9" a="1"/>
  <c r="G23" i="9" s="1"/>
  <c r="O23" i="9" a="1"/>
  <c r="O23" i="9" s="1"/>
  <c r="H24" i="9" a="1"/>
  <c r="H24" i="9" s="1"/>
  <c r="K24" i="9" a="1"/>
  <c r="K24" i="9" s="1"/>
  <c r="P24" i="9" a="1"/>
  <c r="P24" i="9" s="1"/>
  <c r="G25" i="9" a="1"/>
  <c r="G25" i="9" s="1"/>
  <c r="O25" i="9" a="1"/>
  <c r="O25" i="9" s="1"/>
  <c r="H26" i="9" a="1"/>
  <c r="H26" i="9" s="1"/>
  <c r="K26" i="9" a="1"/>
  <c r="K26" i="9" s="1"/>
  <c r="P26" i="9" a="1"/>
  <c r="P26" i="9" s="1"/>
  <c r="G27" i="9" a="1"/>
  <c r="G27" i="9" s="1"/>
  <c r="O27" i="9" a="1"/>
  <c r="O27" i="9" s="1"/>
  <c r="H28" i="9" a="1"/>
  <c r="H28" i="9" s="1"/>
  <c r="K28" i="9" a="1"/>
  <c r="K28" i="9" s="1"/>
  <c r="P28" i="9" a="1"/>
  <c r="P28" i="9" s="1"/>
  <c r="G29" i="9" a="1"/>
  <c r="G29" i="9" s="1"/>
  <c r="O29" i="9" a="1"/>
  <c r="O29" i="9" s="1"/>
  <c r="H30" i="9" a="1"/>
  <c r="H30" i="9" s="1"/>
  <c r="K30" i="9" a="1"/>
  <c r="K30" i="9" s="1"/>
  <c r="P30" i="9" a="1"/>
  <c r="P30" i="9" s="1"/>
  <c r="G31" i="9" a="1"/>
  <c r="G31" i="9" s="1"/>
  <c r="O31" i="9" a="1"/>
  <c r="O31" i="9" s="1"/>
  <c r="H32" i="9" a="1"/>
  <c r="H32" i="9" s="1"/>
  <c r="K32" i="9" a="1"/>
  <c r="K32" i="9" s="1"/>
  <c r="P32" i="9" a="1"/>
  <c r="P32" i="9" s="1"/>
  <c r="G33" i="9" a="1"/>
  <c r="G33" i="9" s="1"/>
  <c r="O33" i="9" a="1"/>
  <c r="O33" i="9" s="1"/>
  <c r="H34" i="9" a="1"/>
  <c r="H34" i="9" s="1"/>
  <c r="K34" i="9" a="1"/>
  <c r="K34" i="9" s="1"/>
  <c r="P34" i="9" a="1"/>
  <c r="P34" i="9" s="1"/>
  <c r="G35" i="9" a="1"/>
  <c r="G35" i="9" s="1"/>
  <c r="O35" i="9" a="1"/>
  <c r="O35" i="9" s="1"/>
  <c r="H36" i="9" a="1"/>
  <c r="H36" i="9" s="1"/>
  <c r="K36" i="9" a="1"/>
  <c r="K36" i="9" s="1"/>
  <c r="P36" i="9" a="1"/>
  <c r="P36" i="9" s="1"/>
  <c r="G37" i="9" a="1"/>
  <c r="G37" i="9" s="1"/>
  <c r="L37" i="9" a="1"/>
  <c r="L37" i="9" s="1"/>
  <c r="O37" i="9" a="1"/>
  <c r="O37" i="9" s="1"/>
  <c r="H38" i="9" a="1"/>
  <c r="H38" i="9" s="1"/>
  <c r="K38" i="9" a="1"/>
  <c r="K38" i="9" s="1"/>
  <c r="P38" i="9" a="1"/>
  <c r="P38" i="9" s="1"/>
  <c r="G39" i="9" a="1"/>
  <c r="G39" i="9" s="1"/>
  <c r="O39" i="9" a="1"/>
  <c r="O39" i="9" s="1"/>
  <c r="H40" i="9" a="1"/>
  <c r="H40" i="9" s="1"/>
  <c r="K40" i="9" a="1"/>
  <c r="K40" i="9" s="1"/>
  <c r="P40" i="9" a="1"/>
  <c r="P40" i="9" s="1"/>
  <c r="G41" i="9" a="1"/>
  <c r="G41" i="9" s="1"/>
  <c r="O41" i="9" a="1"/>
  <c r="O41" i="9" s="1"/>
  <c r="H42" i="9" a="1"/>
  <c r="H42" i="9" s="1"/>
  <c r="K42" i="9" a="1"/>
  <c r="K42" i="9" s="1"/>
  <c r="P42" i="9" a="1"/>
  <c r="P42" i="9" s="1"/>
  <c r="G43" i="9" a="1"/>
  <c r="G43" i="9" s="1"/>
  <c r="O43" i="9" a="1"/>
  <c r="O43" i="9" s="1"/>
  <c r="G8" i="9" a="1"/>
  <c r="G8" i="9" s="1"/>
  <c r="O18" i="9" a="1"/>
  <c r="O18" i="9" s="1"/>
  <c r="N26" i="9" a="1"/>
  <c r="N26" i="9" s="1"/>
  <c r="J27" i="9" a="1"/>
  <c r="J27" i="9" s="1"/>
  <c r="J29" i="9" a="1"/>
  <c r="J29" i="9" s="1"/>
  <c r="I30" i="9" a="1"/>
  <c r="I30" i="9" s="1"/>
  <c r="J33" i="9" a="1"/>
  <c r="J33" i="9" s="1"/>
  <c r="I34" i="9" a="1"/>
  <c r="I34" i="9" s="1"/>
  <c r="I37" i="9" a="1"/>
  <c r="I37" i="9" s="1"/>
  <c r="M37" i="9" a="1"/>
  <c r="M37" i="9" s="1"/>
  <c r="P37" i="9" a="1"/>
  <c r="P37" i="9" s="1"/>
  <c r="O38" i="9" a="1"/>
  <c r="O38" i="9" s="1"/>
  <c r="J39" i="9" a="1"/>
  <c r="J39" i="9" s="1"/>
  <c r="I40" i="9" a="1"/>
  <c r="I40" i="9" s="1"/>
  <c r="K41" i="9" a="1"/>
  <c r="K41" i="9" s="1"/>
  <c r="H43" i="9" a="1"/>
  <c r="H43" i="9" s="1"/>
  <c r="I44" i="9" a="1"/>
  <c r="I44" i="9" s="1"/>
  <c r="H45" i="9" a="1"/>
  <c r="H45" i="9" s="1"/>
  <c r="P45" i="9" a="1"/>
  <c r="P45" i="9" s="1"/>
  <c r="I46" i="9" a="1"/>
  <c r="I46" i="9" s="1"/>
  <c r="L46" i="9" a="1"/>
  <c r="L46" i="9" s="1"/>
  <c r="H47" i="9" a="1"/>
  <c r="H47" i="9" s="1"/>
  <c r="P47" i="9" a="1"/>
  <c r="P47" i="9" s="1"/>
  <c r="I48" i="9" a="1"/>
  <c r="I48" i="9" s="1"/>
  <c r="H49" i="9" a="1"/>
  <c r="H49" i="9" s="1"/>
  <c r="P49" i="9" a="1"/>
  <c r="P49" i="9" s="1"/>
  <c r="I50" i="9" a="1"/>
  <c r="I50" i="9" s="1"/>
  <c r="H51" i="9" a="1"/>
  <c r="H51" i="9" s="1"/>
  <c r="P51" i="9" a="1"/>
  <c r="P51" i="9" s="1"/>
  <c r="I52" i="9" a="1"/>
  <c r="I52" i="9" s="1"/>
  <c r="H53" i="9" a="1"/>
  <c r="H53" i="9" s="1"/>
  <c r="P53" i="9" a="1"/>
  <c r="P53" i="9" s="1"/>
  <c r="I54" i="9" a="1"/>
  <c r="I54" i="9" s="1"/>
  <c r="H55" i="9" a="1"/>
  <c r="H55" i="9" s="1"/>
  <c r="J55" i="9" a="1"/>
  <c r="J55" i="9" s="1"/>
  <c r="P55" i="9" a="1"/>
  <c r="P55" i="9" s="1"/>
  <c r="H56" i="9" a="1"/>
  <c r="H56" i="9" s="1"/>
  <c r="J56" i="9" a="1"/>
  <c r="J56" i="9" s="1"/>
  <c r="L56" i="9" a="1"/>
  <c r="L56" i="9" s="1"/>
  <c r="N56" i="9" a="1"/>
  <c r="N56" i="9" s="1"/>
  <c r="P56" i="9" a="1"/>
  <c r="P56" i="9" s="1"/>
  <c r="H57" i="9" a="1"/>
  <c r="H57" i="9" s="1"/>
  <c r="J57" i="9" a="1"/>
  <c r="J57" i="9" s="1"/>
  <c r="P57" i="9" a="1"/>
  <c r="P57" i="9" s="1"/>
  <c r="H58" i="9" a="1"/>
  <c r="H58" i="9" s="1"/>
  <c r="J58" i="9" a="1"/>
  <c r="J58" i="9" s="1"/>
  <c r="P58" i="9" a="1"/>
  <c r="P58" i="9" s="1"/>
  <c r="H59" i="9" a="1"/>
  <c r="H59" i="9" s="1"/>
  <c r="J59" i="9" a="1"/>
  <c r="J59" i="9" s="1"/>
  <c r="P59" i="9" a="1"/>
  <c r="P59" i="9" s="1"/>
  <c r="H60" i="9" a="1"/>
  <c r="H60" i="9" s="1"/>
  <c r="J60" i="9" a="1"/>
  <c r="J60" i="9" s="1"/>
  <c r="P60" i="9" a="1"/>
  <c r="P60" i="9" s="1"/>
  <c r="G12" i="9" a="1"/>
  <c r="G12" i="9" s="1"/>
  <c r="K21" i="9" a="1"/>
  <c r="K21" i="9" s="1"/>
  <c r="J25" i="9" a="1"/>
  <c r="J25" i="9" s="1"/>
  <c r="J30" i="9" a="1"/>
  <c r="J30" i="9" s="1"/>
  <c r="I31" i="9" a="1"/>
  <c r="I31" i="9" s="1"/>
  <c r="J34" i="9" a="1"/>
  <c r="J34" i="9" s="1"/>
  <c r="I35" i="9" a="1"/>
  <c r="I35" i="9" s="1"/>
  <c r="J37" i="9" a="1"/>
  <c r="J37" i="9" s="1"/>
  <c r="I38" i="9" a="1"/>
  <c r="I38" i="9" s="1"/>
  <c r="K39" i="9" a="1"/>
  <c r="K39" i="9" s="1"/>
  <c r="H41" i="9" a="1"/>
  <c r="H41" i="9" s="1"/>
  <c r="G42" i="9" a="1"/>
  <c r="G42" i="9" s="1"/>
  <c r="J42" i="9" a="1"/>
  <c r="J42" i="9" s="1"/>
  <c r="I43" i="9" a="1"/>
  <c r="I43" i="9" s="1"/>
  <c r="P43" i="9" a="1"/>
  <c r="P43" i="9" s="1"/>
  <c r="G44" i="9" a="1"/>
  <c r="G44" i="9" s="1"/>
  <c r="J44" i="9" a="1"/>
  <c r="J44" i="9" s="1"/>
  <c r="O44" i="9" a="1"/>
  <c r="O44" i="9" s="1"/>
  <c r="K45" i="9" a="1"/>
  <c r="K45" i="9" s="1"/>
  <c r="G46" i="9" a="1"/>
  <c r="G46" i="9" s="1"/>
  <c r="J46" i="9" a="1"/>
  <c r="J46" i="9" s="1"/>
  <c r="O46" i="9" a="1"/>
  <c r="O46" i="9" s="1"/>
  <c r="K47" i="9" a="1"/>
  <c r="K47" i="9" s="1"/>
  <c r="G48" i="9" a="1"/>
  <c r="G48" i="9" s="1"/>
  <c r="J48" i="9" a="1"/>
  <c r="J48" i="9" s="1"/>
  <c r="O48" i="9" a="1"/>
  <c r="O48" i="9" s="1"/>
  <c r="K49" i="9" a="1"/>
  <c r="K49" i="9" s="1"/>
  <c r="G50" i="9" a="1"/>
  <c r="G50" i="9" s="1"/>
  <c r="J50" i="9" a="1"/>
  <c r="J50" i="9" s="1"/>
  <c r="O50" i="9" a="1"/>
  <c r="O50" i="9" s="1"/>
  <c r="K51" i="9" a="1"/>
  <c r="K51" i="9" s="1"/>
  <c r="G52" i="9" a="1"/>
  <c r="G52" i="9" s="1"/>
  <c r="J52" i="9" a="1"/>
  <c r="J52" i="9" s="1"/>
  <c r="O52" i="9" a="1"/>
  <c r="O52" i="9" s="1"/>
  <c r="K53" i="9" a="1"/>
  <c r="K53" i="9" s="1"/>
  <c r="G54" i="9" a="1"/>
  <c r="G54" i="9" s="1"/>
  <c r="J54" i="9" a="1"/>
  <c r="J54" i="9" s="1"/>
  <c r="O54" i="9" a="1"/>
  <c r="O54" i="9" s="1"/>
  <c r="G59" i="9" a="1"/>
  <c r="G59" i="9" s="1"/>
  <c r="I59" i="9" a="1"/>
  <c r="I59" i="9" s="1"/>
  <c r="G61" i="9" a="1"/>
  <c r="G61" i="9" s="1"/>
  <c r="I61" i="9" a="1"/>
  <c r="I61" i="9" s="1"/>
  <c r="K61" i="9" a="1"/>
  <c r="K61" i="9" s="1"/>
  <c r="O61" i="9" a="1"/>
  <c r="O61" i="9" s="1"/>
  <c r="G62" i="9" a="1"/>
  <c r="G62" i="9" s="1"/>
  <c r="I62" i="9" a="1"/>
  <c r="I62" i="9" s="1"/>
  <c r="K62" i="9" a="1"/>
  <c r="K62" i="9" s="1"/>
  <c r="O62" i="9" a="1"/>
  <c r="O62" i="9" s="1"/>
  <c r="G4" i="9" a="1"/>
  <c r="G4" i="9" s="1"/>
  <c r="J14" i="9" a="1"/>
  <c r="J14" i="9" s="1"/>
  <c r="J23" i="9" a="1"/>
  <c r="J23" i="9" s="1"/>
  <c r="I26" i="9" a="1"/>
  <c r="I26" i="9" s="1"/>
  <c r="I28" i="9" a="1"/>
  <c r="I28" i="9" s="1"/>
  <c r="J31" i="9" a="1"/>
  <c r="J31" i="9" s="1"/>
  <c r="I32" i="9" a="1"/>
  <c r="I32" i="9" s="1"/>
  <c r="J35" i="9" a="1"/>
  <c r="J35" i="9" s="1"/>
  <c r="I36" i="9" a="1"/>
  <c r="I36" i="9" s="1"/>
  <c r="K37" i="9" a="1"/>
  <c r="K37" i="9" s="1"/>
  <c r="N37" i="9" a="1"/>
  <c r="N37" i="9" s="1"/>
  <c r="H39" i="9" a="1"/>
  <c r="H39" i="9" s="1"/>
  <c r="G40" i="9" a="1"/>
  <c r="G40" i="9" s="1"/>
  <c r="J40" i="9" a="1"/>
  <c r="J40" i="9" s="1"/>
  <c r="I41" i="9" a="1"/>
  <c r="I41" i="9" s="1"/>
  <c r="P41" i="9" a="1"/>
  <c r="P41" i="9" s="1"/>
  <c r="O42" i="9" a="1"/>
  <c r="O42" i="9" s="1"/>
  <c r="J43" i="9" a="1"/>
  <c r="J43" i="9" s="1"/>
  <c r="H44" i="9" a="1"/>
  <c r="H44" i="9" s="1"/>
  <c r="P44" i="9" a="1"/>
  <c r="P44" i="9" s="1"/>
  <c r="I45" i="9" a="1"/>
  <c r="I45" i="9" s="1"/>
  <c r="H46" i="9" a="1"/>
  <c r="H46" i="9" s="1"/>
  <c r="M46" i="9" a="1"/>
  <c r="M46" i="9" s="1"/>
  <c r="P46" i="9" a="1"/>
  <c r="P46" i="9" s="1"/>
  <c r="I47" i="9" a="1"/>
  <c r="I47" i="9" s="1"/>
  <c r="H48" i="9" a="1"/>
  <c r="H48" i="9" s="1"/>
  <c r="P48" i="9" a="1"/>
  <c r="P48" i="9" s="1"/>
  <c r="I49" i="9" a="1"/>
  <c r="I49" i="9" s="1"/>
  <c r="H50" i="9" a="1"/>
  <c r="H50" i="9" s="1"/>
  <c r="P50" i="9" a="1"/>
  <c r="P50" i="9" s="1"/>
  <c r="I51" i="9" a="1"/>
  <c r="I51" i="9" s="1"/>
  <c r="H52" i="9" a="1"/>
  <c r="H52" i="9" s="1"/>
  <c r="P52" i="9" a="1"/>
  <c r="P52" i="9" s="1"/>
  <c r="I53" i="9" a="1"/>
  <c r="I53" i="9" s="1"/>
  <c r="H54" i="9" a="1"/>
  <c r="H54" i="9" s="1"/>
  <c r="P54" i="9" a="1"/>
  <c r="P54" i="9" s="1"/>
  <c r="I55" i="9" a="1"/>
  <c r="I55" i="9" s="1"/>
  <c r="K55" i="9" a="1"/>
  <c r="K55" i="9" s="1"/>
  <c r="O55" i="9" a="1"/>
  <c r="O55" i="9" s="1"/>
  <c r="G56" i="9" a="1"/>
  <c r="G56" i="9" s="1"/>
  <c r="I56" i="9" a="1"/>
  <c r="I56" i="9" s="1"/>
  <c r="K56" i="9" a="1"/>
  <c r="K56" i="9" s="1"/>
  <c r="M56" i="9" a="1"/>
  <c r="M56" i="9" s="1"/>
  <c r="O56" i="9" a="1"/>
  <c r="O56" i="9" s="1"/>
  <c r="G57" i="9" a="1"/>
  <c r="G57" i="9" s="1"/>
  <c r="I57" i="9" a="1"/>
  <c r="I57" i="9" s="1"/>
  <c r="K57" i="9" a="1"/>
  <c r="K57" i="9" s="1"/>
  <c r="O57" i="9" a="1"/>
  <c r="O57" i="9" s="1"/>
  <c r="G58" i="9" a="1"/>
  <c r="G58" i="9" s="1"/>
  <c r="I58" i="9" a="1"/>
  <c r="I58" i="9" s="1"/>
  <c r="K58" i="9" a="1"/>
  <c r="K58" i="9" s="1"/>
  <c r="O58" i="9" a="1"/>
  <c r="O58" i="9" s="1"/>
  <c r="K59" i="9" a="1"/>
  <c r="K59" i="9" s="1"/>
  <c r="O59" i="9" a="1"/>
  <c r="O59" i="9" s="1"/>
  <c r="G60" i="9" a="1"/>
  <c r="G60" i="9" s="1"/>
  <c r="I60" i="9" a="1"/>
  <c r="I60" i="9" s="1"/>
  <c r="K60" i="9" a="1"/>
  <c r="K60" i="9" s="1"/>
  <c r="O60" i="9" a="1"/>
  <c r="O60" i="9" s="1"/>
  <c r="G63" i="9" a="1"/>
  <c r="G63" i="9" s="1"/>
  <c r="I63" i="9" a="1"/>
  <c r="I63" i="9" s="1"/>
  <c r="K63" i="9" a="1"/>
  <c r="K63" i="9" s="1"/>
  <c r="O63" i="9" a="1"/>
  <c r="O63" i="9" s="1"/>
  <c r="G64" i="9" a="1"/>
  <c r="G64" i="9" s="1"/>
  <c r="I64" i="9" a="1"/>
  <c r="I64" i="9" s="1"/>
  <c r="K64" i="9" a="1"/>
  <c r="K64" i="9" s="1"/>
  <c r="O64" i="9" a="1"/>
  <c r="O64" i="9" s="1"/>
  <c r="H63" i="9" a="1"/>
  <c r="H63" i="9" s="1"/>
  <c r="O53" i="9" a="1"/>
  <c r="O53" i="9" s="1"/>
  <c r="K52" i="9" a="1"/>
  <c r="K52" i="9" s="1"/>
  <c r="O49" i="9" a="1"/>
  <c r="O49" i="9" s="1"/>
  <c r="K46" i="9" a="1"/>
  <c r="K46" i="9" s="1"/>
  <c r="P61" i="9" a="1"/>
  <c r="P61" i="9" s="1"/>
  <c r="H61" i="9" a="1"/>
  <c r="H61" i="9" s="1"/>
  <c r="J51" i="9" a="1"/>
  <c r="J51" i="9" s="1"/>
  <c r="P64" i="9" a="1"/>
  <c r="P64" i="9" s="1"/>
  <c r="H64" i="9" a="1"/>
  <c r="H64" i="9" s="1"/>
  <c r="J62" i="9" a="1"/>
  <c r="J62" i="9" s="1"/>
  <c r="G55" i="9" a="1"/>
  <c r="G55" i="9" s="1"/>
  <c r="G53" i="9" a="1"/>
  <c r="G53" i="9" s="1"/>
  <c r="G51" i="9" a="1"/>
  <c r="G51" i="9" s="1"/>
  <c r="G49" i="9" a="1"/>
  <c r="G49" i="9" s="1"/>
  <c r="G47" i="9" a="1"/>
  <c r="G47" i="9" s="1"/>
  <c r="N46" i="9" a="1"/>
  <c r="N46" i="9" s="1"/>
  <c r="G45" i="9" a="1"/>
  <c r="G45" i="9" s="1"/>
  <c r="I42" i="9" a="1"/>
  <c r="I42" i="9" s="1"/>
  <c r="J41" i="9" a="1"/>
  <c r="J41" i="9" s="1"/>
  <c r="P39" i="9" a="1"/>
  <c r="P39" i="9" s="1"/>
  <c r="G38" i="9" a="1"/>
  <c r="G38" i="9" s="1"/>
  <c r="I33" i="9" a="1"/>
  <c r="I33" i="9" s="1"/>
  <c r="J32" i="9" a="1"/>
  <c r="J32" i="9" s="1"/>
  <c r="G4" i="11" a="1"/>
  <c r="G4" i="11" s="1"/>
  <c r="K45" i="11" a="1"/>
  <c r="K45" i="11" s="1"/>
  <c r="O47" i="11" a="1"/>
  <c r="O47" i="11" s="1"/>
  <c r="P44" i="11" a="1"/>
  <c r="P44" i="11" s="1"/>
  <c r="I32" i="11" a="1"/>
  <c r="I32" i="11" s="1"/>
  <c r="K48" i="11" a="1"/>
  <c r="K48" i="11" s="1"/>
  <c r="G45" i="11" a="1"/>
  <c r="G45" i="11" s="1"/>
  <c r="O38" i="11" a="1"/>
  <c r="O38" i="11" s="1"/>
  <c r="P31" i="11" a="1"/>
  <c r="P31" i="11" s="1"/>
  <c r="I21" i="11" a="1"/>
  <c r="I21" i="11" s="1"/>
  <c r="M3" i="9" a="1"/>
  <c r="M3" i="9" s="1"/>
  <c r="O26" i="11" a="1"/>
  <c r="O26" i="11" s="1"/>
  <c r="H25" i="11" a="1"/>
  <c r="H25" i="11" s="1"/>
  <c r="H22" i="11" a="1"/>
  <c r="H22" i="11" s="1"/>
  <c r="K3" i="9" a="1"/>
  <c r="K3" i="9" s="1"/>
  <c r="K53" i="11" a="1"/>
  <c r="K53" i="11" s="1"/>
  <c r="J52" i="11" a="1"/>
  <c r="J52" i="11" s="1"/>
  <c r="I51" i="11" a="1"/>
  <c r="I51" i="11" s="1"/>
  <c r="K49" i="11" a="1"/>
  <c r="K49" i="11" s="1"/>
  <c r="J48" i="11" a="1"/>
  <c r="J48" i="11" s="1"/>
  <c r="O46" i="11" a="1"/>
  <c r="O46" i="11" s="1"/>
  <c r="P3" i="9" a="1"/>
  <c r="P3" i="9" s="1"/>
  <c r="N3" i="9" a="1"/>
  <c r="N3" i="9" s="1"/>
  <c r="L3" i="9" a="1"/>
  <c r="L3" i="9" s="1"/>
  <c r="J3" i="9" a="1"/>
  <c r="J3" i="9" s="1"/>
  <c r="H3" i="9" a="1"/>
  <c r="H3" i="9" s="1"/>
  <c r="I3" i="9" a="1"/>
  <c r="I3" i="9" s="1"/>
  <c r="P7" i="11" a="1"/>
  <c r="P7" i="11" s="1"/>
  <c r="P9" i="11" a="1"/>
  <c r="P9" i="11" s="1"/>
  <c r="P11" i="11" a="1"/>
  <c r="P11" i="11" s="1"/>
  <c r="P13" i="11" a="1"/>
  <c r="P13" i="11" s="1"/>
  <c r="P15" i="11" a="1"/>
  <c r="P15" i="11" s="1"/>
  <c r="J21" i="11" a="1"/>
  <c r="J21" i="11" s="1"/>
  <c r="M22" i="11" a="1"/>
  <c r="M22" i="11" s="1"/>
  <c r="H23" i="11" a="1"/>
  <c r="H23" i="11" s="1"/>
  <c r="O24" i="11" a="1"/>
  <c r="O24" i="11" s="1"/>
  <c r="P27" i="11" a="1"/>
  <c r="P27" i="11" s="1"/>
  <c r="I28" i="11" a="1"/>
  <c r="I28" i="11" s="1"/>
  <c r="J30" i="11" a="1"/>
  <c r="J30" i="11" s="1"/>
  <c r="J32" i="11" a="1"/>
  <c r="J32" i="11" s="1"/>
  <c r="H33" i="11" a="1"/>
  <c r="H33" i="11" s="1"/>
  <c r="O34" i="11" a="1"/>
  <c r="O34" i="11" s="1"/>
  <c r="P37" i="11" a="1"/>
  <c r="P37" i="11" s="1"/>
  <c r="I38" i="11" a="1"/>
  <c r="I38" i="11" s="1"/>
  <c r="P39" i="11" a="1"/>
  <c r="P39" i="11" s="1"/>
  <c r="I40" i="11" a="1"/>
  <c r="I40" i="11" s="1"/>
  <c r="J42" i="11" a="1"/>
  <c r="J42" i="11" s="1"/>
  <c r="H43" i="11" a="1"/>
  <c r="H43" i="11" s="1"/>
  <c r="H45" i="11" a="1"/>
  <c r="H45" i="11" s="1"/>
  <c r="H46" i="11" a="1"/>
  <c r="H46" i="11" s="1"/>
  <c r="M46" i="11" a="1"/>
  <c r="M46" i="11" s="1"/>
  <c r="P46" i="11" a="1"/>
  <c r="P46" i="11" s="1"/>
  <c r="G47" i="11" a="1"/>
  <c r="G47" i="11" s="1"/>
  <c r="K47" i="11" a="1"/>
  <c r="K47" i="11" s="1"/>
  <c r="O48" i="11" a="1"/>
  <c r="O48" i="11" s="1"/>
  <c r="I49" i="11" a="1"/>
  <c r="I49" i="11" s="1"/>
  <c r="O49" i="11" a="1"/>
  <c r="O49" i="11" s="1"/>
  <c r="J50" i="11" a="1"/>
  <c r="J50" i="11" s="1"/>
  <c r="P50" i="11" a="1"/>
  <c r="P50" i="11" s="1"/>
  <c r="G51" i="11" a="1"/>
  <c r="G51" i="11" s="1"/>
  <c r="K51" i="11" a="1"/>
  <c r="K51" i="11" s="1"/>
  <c r="O52" i="11" a="1"/>
  <c r="O52" i="11" s="1"/>
  <c r="I53" i="11" a="1"/>
  <c r="I53" i="11" s="1"/>
  <c r="P53" i="11" a="1"/>
  <c r="P53" i="11" s="1"/>
  <c r="H27" i="11" a="1"/>
  <c r="H27" i="11" s="1"/>
  <c r="I34" i="11" a="1"/>
  <c r="I34" i="11" s="1"/>
  <c r="G46" i="11" a="1"/>
  <c r="G46" i="11" s="1"/>
  <c r="I47" i="11" a="1"/>
  <c r="I47" i="11" s="1"/>
  <c r="G6" i="11" a="1"/>
  <c r="G6" i="11" s="1"/>
  <c r="G8" i="11" a="1"/>
  <c r="G8" i="11" s="1"/>
  <c r="G10" i="11" a="1"/>
  <c r="G10" i="11" s="1"/>
  <c r="G12" i="11" a="1"/>
  <c r="G12" i="11" s="1"/>
  <c r="G14" i="11" a="1"/>
  <c r="G14" i="11" s="1"/>
  <c r="G16" i="11" a="1"/>
  <c r="G16" i="11" s="1"/>
  <c r="G17" i="11" a="1"/>
  <c r="G17" i="11" s="1"/>
  <c r="H18" i="11" a="1"/>
  <c r="H18" i="11" s="1"/>
  <c r="N22" i="11" a="1"/>
  <c r="N22" i="11" s="1"/>
  <c r="P25" i="11" a="1"/>
  <c r="P25" i="11" s="1"/>
  <c r="I26" i="11" a="1"/>
  <c r="I26" i="11" s="1"/>
  <c r="J28" i="11" a="1"/>
  <c r="J28" i="11" s="1"/>
  <c r="H29" i="11" a="1"/>
  <c r="H29" i="11" s="1"/>
  <c r="L30" i="11" a="1"/>
  <c r="L30" i="11" s="1"/>
  <c r="H31" i="11" a="1"/>
  <c r="H31" i="11" s="1"/>
  <c r="O32" i="11" a="1"/>
  <c r="O32" i="11" s="1"/>
  <c r="P35" i="11" a="1"/>
  <c r="P35" i="11" s="1"/>
  <c r="I36" i="11" a="1"/>
  <c r="I36" i="11" s="1"/>
  <c r="J38" i="11" a="1"/>
  <c r="J38" i="11" s="1"/>
  <c r="J40" i="11" a="1"/>
  <c r="J40" i="11" s="1"/>
  <c r="H41" i="11" a="1"/>
  <c r="H41" i="11" s="1"/>
  <c r="O42" i="11" a="1"/>
  <c r="O42" i="11" s="1"/>
  <c r="P43" i="11" a="1"/>
  <c r="P43" i="11" s="1"/>
  <c r="H44" i="11" a="1"/>
  <c r="H44" i="11" s="1"/>
  <c r="I45" i="11" a="1"/>
  <c r="I45" i="11" s="1"/>
  <c r="O45" i="11" a="1"/>
  <c r="O45" i="11" s="1"/>
  <c r="J46" i="11" a="1"/>
  <c r="J46" i="11" s="1"/>
  <c r="H47" i="11" a="1"/>
  <c r="H47" i="11" s="1"/>
  <c r="H48" i="11" a="1"/>
  <c r="H48" i="11" s="1"/>
  <c r="P49" i="11" a="1"/>
  <c r="P49" i="11" s="1"/>
  <c r="G50" i="11" a="1"/>
  <c r="G50" i="11" s="1"/>
  <c r="K50" i="11" a="1"/>
  <c r="K50" i="11" s="1"/>
  <c r="H51" i="11" a="1"/>
  <c r="H51" i="11" s="1"/>
  <c r="H52" i="11" a="1"/>
  <c r="H52" i="11" s="1"/>
  <c r="O16" i="11" a="1"/>
  <c r="O16" i="11" s="1"/>
  <c r="O17" i="11" a="1"/>
  <c r="O17" i="11" s="1"/>
  <c r="J19" i="11" a="1"/>
  <c r="J19" i="11" s="1"/>
  <c r="H20" i="11" a="1"/>
  <c r="H20" i="11" s="1"/>
  <c r="P23" i="11" a="1"/>
  <c r="P23" i="11" s="1"/>
  <c r="I24" i="11" a="1"/>
  <c r="I24" i="11" s="1"/>
  <c r="J26" i="11" a="1"/>
  <c r="J26" i="11" s="1"/>
  <c r="O28" i="11" a="1"/>
  <c r="O28" i="11" s="1"/>
  <c r="O30" i="11" a="1"/>
  <c r="O30" i="11" s="1"/>
  <c r="P33" i="11" a="1"/>
  <c r="P33" i="11" s="1"/>
  <c r="J36" i="11" a="1"/>
  <c r="J36" i="11" s="1"/>
  <c r="H37" i="11" a="1"/>
  <c r="H37" i="11" s="1"/>
  <c r="L38" i="11" a="1"/>
  <c r="L38" i="11" s="1"/>
  <c r="H39" i="11" a="1"/>
  <c r="H39" i="11" s="1"/>
  <c r="O40" i="11" a="1"/>
  <c r="O40" i="11" s="1"/>
  <c r="J44" i="11" a="1"/>
  <c r="J44" i="11" s="1"/>
  <c r="P45" i="11" a="1"/>
  <c r="P45" i="11" s="1"/>
  <c r="K46" i="11" a="1"/>
  <c r="K46" i="11" s="1"/>
  <c r="H53" i="11" a="1"/>
  <c r="H53" i="11" s="1"/>
  <c r="G52" i="11" a="1"/>
  <c r="G52" i="11" s="1"/>
  <c r="P51" i="11" a="1"/>
  <c r="P51" i="11" s="1"/>
  <c r="O50" i="11" a="1"/>
  <c r="O50" i="11" s="1"/>
  <c r="H49" i="11" a="1"/>
  <c r="H49" i="11" s="1"/>
  <c r="G48" i="11" a="1"/>
  <c r="G48" i="11" s="1"/>
  <c r="P47" i="11" a="1"/>
  <c r="P47" i="11" s="1"/>
  <c r="L46" i="11" a="1"/>
  <c r="L46" i="11" s="1"/>
  <c r="I42" i="11" a="1"/>
  <c r="I42" i="11" s="1"/>
  <c r="P41" i="11" a="1"/>
  <c r="P41" i="11" s="1"/>
  <c r="O36" i="11" a="1"/>
  <c r="O36" i="11" s="1"/>
  <c r="H35" i="11" a="1"/>
  <c r="H35" i="11" s="1"/>
  <c r="I30" i="11" a="1"/>
  <c r="I30" i="11" s="1"/>
  <c r="P29" i="11" a="1"/>
  <c r="P29" i="11" s="1"/>
  <c r="J24" i="11" a="1"/>
  <c r="J24" i="11" s="1"/>
  <c r="O19" i="11" a="1"/>
  <c r="O19" i="11" s="1"/>
  <c r="G3" i="9" a="1"/>
  <c r="G3" i="9" s="1"/>
  <c r="O3" i="9" a="1"/>
  <c r="O3" i="9" s="1"/>
  <c r="P69" i="8" a="1"/>
  <c r="P69" i="8" s="1"/>
  <c r="H63" i="8" a="1"/>
  <c r="H63" i="8" s="1"/>
  <c r="J52" i="8" a="1"/>
  <c r="J52" i="8" s="1"/>
  <c r="G18" i="8" a="1"/>
  <c r="G18" i="8" s="1"/>
  <c r="J68" i="8" a="1"/>
  <c r="J68" i="8" s="1"/>
  <c r="H55" i="8" a="1"/>
  <c r="H55" i="8" s="1"/>
  <c r="G52" i="8" a="1"/>
  <c r="G52" i="8" s="1"/>
  <c r="J30" i="8" a="1"/>
  <c r="J30" i="8" s="1"/>
  <c r="G6" i="8" a="1"/>
  <c r="G6" i="8" s="1"/>
  <c r="P65" i="8" a="1"/>
  <c r="P65" i="8" s="1"/>
  <c r="I45" i="8" a="1"/>
  <c r="I45" i="8" s="1"/>
  <c r="O34" i="8" a="1"/>
  <c r="O34" i="8" s="1"/>
  <c r="P55" i="8" a="1"/>
  <c r="P55" i="8" s="1"/>
  <c r="J53" i="8" a="1"/>
  <c r="J53" i="8" s="1"/>
  <c r="I51" i="8" a="1"/>
  <c r="I51" i="8" s="1"/>
  <c r="J62" i="8" a="1"/>
  <c r="J62" i="8" s="1"/>
  <c r="P59" i="8" a="1"/>
  <c r="P59" i="8" s="1"/>
  <c r="L44" i="8" a="1"/>
  <c r="L44" i="8" s="1"/>
  <c r="P40" i="8" a="1"/>
  <c r="P40" i="8" s="1"/>
  <c r="G10" i="8" a="1"/>
  <c r="G10" i="8" s="1"/>
  <c r="O3" i="11" a="1"/>
  <c r="O3" i="11" s="1"/>
  <c r="H4" i="11" a="1"/>
  <c r="H4" i="11" s="1"/>
  <c r="P4" i="11" a="1"/>
  <c r="P4" i="11" s="1"/>
  <c r="I5" i="11" a="1"/>
  <c r="I5" i="11" s="1"/>
  <c r="H6" i="11" a="1"/>
  <c r="H6" i="11" s="1"/>
  <c r="P6" i="11" a="1"/>
  <c r="P6" i="11" s="1"/>
  <c r="I7" i="11" a="1"/>
  <c r="I7" i="11" s="1"/>
  <c r="H8" i="11" a="1"/>
  <c r="H8" i="11" s="1"/>
  <c r="P8" i="11" a="1"/>
  <c r="P8" i="11" s="1"/>
  <c r="I9" i="11" a="1"/>
  <c r="I9" i="11" s="1"/>
  <c r="H10" i="11" a="1"/>
  <c r="H10" i="11" s="1"/>
  <c r="P10" i="11" a="1"/>
  <c r="P10" i="11" s="1"/>
  <c r="I11" i="11" a="1"/>
  <c r="I11" i="11" s="1"/>
  <c r="H12" i="11" a="1"/>
  <c r="H12" i="11" s="1"/>
  <c r="M12" i="11" a="1"/>
  <c r="M12" i="11" s="1"/>
  <c r="P12" i="11" a="1"/>
  <c r="P12" i="11" s="1"/>
  <c r="I13" i="11" a="1"/>
  <c r="I13" i="11" s="1"/>
  <c r="H14" i="11" a="1"/>
  <c r="H14" i="11" s="1"/>
  <c r="P14" i="11" a="1"/>
  <c r="P14" i="11" s="1"/>
  <c r="I15" i="11" a="1"/>
  <c r="I15" i="11" s="1"/>
  <c r="H16" i="11" a="1"/>
  <c r="H16" i="11" s="1"/>
  <c r="P16" i="11" a="1"/>
  <c r="P16" i="11" s="1"/>
  <c r="I17" i="11" a="1"/>
  <c r="I17" i="11" s="1"/>
  <c r="K4" i="11" a="1"/>
  <c r="K4" i="11" s="1"/>
  <c r="G5" i="11" a="1"/>
  <c r="G5" i="11" s="1"/>
  <c r="J5" i="11" a="1"/>
  <c r="J5" i="11" s="1"/>
  <c r="O5" i="11" a="1"/>
  <c r="O5" i="11" s="1"/>
  <c r="K6" i="11" a="1"/>
  <c r="K6" i="11" s="1"/>
  <c r="G7" i="11" a="1"/>
  <c r="G7" i="11" s="1"/>
  <c r="J7" i="11" a="1"/>
  <c r="J7" i="11" s="1"/>
  <c r="O7" i="11" a="1"/>
  <c r="O7" i="11" s="1"/>
  <c r="K8" i="11" a="1"/>
  <c r="K8" i="11" s="1"/>
  <c r="G9" i="11" a="1"/>
  <c r="G9" i="11" s="1"/>
  <c r="J9" i="11" a="1"/>
  <c r="J9" i="11" s="1"/>
  <c r="O9" i="11" a="1"/>
  <c r="O9" i="11" s="1"/>
  <c r="K10" i="11" a="1"/>
  <c r="K10" i="11" s="1"/>
  <c r="G11" i="11" a="1"/>
  <c r="G11" i="11" s="1"/>
  <c r="J11" i="11" a="1"/>
  <c r="J11" i="11" s="1"/>
  <c r="O11" i="11" a="1"/>
  <c r="O11" i="11" s="1"/>
  <c r="K12" i="11" a="1"/>
  <c r="K12" i="11" s="1"/>
  <c r="N12" i="11" a="1"/>
  <c r="N12" i="11" s="1"/>
  <c r="G13" i="11" a="1"/>
  <c r="G13" i="11" s="1"/>
  <c r="J13" i="11" a="1"/>
  <c r="J13" i="11" s="1"/>
  <c r="O13" i="11" a="1"/>
  <c r="O13" i="11" s="1"/>
  <c r="K14" i="11" a="1"/>
  <c r="K14" i="11" s="1"/>
  <c r="G15" i="11" a="1"/>
  <c r="G15" i="11" s="1"/>
  <c r="J15" i="11" a="1"/>
  <c r="J15" i="11" s="1"/>
  <c r="O15" i="11" a="1"/>
  <c r="O15" i="11" s="1"/>
  <c r="K16" i="11" a="1"/>
  <c r="K16" i="11" s="1"/>
  <c r="I4" i="11" a="1"/>
  <c r="I4" i="11" s="1"/>
  <c r="H5" i="11" a="1"/>
  <c r="H5" i="11" s="1"/>
  <c r="I6" i="11" a="1"/>
  <c r="I6" i="11" s="1"/>
  <c r="H7" i="11" a="1"/>
  <c r="H7" i="11" s="1"/>
  <c r="I8" i="11" a="1"/>
  <c r="I8" i="11" s="1"/>
  <c r="H9" i="11" a="1"/>
  <c r="H9" i="11" s="1"/>
  <c r="I10" i="11" a="1"/>
  <c r="I10" i="11" s="1"/>
  <c r="H11" i="11" a="1"/>
  <c r="H11" i="11" s="1"/>
  <c r="I12" i="11" a="1"/>
  <c r="I12" i="11" s="1"/>
  <c r="H13" i="11" a="1"/>
  <c r="H13" i="11" s="1"/>
  <c r="I14" i="11" a="1"/>
  <c r="I14" i="11" s="1"/>
  <c r="H15" i="11" a="1"/>
  <c r="H15" i="11" s="1"/>
  <c r="I16" i="11" a="1"/>
  <c r="I16" i="11" s="1"/>
  <c r="P17" i="11" a="1"/>
  <c r="P17" i="11" s="1"/>
  <c r="I18" i="11" a="1"/>
  <c r="I18" i="11" s="1"/>
  <c r="H19" i="11" a="1"/>
  <c r="H19" i="11" s="1"/>
  <c r="P19" i="11" a="1"/>
  <c r="P19" i="11" s="1"/>
  <c r="I20" i="11" a="1"/>
  <c r="I20" i="11" s="1"/>
  <c r="H21" i="11" a="1"/>
  <c r="H21" i="11" s="1"/>
  <c r="P21" i="11" a="1"/>
  <c r="P21" i="11" s="1"/>
  <c r="I22" i="11" a="1"/>
  <c r="I22" i="11" s="1"/>
  <c r="L22" i="11" a="1"/>
  <c r="L22" i="11" s="1"/>
  <c r="J4" i="11" a="1"/>
  <c r="J4" i="11" s="1"/>
  <c r="O4" i="11" a="1"/>
  <c r="O4" i="11" s="1"/>
  <c r="J6" i="11" a="1"/>
  <c r="J6" i="11" s="1"/>
  <c r="O6" i="11" a="1"/>
  <c r="O6" i="11" s="1"/>
  <c r="J8" i="11" a="1"/>
  <c r="J8" i="11" s="1"/>
  <c r="O8" i="11" a="1"/>
  <c r="O8" i="11" s="1"/>
  <c r="J10" i="11" a="1"/>
  <c r="J10" i="11" s="1"/>
  <c r="O10" i="11" a="1"/>
  <c r="O10" i="11" s="1"/>
  <c r="J12" i="11" a="1"/>
  <c r="J12" i="11" s="1"/>
  <c r="O12" i="11" a="1"/>
  <c r="O12" i="11" s="1"/>
  <c r="J14" i="11" a="1"/>
  <c r="J14" i="11" s="1"/>
  <c r="O14" i="11" a="1"/>
  <c r="O14" i="11" s="1"/>
  <c r="J16" i="11" a="1"/>
  <c r="J16" i="11" s="1"/>
  <c r="J17" i="11" a="1"/>
  <c r="J17" i="11" s="1"/>
  <c r="G18" i="11" a="1"/>
  <c r="G18" i="11" s="1"/>
  <c r="J18" i="11" a="1"/>
  <c r="J18" i="11" s="1"/>
  <c r="O18" i="11" a="1"/>
  <c r="O18" i="11" s="1"/>
  <c r="K19" i="11" a="1"/>
  <c r="K19" i="11" s="1"/>
  <c r="G20" i="11" a="1"/>
  <c r="G20" i="11" s="1"/>
  <c r="J20" i="11" a="1"/>
  <c r="J20" i="11" s="1"/>
  <c r="O20" i="11" a="1"/>
  <c r="O20" i="11" s="1"/>
  <c r="K21" i="11" a="1"/>
  <c r="K21" i="11" s="1"/>
  <c r="G22" i="11" a="1"/>
  <c r="G22" i="11" s="1"/>
  <c r="J22" i="11" a="1"/>
  <c r="J22" i="11" s="1"/>
  <c r="O22" i="11" a="1"/>
  <c r="O22" i="11" s="1"/>
  <c r="L12" i="11" a="1"/>
  <c r="L12" i="11" s="1"/>
  <c r="P18" i="11" a="1"/>
  <c r="P18" i="11" s="1"/>
  <c r="P20" i="11" a="1"/>
  <c r="P20" i="11" s="1"/>
  <c r="P22" i="11" a="1"/>
  <c r="P22" i="11" s="1"/>
  <c r="I23" i="11" a="1"/>
  <c r="I23" i="11" s="1"/>
  <c r="H24" i="11" a="1"/>
  <c r="H24" i="11" s="1"/>
  <c r="P24" i="11" a="1"/>
  <c r="P24" i="11" s="1"/>
  <c r="I25" i="11" a="1"/>
  <c r="I25" i="11" s="1"/>
  <c r="H26" i="11" a="1"/>
  <c r="H26" i="11" s="1"/>
  <c r="P26" i="11" a="1"/>
  <c r="P26" i="11" s="1"/>
  <c r="I27" i="11" a="1"/>
  <c r="I27" i="11" s="1"/>
  <c r="H28" i="11" a="1"/>
  <c r="H28" i="11" s="1"/>
  <c r="P28" i="11" a="1"/>
  <c r="P28" i="11" s="1"/>
  <c r="I29" i="11" a="1"/>
  <c r="I29" i="11" s="1"/>
  <c r="H30" i="11" a="1"/>
  <c r="H30" i="11" s="1"/>
  <c r="M30" i="11" a="1"/>
  <c r="M30" i="11" s="1"/>
  <c r="P30" i="11" a="1"/>
  <c r="P30" i="11" s="1"/>
  <c r="I31" i="11" a="1"/>
  <c r="I31" i="11" s="1"/>
  <c r="H32" i="11" a="1"/>
  <c r="H32" i="11" s="1"/>
  <c r="P32" i="11" a="1"/>
  <c r="P32" i="11" s="1"/>
  <c r="I33" i="11" a="1"/>
  <c r="I33" i="11" s="1"/>
  <c r="H34" i="11" a="1"/>
  <c r="H34" i="11" s="1"/>
  <c r="P34" i="11" a="1"/>
  <c r="P34" i="11" s="1"/>
  <c r="I35" i="11" a="1"/>
  <c r="I35" i="11" s="1"/>
  <c r="H36" i="11" a="1"/>
  <c r="H36" i="11" s="1"/>
  <c r="P36" i="11" a="1"/>
  <c r="P36" i="11" s="1"/>
  <c r="I37" i="11" a="1"/>
  <c r="I37" i="11" s="1"/>
  <c r="H38" i="11" a="1"/>
  <c r="H38" i="11" s="1"/>
  <c r="M38" i="11" a="1"/>
  <c r="M38" i="11" s="1"/>
  <c r="P38" i="11" a="1"/>
  <c r="P38" i="11" s="1"/>
  <c r="I39" i="11" a="1"/>
  <c r="I39" i="11" s="1"/>
  <c r="H40" i="11" a="1"/>
  <c r="H40" i="11" s="1"/>
  <c r="P40" i="11" a="1"/>
  <c r="P40" i="11" s="1"/>
  <c r="I41" i="11" a="1"/>
  <c r="I41" i="11" s="1"/>
  <c r="H42" i="11" a="1"/>
  <c r="H42" i="11" s="1"/>
  <c r="P42" i="11" a="1"/>
  <c r="P42" i="11" s="1"/>
  <c r="K5" i="11" a="1"/>
  <c r="K5" i="11" s="1"/>
  <c r="K7" i="11" a="1"/>
  <c r="K7" i="11" s="1"/>
  <c r="K9" i="11" a="1"/>
  <c r="K9" i="11" s="1"/>
  <c r="K11" i="11" a="1"/>
  <c r="K11" i="11" s="1"/>
  <c r="K13" i="11" a="1"/>
  <c r="K13" i="11" s="1"/>
  <c r="K15" i="11" a="1"/>
  <c r="K15" i="11" s="1"/>
  <c r="K17" i="11" a="1"/>
  <c r="K17" i="11" s="1"/>
  <c r="K18" i="11" a="1"/>
  <c r="K18" i="11" s="1"/>
  <c r="G19" i="11" a="1"/>
  <c r="G19" i="11" s="1"/>
  <c r="K20" i="11" a="1"/>
  <c r="K20" i="11" s="1"/>
  <c r="G21" i="11" a="1"/>
  <c r="G21" i="11" s="1"/>
  <c r="K22" i="11" a="1"/>
  <c r="K22" i="11" s="1"/>
  <c r="G23" i="11" a="1"/>
  <c r="G23" i="11" s="1"/>
  <c r="J23" i="11" a="1"/>
  <c r="J23" i="11" s="1"/>
  <c r="O23" i="11" a="1"/>
  <c r="O23" i="11" s="1"/>
  <c r="K24" i="11" a="1"/>
  <c r="K24" i="11" s="1"/>
  <c r="G25" i="11" a="1"/>
  <c r="G25" i="11" s="1"/>
  <c r="J25" i="11" a="1"/>
  <c r="J25" i="11" s="1"/>
  <c r="O25" i="11" a="1"/>
  <c r="O25" i="11" s="1"/>
  <c r="K26" i="11" a="1"/>
  <c r="K26" i="11" s="1"/>
  <c r="G27" i="11" a="1"/>
  <c r="G27" i="11" s="1"/>
  <c r="J27" i="11" a="1"/>
  <c r="J27" i="11" s="1"/>
  <c r="O27" i="11" a="1"/>
  <c r="O27" i="11" s="1"/>
  <c r="K28" i="11" a="1"/>
  <c r="K28" i="11" s="1"/>
  <c r="G29" i="11" a="1"/>
  <c r="G29" i="11" s="1"/>
  <c r="J29" i="11" a="1"/>
  <c r="J29" i="11" s="1"/>
  <c r="O29" i="11" a="1"/>
  <c r="O29" i="11" s="1"/>
  <c r="K30" i="11" a="1"/>
  <c r="K30" i="11" s="1"/>
  <c r="N30" i="11" a="1"/>
  <c r="N30" i="11" s="1"/>
  <c r="G31" i="11" a="1"/>
  <c r="G31" i="11" s="1"/>
  <c r="J31" i="11" a="1"/>
  <c r="J31" i="11" s="1"/>
  <c r="O31" i="11" a="1"/>
  <c r="O31" i="11" s="1"/>
  <c r="K32" i="11" a="1"/>
  <c r="K32" i="11" s="1"/>
  <c r="G33" i="11" a="1"/>
  <c r="G33" i="11" s="1"/>
  <c r="J33" i="11" a="1"/>
  <c r="J33" i="11" s="1"/>
  <c r="O33" i="11" a="1"/>
  <c r="O33" i="11" s="1"/>
  <c r="K34" i="11" a="1"/>
  <c r="K34" i="11" s="1"/>
  <c r="G35" i="11" a="1"/>
  <c r="G35" i="11" s="1"/>
  <c r="J35" i="11" a="1"/>
  <c r="J35" i="11" s="1"/>
  <c r="O35" i="11" a="1"/>
  <c r="O35" i="11" s="1"/>
  <c r="K36" i="11" a="1"/>
  <c r="K36" i="11" s="1"/>
  <c r="G37" i="11" a="1"/>
  <c r="G37" i="11" s="1"/>
  <c r="J37" i="11" a="1"/>
  <c r="J37" i="11" s="1"/>
  <c r="O37" i="11" a="1"/>
  <c r="O37" i="11" s="1"/>
  <c r="K38" i="11" a="1"/>
  <c r="K38" i="11" s="1"/>
  <c r="N38" i="11" a="1"/>
  <c r="N38" i="11" s="1"/>
  <c r="G39" i="11" a="1"/>
  <c r="G39" i="11" s="1"/>
  <c r="J39" i="11" a="1"/>
  <c r="J39" i="11" s="1"/>
  <c r="O39" i="11" a="1"/>
  <c r="O39" i="11" s="1"/>
  <c r="K40" i="11" a="1"/>
  <c r="K40" i="11" s="1"/>
  <c r="G41" i="11" a="1"/>
  <c r="G41" i="11" s="1"/>
  <c r="J41" i="11" a="1"/>
  <c r="J41" i="11" s="1"/>
  <c r="O41" i="11" a="1"/>
  <c r="O41" i="11" s="1"/>
  <c r="K42" i="11" a="1"/>
  <c r="K42" i="11" s="1"/>
  <c r="G43" i="11" a="1"/>
  <c r="G43" i="11" s="1"/>
  <c r="I43" i="11" a="1"/>
  <c r="I43" i="11" s="1"/>
  <c r="K43" i="11" a="1"/>
  <c r="K43" i="11" s="1"/>
  <c r="O43" i="11" a="1"/>
  <c r="O43" i="11" s="1"/>
  <c r="G44" i="11" a="1"/>
  <c r="G44" i="11" s="1"/>
  <c r="I44" i="11" a="1"/>
  <c r="I44" i="11" s="1"/>
  <c r="K44" i="11" a="1"/>
  <c r="K44" i="11" s="1"/>
  <c r="O44" i="11" a="1"/>
  <c r="O44" i="11" s="1"/>
  <c r="P5" i="11" a="1"/>
  <c r="P5" i="11" s="1"/>
  <c r="H65" i="8" a="1"/>
  <c r="H65" i="8" s="1"/>
  <c r="J58" i="8" a="1"/>
  <c r="J58" i="8" s="1"/>
  <c r="K47" i="8" a="1"/>
  <c r="K47" i="8" s="1"/>
  <c r="J46" i="8" a="1"/>
  <c r="J46" i="8" s="1"/>
  <c r="G14" i="8" a="1"/>
  <c r="G14" i="8" s="1"/>
  <c r="O53" i="11" a="1"/>
  <c r="O53" i="11" s="1"/>
  <c r="J53" i="11" a="1"/>
  <c r="J53" i="11" s="1"/>
  <c r="I52" i="11" a="1"/>
  <c r="I52" i="11" s="1"/>
  <c r="J51" i="11" a="1"/>
  <c r="J51" i="11" s="1"/>
  <c r="I50" i="11" a="1"/>
  <c r="I50" i="11" s="1"/>
  <c r="J49" i="11" a="1"/>
  <c r="J49" i="11" s="1"/>
  <c r="I48" i="11" a="1"/>
  <c r="I48" i="11" s="1"/>
  <c r="J47" i="11" a="1"/>
  <c r="J47" i="11" s="1"/>
  <c r="N46" i="11" a="1"/>
  <c r="N46" i="11" s="1"/>
  <c r="I46" i="11" a="1"/>
  <c r="I46" i="11" s="1"/>
  <c r="J45" i="11" a="1"/>
  <c r="J45" i="11" s="1"/>
  <c r="J43" i="11" a="1"/>
  <c r="J43" i="11" s="1"/>
  <c r="G42" i="11" a="1"/>
  <c r="G42" i="11" s="1"/>
  <c r="K41" i="11" a="1"/>
  <c r="K41" i="11" s="1"/>
  <c r="G40" i="11" a="1"/>
  <c r="G40" i="11" s="1"/>
  <c r="K39" i="11" a="1"/>
  <c r="K39" i="11" s="1"/>
  <c r="G38" i="11" a="1"/>
  <c r="G38" i="11" s="1"/>
  <c r="K37" i="11" a="1"/>
  <c r="K37" i="11" s="1"/>
  <c r="G36" i="11" a="1"/>
  <c r="G36" i="11" s="1"/>
  <c r="K35" i="11" a="1"/>
  <c r="K35" i="11" s="1"/>
  <c r="G34" i="11" a="1"/>
  <c r="G34" i="11" s="1"/>
  <c r="K33" i="11" a="1"/>
  <c r="K33" i="11" s="1"/>
  <c r="G32" i="11" a="1"/>
  <c r="G32" i="11" s="1"/>
  <c r="K31" i="11" a="1"/>
  <c r="K31" i="11" s="1"/>
  <c r="G30" i="11" a="1"/>
  <c r="G30" i="11" s="1"/>
  <c r="K29" i="11" a="1"/>
  <c r="K29" i="11" s="1"/>
  <c r="G28" i="11" a="1"/>
  <c r="G28" i="11" s="1"/>
  <c r="K27" i="11" a="1"/>
  <c r="K27" i="11" s="1"/>
  <c r="G26" i="11" a="1"/>
  <c r="G26" i="11" s="1"/>
  <c r="K25" i="11" a="1"/>
  <c r="K25" i="11" s="1"/>
  <c r="G24" i="11" a="1"/>
  <c r="G24" i="11" s="1"/>
  <c r="K23" i="11" a="1"/>
  <c r="K23" i="11" s="1"/>
  <c r="O21" i="11" a="1"/>
  <c r="O21" i="11" s="1"/>
  <c r="I19" i="11" a="1"/>
  <c r="I19" i="11" s="1"/>
  <c r="H17" i="11" a="1"/>
  <c r="H17" i="11" s="1"/>
  <c r="N17" i="11" s="1" a="1"/>
  <c r="N17" i="11" s="1"/>
  <c r="H71" i="8" a="1"/>
  <c r="H71" i="8" s="1"/>
  <c r="K49" i="8" a="1"/>
  <c r="K49" i="8" s="1"/>
  <c r="G3" i="11" a="1"/>
  <c r="G3" i="11" s="1"/>
  <c r="P67" i="8" a="1"/>
  <c r="P67" i="8" s="1"/>
  <c r="J64" i="8" a="1"/>
  <c r="J64" i="8" s="1"/>
  <c r="H61" i="8" a="1"/>
  <c r="H61" i="8" s="1"/>
  <c r="P57" i="8" a="1"/>
  <c r="P57" i="8" s="1"/>
  <c r="O48" i="8" a="1"/>
  <c r="O48" i="8" s="1"/>
  <c r="P32" i="8" a="1"/>
  <c r="P32" i="8" s="1"/>
  <c r="I3" i="11" a="1"/>
  <c r="I3" i="11" s="1"/>
  <c r="J70" i="8" a="1"/>
  <c r="J70" i="8" s="1"/>
  <c r="H67" i="8" a="1"/>
  <c r="H67" i="8" s="1"/>
  <c r="L63" i="8" a="1"/>
  <c r="L63" i="8" s="1"/>
  <c r="J60" i="8" a="1"/>
  <c r="J60" i="8" s="1"/>
  <c r="H57" i="8" a="1"/>
  <c r="H57" i="8" s="1"/>
  <c r="O26" i="8" a="1"/>
  <c r="O26" i="8" s="1"/>
  <c r="J21" i="8" a="1"/>
  <c r="J21" i="8" s="1"/>
  <c r="G16" i="8" a="1"/>
  <c r="G16" i="8" s="1"/>
  <c r="G12" i="8" a="1"/>
  <c r="G12" i="8" s="1"/>
  <c r="G8" i="8" a="1"/>
  <c r="G8" i="8" s="1"/>
  <c r="G4" i="8" a="1"/>
  <c r="G4" i="8" s="1"/>
  <c r="P3" i="11" a="1"/>
  <c r="P3" i="11" s="1"/>
  <c r="K3" i="11" a="1"/>
  <c r="K3" i="11" s="1"/>
  <c r="P71" i="8" a="1"/>
  <c r="P71" i="8" s="1"/>
  <c r="H69" i="8" a="1"/>
  <c r="H69" i="8" s="1"/>
  <c r="J66" i="8" a="1"/>
  <c r="J66" i="8" s="1"/>
  <c r="P63" i="8" a="1"/>
  <c r="P63" i="8" s="1"/>
  <c r="P61" i="8" a="1"/>
  <c r="P61" i="8" s="1"/>
  <c r="H59" i="8" a="1"/>
  <c r="H59" i="8" s="1"/>
  <c r="J56" i="8" a="1"/>
  <c r="J56" i="8" s="1"/>
  <c r="O42" i="8" a="1"/>
  <c r="O42" i="8" s="1"/>
  <c r="J38" i="8" a="1"/>
  <c r="J38" i="8" s="1"/>
  <c r="P24" i="8" a="1"/>
  <c r="P24" i="8" s="1"/>
  <c r="M3" i="11" a="1"/>
  <c r="M3" i="11" s="1"/>
  <c r="I54" i="8" a="1"/>
  <c r="I54" i="8" s="1"/>
  <c r="M53" i="8" a="1"/>
  <c r="M53" i="8" s="1"/>
  <c r="I53" i="8" a="1"/>
  <c r="I53" i="8" s="1"/>
  <c r="H51" i="8" a="1"/>
  <c r="H51" i="8" s="1"/>
  <c r="I50" i="8" a="1"/>
  <c r="I50" i="8" s="1"/>
  <c r="J49" i="8" a="1"/>
  <c r="J49" i="8" s="1"/>
  <c r="J48" i="8" a="1"/>
  <c r="J48" i="8" s="1"/>
  <c r="I47" i="8" a="1"/>
  <c r="I47" i="8" s="1"/>
  <c r="P45" i="8" a="1"/>
  <c r="P45" i="8" s="1"/>
  <c r="H45" i="8" a="1"/>
  <c r="H45" i="8" s="1"/>
  <c r="J44" i="8" a="1"/>
  <c r="J44" i="8" s="1"/>
  <c r="O40" i="8" a="1"/>
  <c r="O40" i="8" s="1"/>
  <c r="P38" i="8" a="1"/>
  <c r="P38" i="8" s="1"/>
  <c r="J36" i="8" a="1"/>
  <c r="J36" i="8" s="1"/>
  <c r="O32" i="8" a="1"/>
  <c r="O32" i="8" s="1"/>
  <c r="P30" i="8" a="1"/>
  <c r="P30" i="8" s="1"/>
  <c r="J28" i="8" a="1"/>
  <c r="J28" i="8" s="1"/>
  <c r="O24" i="8" a="1"/>
  <c r="O24" i="8" s="1"/>
  <c r="H22" i="8" a="1"/>
  <c r="H22" i="8" s="1"/>
  <c r="H20" i="8" a="1"/>
  <c r="H20" i="8" s="1"/>
  <c r="P17" i="8" a="1"/>
  <c r="P17" i="8" s="1"/>
  <c r="P15" i="8" a="1"/>
  <c r="P15" i="8" s="1"/>
  <c r="P13" i="8" a="1"/>
  <c r="P13" i="8" s="1"/>
  <c r="P11" i="8" a="1"/>
  <c r="P11" i="8" s="1"/>
  <c r="P9" i="8" a="1"/>
  <c r="P9" i="8" s="1"/>
  <c r="P7" i="8" a="1"/>
  <c r="P7" i="8" s="1"/>
  <c r="P5" i="8" a="1"/>
  <c r="P5" i="8" s="1"/>
  <c r="P70" i="8" a="1"/>
  <c r="P70" i="8" s="1"/>
  <c r="H70" i="8" a="1"/>
  <c r="H70" i="8" s="1"/>
  <c r="P68" i="8" a="1"/>
  <c r="P68" i="8" s="1"/>
  <c r="J67" i="8" a="1"/>
  <c r="J67" i="8" s="1"/>
  <c r="P66" i="8" a="1"/>
  <c r="P66" i="8" s="1"/>
  <c r="J65" i="8" a="1"/>
  <c r="J65" i="8" s="1"/>
  <c r="P64" i="8" a="1"/>
  <c r="P64" i="8" s="1"/>
  <c r="H64" i="8" a="1"/>
  <c r="H64" i="8" s="1"/>
  <c r="N63" i="8" a="1"/>
  <c r="N63" i="8" s="1"/>
  <c r="J63" i="8" a="1"/>
  <c r="J63" i="8" s="1"/>
  <c r="H62" i="8" a="1"/>
  <c r="H62" i="8" s="1"/>
  <c r="J61" i="8" a="1"/>
  <c r="J61" i="8" s="1"/>
  <c r="P60" i="8" a="1"/>
  <c r="P60" i="8" s="1"/>
  <c r="H60" i="8" a="1"/>
  <c r="H60" i="8" s="1"/>
  <c r="J59" i="8" a="1"/>
  <c r="J59" i="8" s="1"/>
  <c r="P58" i="8" a="1"/>
  <c r="P58" i="8" s="1"/>
  <c r="H58" i="8" a="1"/>
  <c r="H58" i="8" s="1"/>
  <c r="J57" i="8" a="1"/>
  <c r="J57" i="8" s="1"/>
  <c r="P56" i="8" a="1"/>
  <c r="P56" i="8" s="1"/>
  <c r="H56" i="8" a="1"/>
  <c r="H56" i="8" s="1"/>
  <c r="J55" i="8" a="1"/>
  <c r="J55" i="8" s="1"/>
  <c r="P54" i="8" a="1"/>
  <c r="P54" i="8" s="1"/>
  <c r="P53" i="8" a="1"/>
  <c r="P53" i="8" s="1"/>
  <c r="H53" i="8" a="1"/>
  <c r="H53" i="8" s="1"/>
  <c r="I52" i="8" a="1"/>
  <c r="I52" i="8" s="1"/>
  <c r="K51" i="8" a="1"/>
  <c r="K51" i="8" s="1"/>
  <c r="O50" i="8" a="1"/>
  <c r="O50" i="8" s="1"/>
  <c r="P49" i="8" a="1"/>
  <c r="P49" i="8" s="1"/>
  <c r="I49" i="8" a="1"/>
  <c r="I49" i="8" s="1"/>
  <c r="P47" i="8" a="1"/>
  <c r="P47" i="8" s="1"/>
  <c r="H47" i="8" a="1"/>
  <c r="H47" i="8" s="1"/>
  <c r="G46" i="8" a="1"/>
  <c r="G46" i="8" s="1"/>
  <c r="O44" i="8" a="1"/>
  <c r="O44" i="8" s="1"/>
  <c r="J42" i="8" a="1"/>
  <c r="J42" i="8" s="1"/>
  <c r="O38" i="8" a="1"/>
  <c r="O38" i="8" s="1"/>
  <c r="P36" i="8" a="1"/>
  <c r="P36" i="8" s="1"/>
  <c r="J34" i="8" a="1"/>
  <c r="J34" i="8" s="1"/>
  <c r="O30" i="8" a="1"/>
  <c r="O30" i="8" s="1"/>
  <c r="P28" i="8" a="1"/>
  <c r="P28" i="8" s="1"/>
  <c r="J26" i="8" a="1"/>
  <c r="J26" i="8" s="1"/>
  <c r="J23" i="8" a="1"/>
  <c r="J23" i="8" s="1"/>
  <c r="H3" i="11" a="1"/>
  <c r="H3" i="11" s="1"/>
  <c r="J3" i="11" a="1"/>
  <c r="J3" i="11" s="1"/>
  <c r="L3" i="11" a="1"/>
  <c r="L3" i="11" s="1"/>
  <c r="N3" i="11" a="1"/>
  <c r="N3" i="11" s="1"/>
  <c r="J71" i="8" a="1"/>
  <c r="J71" i="8" s="1"/>
  <c r="J69" i="8" a="1"/>
  <c r="J69" i="8" s="1"/>
  <c r="H68" i="8" a="1"/>
  <c r="H68" i="8" s="1"/>
  <c r="H66" i="8" a="1"/>
  <c r="H66" i="8" s="1"/>
  <c r="P62" i="8" a="1"/>
  <c r="P62" i="8" s="1"/>
  <c r="J54" i="8" a="1"/>
  <c r="J54" i="8" s="1"/>
  <c r="G54" i="8" a="1"/>
  <c r="G54" i="8" s="1"/>
  <c r="N53" i="8" a="1"/>
  <c r="N53" i="8" s="1"/>
  <c r="K53" i="8" a="1"/>
  <c r="K53" i="8" s="1"/>
  <c r="O52" i="8" a="1"/>
  <c r="O52" i="8" s="1"/>
  <c r="P51" i="8" a="1"/>
  <c r="P51" i="8" s="1"/>
  <c r="J51" i="8" a="1"/>
  <c r="J51" i="8" s="1"/>
  <c r="J50" i="8" a="1"/>
  <c r="J50" i="8" s="1"/>
  <c r="G50" i="8" a="1"/>
  <c r="G50" i="8" s="1"/>
  <c r="H49" i="8" a="1"/>
  <c r="H49" i="8" s="1"/>
  <c r="G48" i="8" a="1"/>
  <c r="G48" i="8" s="1"/>
  <c r="O46" i="8" a="1"/>
  <c r="O46" i="8" s="1"/>
  <c r="K45" i="8" a="1"/>
  <c r="K45" i="8" s="1"/>
  <c r="M44" i="8" a="1"/>
  <c r="M44" i="8" s="1"/>
  <c r="G44" i="8" a="1"/>
  <c r="G44" i="8" s="1"/>
  <c r="P43" i="8" a="1"/>
  <c r="P43" i="8" s="1"/>
  <c r="P42" i="8" a="1"/>
  <c r="P42" i="8" s="1"/>
  <c r="J40" i="8" a="1"/>
  <c r="J40" i="8" s="1"/>
  <c r="O36" i="8" a="1"/>
  <c r="O36" i="8" s="1"/>
  <c r="P34" i="8" a="1"/>
  <c r="P34" i="8" s="1"/>
  <c r="J32" i="8" a="1"/>
  <c r="J32" i="8" s="1"/>
  <c r="O28" i="8" a="1"/>
  <c r="O28" i="8" s="1"/>
  <c r="P26" i="8" a="1"/>
  <c r="P26" i="8" s="1"/>
  <c r="J24" i="8" a="1"/>
  <c r="J24" i="8" s="1"/>
  <c r="I48" i="8" a="1"/>
  <c r="I48" i="8" s="1"/>
  <c r="J47" i="8" a="1"/>
  <c r="J47" i="8" s="1"/>
  <c r="I46" i="8" a="1"/>
  <c r="I46" i="8" s="1"/>
  <c r="J45" i="8" a="1"/>
  <c r="J45" i="8" s="1"/>
  <c r="N44" i="8" a="1"/>
  <c r="N44" i="8" s="1"/>
  <c r="I44" i="8" a="1"/>
  <c r="I44" i="8" s="1"/>
  <c r="K43" i="8" a="1"/>
  <c r="K43" i="8" s="1"/>
  <c r="H42" i="8" a="1"/>
  <c r="H42" i="8" s="1"/>
  <c r="K41" i="8" a="1"/>
  <c r="K41" i="8" s="1"/>
  <c r="H40" i="8" a="1"/>
  <c r="H40" i="8" s="1"/>
  <c r="K39" i="8" a="1"/>
  <c r="K39" i="8" s="1"/>
  <c r="H38" i="8" a="1"/>
  <c r="H38" i="8" s="1"/>
  <c r="K37" i="8" a="1"/>
  <c r="K37" i="8" s="1"/>
  <c r="H36" i="8" a="1"/>
  <c r="H36" i="8" s="1"/>
  <c r="K35" i="8" a="1"/>
  <c r="K35" i="8" s="1"/>
  <c r="H34" i="8" a="1"/>
  <c r="H34" i="8" s="1"/>
  <c r="K33" i="8" a="1"/>
  <c r="K33" i="8" s="1"/>
  <c r="H32" i="8" a="1"/>
  <c r="H32" i="8" s="1"/>
  <c r="K31" i="8" a="1"/>
  <c r="K31" i="8" s="1"/>
  <c r="M30" i="8" a="1"/>
  <c r="M30" i="8" s="1"/>
  <c r="H30" i="8" a="1"/>
  <c r="H30" i="8" s="1"/>
  <c r="K29" i="8" a="1"/>
  <c r="K29" i="8" s="1"/>
  <c r="H28" i="8" a="1"/>
  <c r="H28" i="8" s="1"/>
  <c r="K27" i="8" a="1"/>
  <c r="K27" i="8" s="1"/>
  <c r="H26" i="8" a="1"/>
  <c r="H26" i="8" s="1"/>
  <c r="K25" i="8" a="1"/>
  <c r="K25" i="8" s="1"/>
  <c r="H24" i="8" a="1"/>
  <c r="H24" i="8" s="1"/>
  <c r="I21" i="8" a="1"/>
  <c r="I21" i="8" s="1"/>
  <c r="I19" i="8" a="1"/>
  <c r="I19" i="8" s="1"/>
  <c r="H4" i="8" a="1"/>
  <c r="H4" i="8" s="1"/>
  <c r="P4" i="8" a="1"/>
  <c r="P4" i="8" s="1"/>
  <c r="I5" i="8" a="1"/>
  <c r="I5" i="8" s="1"/>
  <c r="H6" i="8" a="1"/>
  <c r="H6" i="8" s="1"/>
  <c r="P6" i="8" a="1"/>
  <c r="P6" i="8" s="1"/>
  <c r="I7" i="8" a="1"/>
  <c r="I7" i="8" s="1"/>
  <c r="H8" i="8" a="1"/>
  <c r="H8" i="8" s="1"/>
  <c r="P8" i="8" a="1"/>
  <c r="P8" i="8" s="1"/>
  <c r="I9" i="8" a="1"/>
  <c r="I9" i="8" s="1"/>
  <c r="H10" i="8" a="1"/>
  <c r="H10" i="8" s="1"/>
  <c r="P10" i="8" a="1"/>
  <c r="P10" i="8" s="1"/>
  <c r="I11" i="8" a="1"/>
  <c r="I11" i="8" s="1"/>
  <c r="H12" i="8" a="1"/>
  <c r="H12" i="8" s="1"/>
  <c r="P12" i="8" a="1"/>
  <c r="P12" i="8" s="1"/>
  <c r="I13" i="8" a="1"/>
  <c r="I13" i="8" s="1"/>
  <c r="H14" i="8" a="1"/>
  <c r="H14" i="8" s="1"/>
  <c r="P14" i="8" a="1"/>
  <c r="P14" i="8" s="1"/>
  <c r="I15" i="8" a="1"/>
  <c r="I15" i="8" s="1"/>
  <c r="H16" i="8" a="1"/>
  <c r="H16" i="8" s="1"/>
  <c r="P16" i="8" a="1"/>
  <c r="P16" i="8" s="1"/>
  <c r="I17" i="8" a="1"/>
  <c r="I17" i="8" s="1"/>
  <c r="K4" i="8" a="1"/>
  <c r="K4" i="8" s="1"/>
  <c r="G5" i="8" a="1"/>
  <c r="G5" i="8" s="1"/>
  <c r="J5" i="8" a="1"/>
  <c r="J5" i="8" s="1"/>
  <c r="O5" i="8" a="1"/>
  <c r="O5" i="8" s="1"/>
  <c r="K6" i="8" a="1"/>
  <c r="K6" i="8" s="1"/>
  <c r="G7" i="8" a="1"/>
  <c r="G7" i="8" s="1"/>
  <c r="J7" i="8" a="1"/>
  <c r="J7" i="8" s="1"/>
  <c r="O7" i="8" a="1"/>
  <c r="O7" i="8" s="1"/>
  <c r="K8" i="8" a="1"/>
  <c r="K8" i="8" s="1"/>
  <c r="G9" i="8" a="1"/>
  <c r="G9" i="8" s="1"/>
  <c r="J9" i="8" a="1"/>
  <c r="J9" i="8" s="1"/>
  <c r="O9" i="8" a="1"/>
  <c r="O9" i="8" s="1"/>
  <c r="K10" i="8" a="1"/>
  <c r="K10" i="8" s="1"/>
  <c r="G11" i="8" a="1"/>
  <c r="G11" i="8" s="1"/>
  <c r="J11" i="8" a="1"/>
  <c r="J11" i="8" s="1"/>
  <c r="O11" i="8" a="1"/>
  <c r="O11" i="8" s="1"/>
  <c r="K12" i="8" a="1"/>
  <c r="K12" i="8" s="1"/>
  <c r="G13" i="8" a="1"/>
  <c r="G13" i="8" s="1"/>
  <c r="J13" i="8" a="1"/>
  <c r="J13" i="8" s="1"/>
  <c r="O13" i="8" a="1"/>
  <c r="O13" i="8" s="1"/>
  <c r="K14" i="8" a="1"/>
  <c r="K14" i="8" s="1"/>
  <c r="G15" i="8" a="1"/>
  <c r="G15" i="8" s="1"/>
  <c r="J15" i="8" a="1"/>
  <c r="J15" i="8" s="1"/>
  <c r="O15" i="8" a="1"/>
  <c r="O15" i="8" s="1"/>
  <c r="K16" i="8" a="1"/>
  <c r="K16" i="8" s="1"/>
  <c r="G17" i="8" a="1"/>
  <c r="G17" i="8" s="1"/>
  <c r="J17" i="8" a="1"/>
  <c r="J17" i="8" s="1"/>
  <c r="O17" i="8" a="1"/>
  <c r="O17" i="8" s="1"/>
  <c r="H18" i="8" a="1"/>
  <c r="H18" i="8" s="1"/>
  <c r="J18" i="8" a="1"/>
  <c r="J18" i="8" s="1"/>
  <c r="L18" i="8" a="1"/>
  <c r="L18" i="8" s="1"/>
  <c r="N18" i="8" a="1"/>
  <c r="N18" i="8" s="1"/>
  <c r="P18" i="8" a="1"/>
  <c r="P18" i="8" s="1"/>
  <c r="H19" i="8" a="1"/>
  <c r="H19" i="8" s="1"/>
  <c r="J19" i="8" a="1"/>
  <c r="J19" i="8" s="1"/>
  <c r="P19" i="8" a="1"/>
  <c r="P19" i="8" s="1"/>
  <c r="I4" i="8" a="1"/>
  <c r="I4" i="8" s="1"/>
  <c r="H5" i="8" a="1"/>
  <c r="H5" i="8" s="1"/>
  <c r="I6" i="8" a="1"/>
  <c r="I6" i="8" s="1"/>
  <c r="H7" i="8" a="1"/>
  <c r="H7" i="8" s="1"/>
  <c r="I8" i="8" a="1"/>
  <c r="I8" i="8" s="1"/>
  <c r="H9" i="8" a="1"/>
  <c r="H9" i="8" s="1"/>
  <c r="I10" i="8" a="1"/>
  <c r="I10" i="8" s="1"/>
  <c r="H11" i="8" a="1"/>
  <c r="H11" i="8" s="1"/>
  <c r="I12" i="8" a="1"/>
  <c r="I12" i="8" s="1"/>
  <c r="H13" i="8" a="1"/>
  <c r="H13" i="8" s="1"/>
  <c r="I14" i="8" a="1"/>
  <c r="I14" i="8" s="1"/>
  <c r="H15" i="8" a="1"/>
  <c r="H15" i="8" s="1"/>
  <c r="I16" i="8" a="1"/>
  <c r="I16" i="8" s="1"/>
  <c r="H17" i="8" a="1"/>
  <c r="H17" i="8" s="1"/>
  <c r="G19" i="8" a="1"/>
  <c r="G19" i="8" s="1"/>
  <c r="K19" i="8" a="1"/>
  <c r="K19" i="8" s="1"/>
  <c r="O19" i="8" a="1"/>
  <c r="O19" i="8" s="1"/>
  <c r="I20" i="8" a="1"/>
  <c r="I20" i="8" s="1"/>
  <c r="H21" i="8" a="1"/>
  <c r="H21" i="8" s="1"/>
  <c r="P21" i="8" a="1"/>
  <c r="P21" i="8" s="1"/>
  <c r="I22" i="8" a="1"/>
  <c r="I22" i="8" s="1"/>
  <c r="G23" i="8" a="1"/>
  <c r="G23" i="8" s="1"/>
  <c r="I23" i="8" a="1"/>
  <c r="I23" i="8" s="1"/>
  <c r="K23" i="8" a="1"/>
  <c r="K23" i="8" s="1"/>
  <c r="O23" i="8" a="1"/>
  <c r="O23" i="8" s="1"/>
  <c r="J4" i="8" a="1"/>
  <c r="J4" i="8" s="1"/>
  <c r="O4" i="8" a="1"/>
  <c r="O4" i="8" s="1"/>
  <c r="J6" i="8" a="1"/>
  <c r="J6" i="8" s="1"/>
  <c r="O6" i="8" a="1"/>
  <c r="O6" i="8" s="1"/>
  <c r="J8" i="8" a="1"/>
  <c r="J8" i="8" s="1"/>
  <c r="O8" i="8" a="1"/>
  <c r="O8" i="8" s="1"/>
  <c r="J10" i="8" a="1"/>
  <c r="J10" i="8" s="1"/>
  <c r="O10" i="8" a="1"/>
  <c r="O10" i="8" s="1"/>
  <c r="J12" i="8" a="1"/>
  <c r="J12" i="8" s="1"/>
  <c r="O12" i="8" a="1"/>
  <c r="O12" i="8" s="1"/>
  <c r="J14" i="8" a="1"/>
  <c r="J14" i="8" s="1"/>
  <c r="O14" i="8" a="1"/>
  <c r="O14" i="8" s="1"/>
  <c r="J16" i="8" a="1"/>
  <c r="J16" i="8" s="1"/>
  <c r="O16" i="8" a="1"/>
  <c r="O16" i="8" s="1"/>
  <c r="I18" i="8" a="1"/>
  <c r="I18" i="8" s="1"/>
  <c r="M18" i="8" a="1"/>
  <c r="M18" i="8" s="1"/>
  <c r="G20" i="8" a="1"/>
  <c r="G20" i="8" s="1"/>
  <c r="J20" i="8" a="1"/>
  <c r="J20" i="8" s="1"/>
  <c r="O20" i="8" a="1"/>
  <c r="O20" i="8" s="1"/>
  <c r="K21" i="8" a="1"/>
  <c r="K21" i="8" s="1"/>
  <c r="G22" i="8" a="1"/>
  <c r="G22" i="8" s="1"/>
  <c r="J22" i="8" a="1"/>
  <c r="J22" i="8" s="1"/>
  <c r="O22" i="8" a="1"/>
  <c r="O22" i="8" s="1"/>
  <c r="P20" i="8" a="1"/>
  <c r="P20" i="8" s="1"/>
  <c r="P22" i="8" a="1"/>
  <c r="P22" i="8" s="1"/>
  <c r="K24" i="8" a="1"/>
  <c r="K24" i="8" s="1"/>
  <c r="G25" i="8" a="1"/>
  <c r="G25" i="8" s="1"/>
  <c r="J25" i="8" a="1"/>
  <c r="J25" i="8" s="1"/>
  <c r="O25" i="8" a="1"/>
  <c r="O25" i="8" s="1"/>
  <c r="K26" i="8" a="1"/>
  <c r="K26" i="8" s="1"/>
  <c r="G27" i="8" a="1"/>
  <c r="G27" i="8" s="1"/>
  <c r="J27" i="8" a="1"/>
  <c r="J27" i="8" s="1"/>
  <c r="O27" i="8" a="1"/>
  <c r="O27" i="8" s="1"/>
  <c r="K28" i="8" a="1"/>
  <c r="K28" i="8" s="1"/>
  <c r="G29" i="8" a="1"/>
  <c r="G29" i="8" s="1"/>
  <c r="J29" i="8" a="1"/>
  <c r="J29" i="8" s="1"/>
  <c r="O29" i="8" a="1"/>
  <c r="O29" i="8" s="1"/>
  <c r="K30" i="8" a="1"/>
  <c r="K30" i="8" s="1"/>
  <c r="N30" i="8" a="1"/>
  <c r="N30" i="8" s="1"/>
  <c r="G31" i="8" a="1"/>
  <c r="G31" i="8" s="1"/>
  <c r="J31" i="8" a="1"/>
  <c r="J31" i="8" s="1"/>
  <c r="O31" i="8" a="1"/>
  <c r="O31" i="8" s="1"/>
  <c r="K32" i="8" a="1"/>
  <c r="K32" i="8" s="1"/>
  <c r="N32" i="8" s="1" a="1"/>
  <c r="N32" i="8" s="1"/>
  <c r="G33" i="8" a="1"/>
  <c r="G33" i="8" s="1"/>
  <c r="J33" i="8" a="1"/>
  <c r="J33" i="8" s="1"/>
  <c r="O33" i="8" a="1"/>
  <c r="O33" i="8" s="1"/>
  <c r="K34" i="8" a="1"/>
  <c r="K34" i="8" s="1"/>
  <c r="G35" i="8" a="1"/>
  <c r="G35" i="8" s="1"/>
  <c r="J35" i="8" a="1"/>
  <c r="J35" i="8" s="1"/>
  <c r="O35" i="8" a="1"/>
  <c r="O35" i="8" s="1"/>
  <c r="K36" i="8" a="1"/>
  <c r="K36" i="8" s="1"/>
  <c r="G37" i="8" a="1"/>
  <c r="G37" i="8" s="1"/>
  <c r="J37" i="8" a="1"/>
  <c r="J37" i="8" s="1"/>
  <c r="O37" i="8" a="1"/>
  <c r="O37" i="8" s="1"/>
  <c r="K38" i="8" a="1"/>
  <c r="K38" i="8" s="1"/>
  <c r="G39" i="8" a="1"/>
  <c r="G39" i="8" s="1"/>
  <c r="J39" i="8" a="1"/>
  <c r="J39" i="8" s="1"/>
  <c r="O39" i="8" a="1"/>
  <c r="O39" i="8" s="1"/>
  <c r="K40" i="8" a="1"/>
  <c r="K40" i="8" s="1"/>
  <c r="G41" i="8" a="1"/>
  <c r="G41" i="8" s="1"/>
  <c r="J41" i="8" a="1"/>
  <c r="J41" i="8" s="1"/>
  <c r="O41" i="8" a="1"/>
  <c r="O41" i="8" s="1"/>
  <c r="K42" i="8" a="1"/>
  <c r="K42" i="8" s="1"/>
  <c r="G43" i="8" a="1"/>
  <c r="G43" i="8" s="1"/>
  <c r="J43" i="8" a="1"/>
  <c r="J43" i="8" s="1"/>
  <c r="K5" i="8" a="1"/>
  <c r="K5" i="8" s="1"/>
  <c r="K7" i="8" a="1"/>
  <c r="K7" i="8" s="1"/>
  <c r="K9" i="8" a="1"/>
  <c r="K9" i="8" s="1"/>
  <c r="K11" i="8" a="1"/>
  <c r="K11" i="8" s="1"/>
  <c r="K13" i="8" a="1"/>
  <c r="K13" i="8" s="1"/>
  <c r="K15" i="8" a="1"/>
  <c r="K15" i="8" s="1"/>
  <c r="K17" i="8" a="1"/>
  <c r="K17" i="8" s="1"/>
  <c r="K18" i="8" a="1"/>
  <c r="K18" i="8" s="1"/>
  <c r="K20" i="8" a="1"/>
  <c r="K20" i="8" s="1"/>
  <c r="G21" i="8" a="1"/>
  <c r="G21" i="8" s="1"/>
  <c r="K22" i="8" a="1"/>
  <c r="K22" i="8" s="1"/>
  <c r="H23" i="8" a="1"/>
  <c r="H23" i="8" s="1"/>
  <c r="P23" i="8" a="1"/>
  <c r="P23" i="8" s="1"/>
  <c r="I24" i="8" a="1"/>
  <c r="I24" i="8" s="1"/>
  <c r="H25" i="8" a="1"/>
  <c r="H25" i="8" s="1"/>
  <c r="P25" i="8" a="1"/>
  <c r="P25" i="8" s="1"/>
  <c r="I26" i="8" a="1"/>
  <c r="I26" i="8" s="1"/>
  <c r="H27" i="8" a="1"/>
  <c r="H27" i="8" s="1"/>
  <c r="P27" i="8" a="1"/>
  <c r="P27" i="8" s="1"/>
  <c r="I28" i="8" a="1"/>
  <c r="I28" i="8" s="1"/>
  <c r="H29" i="8" a="1"/>
  <c r="H29" i="8" s="1"/>
  <c r="P29" i="8" a="1"/>
  <c r="P29" i="8" s="1"/>
  <c r="I30" i="8" a="1"/>
  <c r="I30" i="8" s="1"/>
  <c r="L30" i="8" a="1"/>
  <c r="L30" i="8" s="1"/>
  <c r="H31" i="8" a="1"/>
  <c r="H31" i="8" s="1"/>
  <c r="P31" i="8" a="1"/>
  <c r="P31" i="8" s="1"/>
  <c r="I32" i="8" a="1"/>
  <c r="I32" i="8" s="1"/>
  <c r="H33" i="8" a="1"/>
  <c r="H33" i="8" s="1"/>
  <c r="P33" i="8" a="1"/>
  <c r="P33" i="8" s="1"/>
  <c r="I34" i="8" a="1"/>
  <c r="I34" i="8" s="1"/>
  <c r="H35" i="8" a="1"/>
  <c r="H35" i="8" s="1"/>
  <c r="P35" i="8" a="1"/>
  <c r="P35" i="8" s="1"/>
  <c r="I36" i="8" a="1"/>
  <c r="I36" i="8" s="1"/>
  <c r="H37" i="8" a="1"/>
  <c r="H37" i="8" s="1"/>
  <c r="P37" i="8" a="1"/>
  <c r="P37" i="8" s="1"/>
  <c r="I38" i="8" a="1"/>
  <c r="I38" i="8" s="1"/>
  <c r="H39" i="8" a="1"/>
  <c r="H39" i="8" s="1"/>
  <c r="P39" i="8" a="1"/>
  <c r="P39" i="8" s="1"/>
  <c r="I40" i="8" a="1"/>
  <c r="I40" i="8" s="1"/>
  <c r="H41" i="8" a="1"/>
  <c r="H41" i="8" s="1"/>
  <c r="P41" i="8" a="1"/>
  <c r="P41" i="8" s="1"/>
  <c r="I42" i="8" a="1"/>
  <c r="I42" i="8" s="1"/>
  <c r="H43" i="8" a="1"/>
  <c r="H43" i="8" s="1"/>
  <c r="O43" i="8" a="1"/>
  <c r="O43" i="8" s="1"/>
  <c r="O71" i="8" a="1"/>
  <c r="O71" i="8" s="1"/>
  <c r="K71" i="8" a="1"/>
  <c r="K71" i="8" s="1"/>
  <c r="I71" i="8" a="1"/>
  <c r="I71" i="8" s="1"/>
  <c r="G71" i="8" a="1"/>
  <c r="G71" i="8" s="1"/>
  <c r="O70" i="8" a="1"/>
  <c r="O70" i="8" s="1"/>
  <c r="K70" i="8" a="1"/>
  <c r="K70" i="8" s="1"/>
  <c r="I70" i="8" a="1"/>
  <c r="I70" i="8" s="1"/>
  <c r="G70" i="8" a="1"/>
  <c r="G70" i="8" s="1"/>
  <c r="O69" i="8" a="1"/>
  <c r="O69" i="8" s="1"/>
  <c r="K69" i="8" a="1"/>
  <c r="K69" i="8" s="1"/>
  <c r="I69" i="8" a="1"/>
  <c r="I69" i="8" s="1"/>
  <c r="G69" i="8" a="1"/>
  <c r="G69" i="8" s="1"/>
  <c r="O68" i="8" a="1"/>
  <c r="O68" i="8" s="1"/>
  <c r="K68" i="8" a="1"/>
  <c r="K68" i="8" s="1"/>
  <c r="I68" i="8" a="1"/>
  <c r="I68" i="8" s="1"/>
  <c r="G68" i="8" a="1"/>
  <c r="G68" i="8" s="1"/>
  <c r="O67" i="8" a="1"/>
  <c r="O67" i="8" s="1"/>
  <c r="K67" i="8" a="1"/>
  <c r="K67" i="8" s="1"/>
  <c r="I67" i="8" a="1"/>
  <c r="I67" i="8" s="1"/>
  <c r="G67" i="8" a="1"/>
  <c r="G67" i="8" s="1"/>
  <c r="O66" i="8" a="1"/>
  <c r="O66" i="8" s="1"/>
  <c r="K66" i="8" a="1"/>
  <c r="K66" i="8" s="1"/>
  <c r="I66" i="8" a="1"/>
  <c r="I66" i="8" s="1"/>
  <c r="G66" i="8" a="1"/>
  <c r="G66" i="8" s="1"/>
  <c r="O65" i="8" a="1"/>
  <c r="O65" i="8" s="1"/>
  <c r="K65" i="8" a="1"/>
  <c r="K65" i="8" s="1"/>
  <c r="I65" i="8" a="1"/>
  <c r="I65" i="8" s="1"/>
  <c r="G65" i="8" a="1"/>
  <c r="G65" i="8" s="1"/>
  <c r="O64" i="8" a="1"/>
  <c r="O64" i="8" s="1"/>
  <c r="K64" i="8" a="1"/>
  <c r="K64" i="8" s="1"/>
  <c r="I64" i="8" a="1"/>
  <c r="I64" i="8" s="1"/>
  <c r="G64" i="8" a="1"/>
  <c r="G64" i="8" s="1"/>
  <c r="O63" i="8" a="1"/>
  <c r="O63" i="8" s="1"/>
  <c r="M63" i="8" a="1"/>
  <c r="M63" i="8" s="1"/>
  <c r="K63" i="8" a="1"/>
  <c r="K63" i="8" s="1"/>
  <c r="I63" i="8" a="1"/>
  <c r="I63" i="8" s="1"/>
  <c r="G63" i="8" a="1"/>
  <c r="G63" i="8" s="1"/>
  <c r="O62" i="8" a="1"/>
  <c r="O62" i="8" s="1"/>
  <c r="K62" i="8" a="1"/>
  <c r="K62" i="8" s="1"/>
  <c r="I62" i="8" a="1"/>
  <c r="I62" i="8" s="1"/>
  <c r="G62" i="8" a="1"/>
  <c r="G62" i="8" s="1"/>
  <c r="O61" i="8" a="1"/>
  <c r="O61" i="8" s="1"/>
  <c r="K61" i="8" a="1"/>
  <c r="K61" i="8" s="1"/>
  <c r="I61" i="8" a="1"/>
  <c r="I61" i="8" s="1"/>
  <c r="G61" i="8" a="1"/>
  <c r="G61" i="8" s="1"/>
  <c r="O60" i="8" a="1"/>
  <c r="O60" i="8" s="1"/>
  <c r="K60" i="8" a="1"/>
  <c r="K60" i="8" s="1"/>
  <c r="I60" i="8" a="1"/>
  <c r="I60" i="8" s="1"/>
  <c r="G60" i="8" a="1"/>
  <c r="G60" i="8" s="1"/>
  <c r="O59" i="8" a="1"/>
  <c r="O59" i="8" s="1"/>
  <c r="K59" i="8" a="1"/>
  <c r="K59" i="8" s="1"/>
  <c r="I59" i="8" a="1"/>
  <c r="I59" i="8" s="1"/>
  <c r="G59" i="8" a="1"/>
  <c r="G59" i="8" s="1"/>
  <c r="O58" i="8" a="1"/>
  <c r="O58" i="8" s="1"/>
  <c r="K58" i="8" a="1"/>
  <c r="K58" i="8" s="1"/>
  <c r="I58" i="8" a="1"/>
  <c r="I58" i="8" s="1"/>
  <c r="G58" i="8" a="1"/>
  <c r="G58" i="8" s="1"/>
  <c r="O57" i="8" a="1"/>
  <c r="O57" i="8" s="1"/>
  <c r="K57" i="8" a="1"/>
  <c r="K57" i="8" s="1"/>
  <c r="I57" i="8" a="1"/>
  <c r="I57" i="8" s="1"/>
  <c r="G57" i="8" a="1"/>
  <c r="G57" i="8" s="1"/>
  <c r="O56" i="8" a="1"/>
  <c r="O56" i="8" s="1"/>
  <c r="K56" i="8" a="1"/>
  <c r="K56" i="8" s="1"/>
  <c r="I56" i="8" a="1"/>
  <c r="I56" i="8" s="1"/>
  <c r="G56" i="8" a="1"/>
  <c r="G56" i="8" s="1"/>
  <c r="O55" i="8" a="1"/>
  <c r="O55" i="8" s="1"/>
  <c r="K55" i="8" a="1"/>
  <c r="K55" i="8" s="1"/>
  <c r="I55" i="8" a="1"/>
  <c r="I55" i="8" s="1"/>
  <c r="G55" i="8" a="1"/>
  <c r="G55" i="8" s="1"/>
  <c r="O54" i="8" a="1"/>
  <c r="O54" i="8" s="1"/>
  <c r="K54" i="8" a="1"/>
  <c r="K54" i="8" s="1"/>
  <c r="H54" i="8" a="1"/>
  <c r="H54" i="8" s="1"/>
  <c r="O53" i="8" a="1"/>
  <c r="O53" i="8" s="1"/>
  <c r="L53" i="8" a="1"/>
  <c r="L53" i="8" s="1"/>
  <c r="G53" i="8" a="1"/>
  <c r="G53" i="8" s="1"/>
  <c r="P52" i="8" a="1"/>
  <c r="P52" i="8" s="1"/>
  <c r="K52" i="8" a="1"/>
  <c r="K52" i="8" s="1"/>
  <c r="H52" i="8" a="1"/>
  <c r="H52" i="8" s="1"/>
  <c r="O51" i="8" a="1"/>
  <c r="O51" i="8" s="1"/>
  <c r="G51" i="8" a="1"/>
  <c r="G51" i="8" s="1"/>
  <c r="P50" i="8" a="1"/>
  <c r="P50" i="8" s="1"/>
  <c r="K50" i="8" a="1"/>
  <c r="K50" i="8" s="1"/>
  <c r="H50" i="8" a="1"/>
  <c r="H50" i="8" s="1"/>
  <c r="O49" i="8" a="1"/>
  <c r="O49" i="8" s="1"/>
  <c r="G49" i="8" a="1"/>
  <c r="G49" i="8" s="1"/>
  <c r="P48" i="8" a="1"/>
  <c r="P48" i="8" s="1"/>
  <c r="K48" i="8" a="1"/>
  <c r="K48" i="8" s="1"/>
  <c r="H48" i="8" a="1"/>
  <c r="H48" i="8" s="1"/>
  <c r="O47" i="8" a="1"/>
  <c r="O47" i="8" s="1"/>
  <c r="G47" i="8" a="1"/>
  <c r="G47" i="8" s="1"/>
  <c r="P46" i="8" a="1"/>
  <c r="P46" i="8" s="1"/>
  <c r="K46" i="8" a="1"/>
  <c r="K46" i="8" s="1"/>
  <c r="H46" i="8" a="1"/>
  <c r="H46" i="8" s="1"/>
  <c r="O45" i="8" a="1"/>
  <c r="O45" i="8" s="1"/>
  <c r="G45" i="8" a="1"/>
  <c r="G45" i="8" s="1"/>
  <c r="P44" i="8" a="1"/>
  <c r="P44" i="8" s="1"/>
  <c r="K44" i="8" a="1"/>
  <c r="K44" i="8" s="1"/>
  <c r="H44" i="8" a="1"/>
  <c r="H44" i="8" s="1"/>
  <c r="I43" i="8" a="1"/>
  <c r="I43" i="8" s="1"/>
  <c r="G42" i="8" a="1"/>
  <c r="G42" i="8" s="1"/>
  <c r="I41" i="8" a="1"/>
  <c r="I41" i="8" s="1"/>
  <c r="G40" i="8" a="1"/>
  <c r="G40" i="8" s="1"/>
  <c r="I39" i="8" a="1"/>
  <c r="I39" i="8" s="1"/>
  <c r="G38" i="8" a="1"/>
  <c r="G38" i="8" s="1"/>
  <c r="I37" i="8" a="1"/>
  <c r="I37" i="8" s="1"/>
  <c r="G36" i="8" a="1"/>
  <c r="G36" i="8" s="1"/>
  <c r="I35" i="8" a="1"/>
  <c r="I35" i="8" s="1"/>
  <c r="G34" i="8" a="1"/>
  <c r="G34" i="8" s="1"/>
  <c r="I33" i="8" a="1"/>
  <c r="I33" i="8" s="1"/>
  <c r="G32" i="8" a="1"/>
  <c r="G32" i="8" s="1"/>
  <c r="I31" i="8" a="1"/>
  <c r="I31" i="8" s="1"/>
  <c r="G30" i="8" a="1"/>
  <c r="G30" i="8" s="1"/>
  <c r="I29" i="8" a="1"/>
  <c r="I29" i="8" s="1"/>
  <c r="G28" i="8" a="1"/>
  <c r="G28" i="8" s="1"/>
  <c r="I27" i="8" a="1"/>
  <c r="I27" i="8" s="1"/>
  <c r="G26" i="8" a="1"/>
  <c r="G26" i="8" s="1"/>
  <c r="I25" i="8" a="1"/>
  <c r="I25" i="8" s="1"/>
  <c r="G24" i="8" a="1"/>
  <c r="G24" i="8" s="1"/>
  <c r="O21" i="8" a="1"/>
  <c r="O21" i="8" s="1"/>
  <c r="O3" i="8" a="1"/>
  <c r="O3" i="8" s="1"/>
  <c r="P3" i="8" a="1"/>
  <c r="P3" i="8" s="1"/>
  <c r="N3" i="8" a="1"/>
  <c r="N3" i="8" s="1"/>
  <c r="M3" i="8" a="1"/>
  <c r="M3" i="8" s="1"/>
  <c r="L3" i="8" a="1"/>
  <c r="L3" i="8" s="1"/>
  <c r="K3" i="8" a="1"/>
  <c r="K3" i="8" s="1"/>
  <c r="J3" i="8" a="1"/>
  <c r="J3" i="8" s="1"/>
  <c r="I3" i="8" a="1"/>
  <c r="I3" i="8" s="1"/>
  <c r="H3" i="8" a="1"/>
  <c r="H3" i="8" s="1"/>
  <c r="G3" i="8" a="1"/>
  <c r="G3" i="8" s="1"/>
  <c r="N59" i="10" l="1" a="1"/>
  <c r="N59" i="10" s="1"/>
  <c r="M18" i="10" a="1"/>
  <c r="M18" i="10" s="1"/>
  <c r="M58" i="10" a="1"/>
  <c r="M58" i="10" s="1"/>
  <c r="N24" i="10" a="1"/>
  <c r="N24" i="10" s="1"/>
  <c r="L60" i="10" a="1"/>
  <c r="L60" i="10" s="1"/>
  <c r="L20" i="10" a="1"/>
  <c r="L20" i="10" s="1"/>
  <c r="L39" i="10" a="1"/>
  <c r="L39" i="10" s="1"/>
  <c r="L9" i="9" a="1"/>
  <c r="L9" i="9" s="1"/>
  <c r="N44" i="10" a="1"/>
  <c r="N44" i="10" s="1"/>
  <c r="N43" i="10" a="1"/>
  <c r="N43" i="10" s="1"/>
  <c r="N60" i="10" a="1"/>
  <c r="N60" i="10" s="1"/>
  <c r="L31" i="10" a="1"/>
  <c r="L31" i="10" s="1"/>
  <c r="L29" i="10" a="1"/>
  <c r="L29" i="10" s="1"/>
  <c r="M54" i="10" a="1"/>
  <c r="M54" i="10" s="1"/>
  <c r="M52" i="10" a="1"/>
  <c r="M52" i="10" s="1"/>
  <c r="M49" i="10" a="1"/>
  <c r="M49" i="10" s="1"/>
  <c r="M60" i="10" a="1"/>
  <c r="M60" i="10" s="1"/>
  <c r="M62" i="10" a="1"/>
  <c r="M62" i="10" s="1"/>
  <c r="L58" i="10" a="1"/>
  <c r="L58" i="10" s="1"/>
  <c r="M64" i="10" a="1"/>
  <c r="M64" i="10" s="1"/>
  <c r="N63" i="10" a="1"/>
  <c r="N63" i="10" s="1"/>
  <c r="N61" i="10" a="1"/>
  <c r="N61" i="10" s="1"/>
  <c r="L43" i="10" a="1"/>
  <c r="L43" i="10" s="1"/>
  <c r="L6" i="10" a="1"/>
  <c r="L6" i="10" s="1"/>
  <c r="M48" i="10" a="1"/>
  <c r="M48" i="10" s="1"/>
  <c r="N29" i="10" a="1"/>
  <c r="N29" i="10" s="1"/>
  <c r="N23" i="10" a="1"/>
  <c r="N23" i="10" s="1"/>
  <c r="N20" i="10" a="1"/>
  <c r="N20" i="10" s="1"/>
  <c r="N45" i="10" a="1"/>
  <c r="N45" i="10" s="1"/>
  <c r="M19" i="10" a="1"/>
  <c r="M19" i="10" s="1"/>
  <c r="M41" i="10" a="1"/>
  <c r="M41" i="10" s="1"/>
  <c r="N55" i="10" a="1"/>
  <c r="N55" i="10" s="1"/>
  <c r="N52" i="10" a="1"/>
  <c r="N52" i="10" s="1"/>
  <c r="N48" i="10" a="1"/>
  <c r="N48" i="10" s="1"/>
  <c r="M35" i="10" a="1"/>
  <c r="M35" i="10" s="1"/>
  <c r="L25" i="9" a="1"/>
  <c r="L25" i="9" s="1"/>
  <c r="M51" i="10" a="1"/>
  <c r="M51" i="10" s="1"/>
  <c r="M29" i="10" a="1"/>
  <c r="M29" i="10" s="1"/>
  <c r="M45" i="10" a="1"/>
  <c r="M45" i="10" s="1"/>
  <c r="L10" i="10" a="1"/>
  <c r="L10" i="10" s="1"/>
  <c r="N15" i="10" a="1"/>
  <c r="N15" i="10" s="1"/>
  <c r="N50" i="10" a="1"/>
  <c r="N50" i="10" s="1"/>
  <c r="N49" i="10" a="1"/>
  <c r="N49" i="10" s="1"/>
  <c r="N30" i="10" a="1"/>
  <c r="N30" i="10" s="1"/>
  <c r="N22" i="10" a="1"/>
  <c r="N22" i="10" s="1"/>
  <c r="L55" i="10" a="1"/>
  <c r="L55" i="10" s="1"/>
  <c r="L53" i="10" a="1"/>
  <c r="L53" i="10" s="1"/>
  <c r="L51" i="10" a="1"/>
  <c r="L51" i="10" s="1"/>
  <c r="L50" i="10" a="1"/>
  <c r="L50" i="10" s="1"/>
  <c r="N35" i="10" a="1"/>
  <c r="N35" i="10" s="1"/>
  <c r="L22" i="10" a="1"/>
  <c r="L22" i="10" s="1"/>
  <c r="N13" i="10" a="1"/>
  <c r="N13" i="10" s="1"/>
  <c r="L8" i="10" a="1"/>
  <c r="L8" i="10" s="1"/>
  <c r="N5" i="10" a="1"/>
  <c r="N5" i="10" s="1"/>
  <c r="N41" i="10" a="1"/>
  <c r="N41" i="10" s="1"/>
  <c r="M44" i="10" a="1"/>
  <c r="M44" i="10" s="1"/>
  <c r="N54" i="10" a="1"/>
  <c r="N54" i="10" s="1"/>
  <c r="M57" i="10" a="1"/>
  <c r="M57" i="10" s="1"/>
  <c r="L59" i="10" a="1"/>
  <c r="L59" i="10" s="1"/>
  <c r="L61" i="10" a="1"/>
  <c r="L61" i="10" s="1"/>
  <c r="M43" i="10" a="1"/>
  <c r="M43" i="10" s="1"/>
  <c r="L27" i="10" a="1"/>
  <c r="L27" i="10" s="1"/>
  <c r="N27" i="10" a="1"/>
  <c r="N27" i="10" s="1"/>
  <c r="M53" i="10" a="1"/>
  <c r="M53" i="10" s="1"/>
  <c r="L45" i="9" a="1"/>
  <c r="L45" i="9" s="1"/>
  <c r="L24" i="9" a="1"/>
  <c r="L24" i="9" s="1"/>
  <c r="N32" i="10" a="1"/>
  <c r="N32" i="10" s="1"/>
  <c r="M47" i="10" a="1"/>
  <c r="M47" i="10" s="1"/>
  <c r="N33" i="11" a="1"/>
  <c r="N33" i="11" s="1"/>
  <c r="L17" i="9" a="1"/>
  <c r="L17" i="9" s="1"/>
  <c r="N58" i="10" a="1"/>
  <c r="N58" i="10" s="1"/>
  <c r="N6" i="10" a="1"/>
  <c r="N6" i="10" s="1"/>
  <c r="L63" i="10" a="1"/>
  <c r="L63" i="10" s="1"/>
  <c r="M53" i="9" a="1"/>
  <c r="M53" i="9" s="1"/>
  <c r="N51" i="9" a="1"/>
  <c r="N51" i="9" s="1"/>
  <c r="L11" i="9" a="1"/>
  <c r="L11" i="9" s="1"/>
  <c r="N25" i="10" a="1"/>
  <c r="N25" i="10" s="1"/>
  <c r="N40" i="10" a="1"/>
  <c r="N40" i="10" s="1"/>
  <c r="L45" i="10" a="1"/>
  <c r="L45" i="10" s="1"/>
  <c r="N64" i="10" a="1"/>
  <c r="N64" i="10" s="1"/>
  <c r="L21" i="10" a="1"/>
  <c r="L21" i="10" s="1"/>
  <c r="N10" i="10" a="1"/>
  <c r="N10" i="10" s="1"/>
  <c r="N51" i="10" a="1"/>
  <c r="N51" i="10" s="1"/>
  <c r="N47" i="10" a="1"/>
  <c r="N47" i="10" s="1"/>
  <c r="M39" i="10" a="1"/>
  <c r="M39" i="10" s="1"/>
  <c r="M52" i="11" a="1"/>
  <c r="M52" i="11" s="1"/>
  <c r="N33" i="10" a="1"/>
  <c r="N33" i="10" s="1"/>
  <c r="N53" i="10" a="1"/>
  <c r="N53" i="10" s="1"/>
  <c r="N62" i="10" a="1"/>
  <c r="N62" i="10" s="1"/>
  <c r="M25" i="10" a="1"/>
  <c r="M25" i="10" s="1"/>
  <c r="M23" i="10" a="1"/>
  <c r="M23" i="10" s="1"/>
  <c r="M20" i="10" a="1"/>
  <c r="M20" i="10" s="1"/>
  <c r="N12" i="10" a="1"/>
  <c r="N12" i="10" s="1"/>
  <c r="N38" i="10" a="1"/>
  <c r="N38" i="10" s="1"/>
  <c r="N36" i="10" a="1"/>
  <c r="N36" i="10" s="1"/>
  <c r="L33" i="10" a="1"/>
  <c r="L33" i="10" s="1"/>
  <c r="N28" i="10" a="1"/>
  <c r="N28" i="10" s="1"/>
  <c r="N39" i="10" a="1"/>
  <c r="N39" i="10" s="1"/>
  <c r="N21" i="10" a="1"/>
  <c r="N21" i="10" s="1"/>
  <c r="N4" i="10" a="1"/>
  <c r="N4" i="10" s="1"/>
  <c r="L12" i="10" a="1"/>
  <c r="L12" i="10" s="1"/>
  <c r="L16" i="10" a="1"/>
  <c r="L16" i="10" s="1"/>
  <c r="N11" i="10" a="1"/>
  <c r="N11" i="10" s="1"/>
  <c r="N9" i="10" a="1"/>
  <c r="N9" i="10" s="1"/>
  <c r="L35" i="10" a="1"/>
  <c r="L35" i="10" s="1"/>
  <c r="L57" i="10" a="1"/>
  <c r="L57" i="10" s="1"/>
  <c r="M59" i="10" a="1"/>
  <c r="M59" i="10" s="1"/>
  <c r="M61" i="10" a="1"/>
  <c r="M61" i="10" s="1"/>
  <c r="M36" i="10" a="1"/>
  <c r="M36" i="10" s="1"/>
  <c r="L36" i="10" a="1"/>
  <c r="L36" i="10" s="1"/>
  <c r="M32" i="10" a="1"/>
  <c r="M32" i="10" s="1"/>
  <c r="L32" i="10" a="1"/>
  <c r="L32" i="10" s="1"/>
  <c r="M28" i="10" a="1"/>
  <c r="M28" i="10" s="1"/>
  <c r="L28" i="10" a="1"/>
  <c r="L28" i="10" s="1"/>
  <c r="M24" i="10" a="1"/>
  <c r="M24" i="10" s="1"/>
  <c r="L24" i="10" a="1"/>
  <c r="L24" i="10" s="1"/>
  <c r="L4" i="10" a="1"/>
  <c r="L4" i="10" s="1"/>
  <c r="M4" i="10" a="1"/>
  <c r="M4" i="10" s="1"/>
  <c r="N43" i="11" a="1"/>
  <c r="N43" i="11" s="1"/>
  <c r="M16" i="9" a="1"/>
  <c r="M16" i="9" s="1"/>
  <c r="N19" i="10" a="1"/>
  <c r="N19" i="10" s="1"/>
  <c r="M15" i="10" a="1"/>
  <c r="M15" i="10" s="1"/>
  <c r="L15" i="10" a="1"/>
  <c r="L15" i="10" s="1"/>
  <c r="M7" i="10" a="1"/>
  <c r="M7" i="10" s="1"/>
  <c r="L7" i="10" a="1"/>
  <c r="L7" i="10" s="1"/>
  <c r="N69" i="8" a="1"/>
  <c r="N69" i="8" s="1"/>
  <c r="N23" i="11" a="1"/>
  <c r="N23" i="11" s="1"/>
  <c r="N31" i="11" a="1"/>
  <c r="N31" i="11" s="1"/>
  <c r="M47" i="11" a="1"/>
  <c r="M47" i="11" s="1"/>
  <c r="M51" i="11" a="1"/>
  <c r="M51" i="11" s="1"/>
  <c r="N52" i="11" a="1"/>
  <c r="N52" i="11" s="1"/>
  <c r="N49" i="11" a="1"/>
  <c r="N49" i="11" s="1"/>
  <c r="M49" i="9" a="1"/>
  <c r="M49" i="9" s="1"/>
  <c r="M21" i="10" a="1"/>
  <c r="M21" i="10" s="1"/>
  <c r="L49" i="10" a="1"/>
  <c r="L49" i="10" s="1"/>
  <c r="N42" i="10" a="1"/>
  <c r="N42" i="10" s="1"/>
  <c r="L44" i="10" a="1"/>
  <c r="L44" i="10" s="1"/>
  <c r="N16" i="10" a="1"/>
  <c r="N16" i="10" s="1"/>
  <c r="N8" i="10" a="1"/>
  <c r="N8" i="10" s="1"/>
  <c r="L18" i="10" a="1"/>
  <c r="L18" i="10" s="1"/>
  <c r="M16" i="10" a="1"/>
  <c r="M16" i="10" s="1"/>
  <c r="M12" i="10" a="1"/>
  <c r="M12" i="10" s="1"/>
  <c r="M10" i="10" a="1"/>
  <c r="M10" i="10" s="1"/>
  <c r="M8" i="10" a="1"/>
  <c r="M8" i="10" s="1"/>
  <c r="M6" i="10" a="1"/>
  <c r="M6" i="10" s="1"/>
  <c r="L25" i="10" a="1"/>
  <c r="L25" i="10" s="1"/>
  <c r="L54" i="10" a="1"/>
  <c r="L54" i="10" s="1"/>
  <c r="M50" i="10" a="1"/>
  <c r="M50" i="10" s="1"/>
  <c r="M63" i="10" a="1"/>
  <c r="M63" i="10" s="1"/>
  <c r="M55" i="10" a="1"/>
  <c r="M55" i="10" s="1"/>
  <c r="L47" i="10" a="1"/>
  <c r="L47" i="10" s="1"/>
  <c r="M34" i="10" a="1"/>
  <c r="M34" i="10" s="1"/>
  <c r="L34" i="10" a="1"/>
  <c r="L34" i="10" s="1"/>
  <c r="M30" i="10" a="1"/>
  <c r="M30" i="10" s="1"/>
  <c r="L30" i="10" a="1"/>
  <c r="L30" i="10" s="1"/>
  <c r="N44" i="11" a="1"/>
  <c r="N44" i="11" s="1"/>
  <c r="N54" i="9" a="1"/>
  <c r="N54" i="9" s="1"/>
  <c r="L19" i="10" a="1"/>
  <c r="L19" i="10" s="1"/>
  <c r="L52" i="10" a="1"/>
  <c r="L52" i="10" s="1"/>
  <c r="L48" i="10" a="1"/>
  <c r="L48" i="10" s="1"/>
  <c r="M22" i="10" a="1"/>
  <c r="M22" i="10" s="1"/>
  <c r="M11" i="10" a="1"/>
  <c r="M11" i="10" s="1"/>
  <c r="L11" i="10" a="1"/>
  <c r="L11" i="10" s="1"/>
  <c r="M31" i="10" a="1"/>
  <c r="M31" i="10" s="1"/>
  <c r="N64" i="9" a="1"/>
  <c r="N64" i="9" s="1"/>
  <c r="L40" i="9" a="1"/>
  <c r="L40" i="9" s="1"/>
  <c r="L30" i="9" a="1"/>
  <c r="L30" i="9" s="1"/>
  <c r="N28" i="9" a="1"/>
  <c r="N28" i="9" s="1"/>
  <c r="M24" i="9" a="1"/>
  <c r="M24" i="9" s="1"/>
  <c r="L23" i="10" a="1"/>
  <c r="L23" i="10" s="1"/>
  <c r="M33" i="10" a="1"/>
  <c r="M33" i="10" s="1"/>
  <c r="M27" i="10" a="1"/>
  <c r="M27" i="10" s="1"/>
  <c r="N18" i="10" a="1"/>
  <c r="N18" i="10" s="1"/>
  <c r="N34" i="10" a="1"/>
  <c r="N34" i="10" s="1"/>
  <c r="M42" i="10" a="1"/>
  <c r="M42" i="10" s="1"/>
  <c r="L42" i="10" a="1"/>
  <c r="L42" i="10" s="1"/>
  <c r="M40" i="10" a="1"/>
  <c r="M40" i="10" s="1"/>
  <c r="L40" i="10" a="1"/>
  <c r="L40" i="10" s="1"/>
  <c r="M38" i="10" a="1"/>
  <c r="M38" i="10" s="1"/>
  <c r="L38" i="10" a="1"/>
  <c r="L38" i="10" s="1"/>
  <c r="M17" i="10" a="1"/>
  <c r="M17" i="10" s="1"/>
  <c r="L17" i="10" a="1"/>
  <c r="L17" i="10" s="1"/>
  <c r="M13" i="10" a="1"/>
  <c r="M13" i="10" s="1"/>
  <c r="L13" i="10" a="1"/>
  <c r="L13" i="10" s="1"/>
  <c r="M9" i="10" a="1"/>
  <c r="M9" i="10" s="1"/>
  <c r="L9" i="10" a="1"/>
  <c r="L9" i="10" s="1"/>
  <c r="M5" i="10" a="1"/>
  <c r="M5" i="10" s="1"/>
  <c r="L5" i="10" a="1"/>
  <c r="L5" i="10" s="1"/>
  <c r="L41" i="10" a="1"/>
  <c r="L41" i="10" s="1"/>
  <c r="N57" i="9" a="1"/>
  <c r="N57" i="9" s="1"/>
  <c r="N49" i="9" a="1"/>
  <c r="N49" i="9" s="1"/>
  <c r="N59" i="9" a="1"/>
  <c r="N59" i="9" s="1"/>
  <c r="N42" i="9" a="1"/>
  <c r="N42" i="9" s="1"/>
  <c r="N36" i="9" a="1"/>
  <c r="N36" i="9" s="1"/>
  <c r="L31" i="9" a="1"/>
  <c r="L31" i="9" s="1"/>
  <c r="N33" i="9" a="1"/>
  <c r="N33" i="9" s="1"/>
  <c r="N20" i="9" a="1"/>
  <c r="N20" i="9" s="1"/>
  <c r="M13" i="9" a="1"/>
  <c r="M13" i="9" s="1"/>
  <c r="M11" i="9" a="1"/>
  <c r="M11" i="9" s="1"/>
  <c r="M9" i="9" a="1"/>
  <c r="M9" i="9" s="1"/>
  <c r="M7" i="9" a="1"/>
  <c r="M7" i="9" s="1"/>
  <c r="M5" i="9" a="1"/>
  <c r="M5" i="9" s="1"/>
  <c r="L33" i="9" a="1"/>
  <c r="L33" i="9" s="1"/>
  <c r="M62" i="9" a="1"/>
  <c r="M62" i="9" s="1"/>
  <c r="L57" i="9" a="1"/>
  <c r="L57" i="9" s="1"/>
  <c r="N50" i="9" a="1"/>
  <c r="N50" i="9" s="1"/>
  <c r="M33" i="9" a="1"/>
  <c r="M33" i="9" s="1"/>
  <c r="L27" i="9" a="1"/>
  <c r="L27" i="9" s="1"/>
  <c r="L20" i="9" a="1"/>
  <c r="L20" i="9" s="1"/>
  <c r="N35" i="9" a="1"/>
  <c r="N35" i="9" s="1"/>
  <c r="N22" i="9" a="1"/>
  <c r="N22" i="9" s="1"/>
  <c r="L19" i="9" a="1"/>
  <c r="L19" i="9" s="1"/>
  <c r="N13" i="9" a="1"/>
  <c r="N13" i="9" s="1"/>
  <c r="N12" i="9" a="1"/>
  <c r="N12" i="9" s="1"/>
  <c r="N10" i="9" a="1"/>
  <c r="N10" i="9" s="1"/>
  <c r="L39" i="9" a="1"/>
  <c r="L39" i="9" s="1"/>
  <c r="M44" i="11" a="1"/>
  <c r="M44" i="11" s="1"/>
  <c r="L47" i="11" a="1"/>
  <c r="L47" i="11" s="1"/>
  <c r="M57" i="9" a="1"/>
  <c r="M57" i="9" s="1"/>
  <c r="N15" i="11" a="1"/>
  <c r="N15" i="11" s="1"/>
  <c r="M47" i="9" a="1"/>
  <c r="M47" i="9" s="1"/>
  <c r="N63" i="9" a="1"/>
  <c r="N63" i="9" s="1"/>
  <c r="M64" i="9" a="1"/>
  <c r="M64" i="9" s="1"/>
  <c r="M63" i="9" a="1"/>
  <c r="M63" i="9" s="1"/>
  <c r="L60" i="9" a="1"/>
  <c r="L60" i="9" s="1"/>
  <c r="N44" i="9" a="1"/>
  <c r="N44" i="9" s="1"/>
  <c r="M59" i="9" a="1"/>
  <c r="M59" i="9" s="1"/>
  <c r="N41" i="9" a="1"/>
  <c r="N41" i="9" s="1"/>
  <c r="N24" i="9" a="1"/>
  <c r="N24" i="9" s="1"/>
  <c r="L36" i="9" a="1"/>
  <c r="L36" i="9" s="1"/>
  <c r="L28" i="9" a="1"/>
  <c r="L28" i="9" s="1"/>
  <c r="N16" i="9" a="1"/>
  <c r="N16" i="9" s="1"/>
  <c r="M23" i="9" a="1"/>
  <c r="M23" i="9" s="1"/>
  <c r="L64" i="9" a="1"/>
  <c r="L64" i="9" s="1"/>
  <c r="L59" i="9" a="1"/>
  <c r="L59" i="9" s="1"/>
  <c r="N55" i="9" a="1"/>
  <c r="N55" i="9" s="1"/>
  <c r="N48" i="9" a="1"/>
  <c r="N48" i="9" s="1"/>
  <c r="N39" i="9" a="1"/>
  <c r="N39" i="9" s="1"/>
  <c r="N60" i="9" a="1"/>
  <c r="N60" i="9" s="1"/>
  <c r="N53" i="9" a="1"/>
  <c r="N53" i="9" s="1"/>
  <c r="N47" i="9" a="1"/>
  <c r="N47" i="9" s="1"/>
  <c r="M43" i="9" a="1"/>
  <c r="M43" i="9" s="1"/>
  <c r="N40" i="9" a="1"/>
  <c r="N40" i="9" s="1"/>
  <c r="L35" i="9" a="1"/>
  <c r="L35" i="9" s="1"/>
  <c r="N34" i="9" a="1"/>
  <c r="N34" i="9" s="1"/>
  <c r="M29" i="9" a="1"/>
  <c r="M29" i="9" s="1"/>
  <c r="M20" i="9" a="1"/>
  <c r="M20" i="9" s="1"/>
  <c r="N31" i="9" a="1"/>
  <c r="N31" i="9" s="1"/>
  <c r="N25" i="9" a="1"/>
  <c r="N25" i="9" s="1"/>
  <c r="L21" i="9" a="1"/>
  <c r="L21" i="9" s="1"/>
  <c r="M19" i="9" a="1"/>
  <c r="M19" i="9" s="1"/>
  <c r="N18" i="9" a="1"/>
  <c r="N18" i="9" s="1"/>
  <c r="N6" i="9" a="1"/>
  <c r="N6" i="9" s="1"/>
  <c r="L13" i="9" a="1"/>
  <c r="L13" i="9" s="1"/>
  <c r="N8" i="9" a="1"/>
  <c r="N8" i="9" s="1"/>
  <c r="L5" i="9" a="1"/>
  <c r="L5" i="9" s="1"/>
  <c r="M28" i="9" a="1"/>
  <c r="M28" i="9" s="1"/>
  <c r="L23" i="9" a="1"/>
  <c r="L23" i="9" s="1"/>
  <c r="L55" i="9" a="1"/>
  <c r="L55" i="9" s="1"/>
  <c r="L58" i="9" a="1"/>
  <c r="L58" i="9" s="1"/>
  <c r="L62" i="9" a="1"/>
  <c r="L62" i="9" s="1"/>
  <c r="N45" i="9" a="1"/>
  <c r="N45" i="9" s="1"/>
  <c r="L41" i="9" a="1"/>
  <c r="L41" i="9" s="1"/>
  <c r="N32" i="9" a="1"/>
  <c r="N32" i="9" s="1"/>
  <c r="L32" i="9" a="1"/>
  <c r="L32" i="9" s="1"/>
  <c r="L51" i="9" a="1"/>
  <c r="L51" i="9" s="1"/>
  <c r="N62" i="9" a="1"/>
  <c r="N62" i="9" s="1"/>
  <c r="L16" i="9" a="1"/>
  <c r="L16" i="9" s="1"/>
  <c r="L7" i="9" a="1"/>
  <c r="L7" i="9" s="1"/>
  <c r="L38" i="9" a="1"/>
  <c r="L38" i="9" s="1"/>
  <c r="N52" i="9" a="1"/>
  <c r="N52" i="9" s="1"/>
  <c r="M42" i="9" a="1"/>
  <c r="M42" i="9" s="1"/>
  <c r="N58" i="9" a="1"/>
  <c r="N58" i="9" s="1"/>
  <c r="M10" i="9" a="1"/>
  <c r="M10" i="9" s="1"/>
  <c r="L10" i="9" a="1"/>
  <c r="L10" i="9" s="1"/>
  <c r="M15" i="9" a="1"/>
  <c r="M15" i="9" s="1"/>
  <c r="L43" i="9" a="1"/>
  <c r="L43" i="9" s="1"/>
  <c r="M53" i="11" a="1"/>
  <c r="M53" i="11" s="1"/>
  <c r="L4" i="11" a="1"/>
  <c r="L4" i="11" s="1"/>
  <c r="M21" i="9" a="1"/>
  <c r="M21" i="9" s="1"/>
  <c r="M4" i="9" a="1"/>
  <c r="M4" i="9" s="1"/>
  <c r="L4" i="9" a="1"/>
  <c r="L4" i="9" s="1"/>
  <c r="L61" i="9" a="1"/>
  <c r="L61" i="9" s="1"/>
  <c r="M12" i="9" a="1"/>
  <c r="M12" i="9" s="1"/>
  <c r="L12" i="9" a="1"/>
  <c r="L12" i="9" s="1"/>
  <c r="N38" i="9" a="1"/>
  <c r="N38" i="9" s="1"/>
  <c r="M35" i="9" a="1"/>
  <c r="M35" i="9" s="1"/>
  <c r="M27" i="9" a="1"/>
  <c r="M27" i="9" s="1"/>
  <c r="M6" i="9" a="1"/>
  <c r="M6" i="9" s="1"/>
  <c r="L6" i="9" a="1"/>
  <c r="L6" i="9" s="1"/>
  <c r="N29" i="9" a="1"/>
  <c r="N29" i="9" s="1"/>
  <c r="N23" i="9" a="1"/>
  <c r="N23" i="9" s="1"/>
  <c r="N19" i="9" a="1"/>
  <c r="N19" i="9" s="1"/>
  <c r="M17" i="9" a="1"/>
  <c r="M17" i="9" s="1"/>
  <c r="N15" i="9" a="1"/>
  <c r="N15" i="9" s="1"/>
  <c r="N5" i="9" a="1"/>
  <c r="N5" i="9" s="1"/>
  <c r="M36" i="9" a="1"/>
  <c r="M36" i="9" s="1"/>
  <c r="M40" i="9" a="1"/>
  <c r="M40" i="9" s="1"/>
  <c r="M41" i="9" a="1"/>
  <c r="M41" i="9" s="1"/>
  <c r="L53" i="9" a="1"/>
  <c r="L53" i="9" s="1"/>
  <c r="M58" i="9" a="1"/>
  <c r="M58" i="9" s="1"/>
  <c r="M60" i="9" a="1"/>
  <c r="M60" i="9" s="1"/>
  <c r="M34" i="9" a="1"/>
  <c r="M34" i="9" s="1"/>
  <c r="N21" i="9" a="1"/>
  <c r="N21" i="9" s="1"/>
  <c r="N11" i="9" a="1"/>
  <c r="N11" i="9" s="1"/>
  <c r="L43" i="11" a="1"/>
  <c r="L43" i="11" s="1"/>
  <c r="M37" i="11" a="1"/>
  <c r="M37" i="11" s="1"/>
  <c r="M33" i="11" a="1"/>
  <c r="M33" i="11" s="1"/>
  <c r="N18" i="11" a="1"/>
  <c r="N18" i="11" s="1"/>
  <c r="L20" i="11" a="1"/>
  <c r="L20" i="11" s="1"/>
  <c r="L14" i="11" a="1"/>
  <c r="L14" i="11" s="1"/>
  <c r="L6" i="11" a="1"/>
  <c r="L6" i="11" s="1"/>
  <c r="M15" i="11" a="1"/>
  <c r="M15" i="11" s="1"/>
  <c r="N4" i="11" a="1"/>
  <c r="N4" i="11" s="1"/>
  <c r="L29" i="9" a="1"/>
  <c r="L29" i="9" s="1"/>
  <c r="L34" i="9" a="1"/>
  <c r="L34" i="9" s="1"/>
  <c r="M45" i="9" a="1"/>
  <c r="M45" i="9" s="1"/>
  <c r="M51" i="9" a="1"/>
  <c r="M51" i="9" s="1"/>
  <c r="L54" i="9" a="1"/>
  <c r="L54" i="9" s="1"/>
  <c r="M54" i="9" a="1"/>
  <c r="M54" i="9" s="1"/>
  <c r="L52" i="9" a="1"/>
  <c r="L52" i="9" s="1"/>
  <c r="M52" i="9" a="1"/>
  <c r="M52" i="9" s="1"/>
  <c r="L50" i="9" a="1"/>
  <c r="L50" i="9" s="1"/>
  <c r="M50" i="9" a="1"/>
  <c r="M50" i="9" s="1"/>
  <c r="L48" i="9" a="1"/>
  <c r="L48" i="9" s="1"/>
  <c r="M48" i="9" a="1"/>
  <c r="M48" i="9" s="1"/>
  <c r="L44" i="9" a="1"/>
  <c r="L44" i="9" s="1"/>
  <c r="M44" i="9" a="1"/>
  <c r="M44" i="9" s="1"/>
  <c r="M8" i="9" a="1"/>
  <c r="M8" i="9" s="1"/>
  <c r="L8" i="9" a="1"/>
  <c r="L8" i="9" s="1"/>
  <c r="M39" i="9" a="1"/>
  <c r="M39" i="9" s="1"/>
  <c r="N30" i="9" a="1"/>
  <c r="N30" i="9" s="1"/>
  <c r="M25" i="9" a="1"/>
  <c r="M25" i="9" s="1"/>
  <c r="M18" i="9" a="1"/>
  <c r="M18" i="9" s="1"/>
  <c r="L18" i="9" a="1"/>
  <c r="L18" i="9" s="1"/>
  <c r="M30" i="9" a="1"/>
  <c r="M30" i="9" s="1"/>
  <c r="N27" i="9" a="1"/>
  <c r="N27" i="9" s="1"/>
  <c r="N17" i="9" a="1"/>
  <c r="N17" i="9" s="1"/>
  <c r="N7" i="9" a="1"/>
  <c r="N7" i="9" s="1"/>
  <c r="N4" i="9" a="1"/>
  <c r="N4" i="9" s="1"/>
  <c r="M32" i="9" a="1"/>
  <c r="M32" i="9" s="1"/>
  <c r="M38" i="9" a="1"/>
  <c r="M38" i="9" s="1"/>
  <c r="L47" i="9" a="1"/>
  <c r="L47" i="9" s="1"/>
  <c r="M55" i="9" a="1"/>
  <c r="M55" i="9" s="1"/>
  <c r="L15" i="9" a="1"/>
  <c r="L15" i="9" s="1"/>
  <c r="N61" i="9" a="1"/>
  <c r="N61" i="9" s="1"/>
  <c r="L63" i="9" a="1"/>
  <c r="L63" i="9" s="1"/>
  <c r="N43" i="9" a="1"/>
  <c r="N43" i="9" s="1"/>
  <c r="M31" i="9" a="1"/>
  <c r="M31" i="9" s="1"/>
  <c r="L22" i="9" a="1"/>
  <c r="L22" i="9" s="1"/>
  <c r="M22" i="9" a="1"/>
  <c r="M22" i="9" s="1"/>
  <c r="N9" i="9" a="1"/>
  <c r="N9" i="9" s="1"/>
  <c r="L42" i="9" a="1"/>
  <c r="L42" i="9" s="1"/>
  <c r="L49" i="9" a="1"/>
  <c r="L49" i="9" s="1"/>
  <c r="M61" i="9" a="1"/>
  <c r="M61" i="9" s="1"/>
  <c r="M50" i="11" a="1"/>
  <c r="M50" i="11" s="1"/>
  <c r="M17" i="11" a="1"/>
  <c r="M17" i="11" s="1"/>
  <c r="M17" i="8" a="1"/>
  <c r="M17" i="8" s="1"/>
  <c r="N20" i="11" a="1"/>
  <c r="N20" i="11" s="1"/>
  <c r="L51" i="11" a="1"/>
  <c r="L51" i="11" s="1"/>
  <c r="N7" i="11" a="1"/>
  <c r="N7" i="11" s="1"/>
  <c r="N53" i="11" a="1"/>
  <c r="N53" i="11" s="1"/>
  <c r="L49" i="11" a="1"/>
  <c r="L49" i="11" s="1"/>
  <c r="M39" i="11" a="1"/>
  <c r="M39" i="11" s="1"/>
  <c r="M16" i="11" a="1"/>
  <c r="M16" i="11" s="1"/>
  <c r="L10" i="11" a="1"/>
  <c r="L10" i="11" s="1"/>
  <c r="N29" i="11" a="1"/>
  <c r="N29" i="11" s="1"/>
  <c r="N41" i="11" a="1"/>
  <c r="N41" i="11" s="1"/>
  <c r="L48" i="11" a="1"/>
  <c r="L48" i="11" s="1"/>
  <c r="M43" i="11" a="1"/>
  <c r="M43" i="11" s="1"/>
  <c r="N9" i="11" a="1"/>
  <c r="N9" i="11" s="1"/>
  <c r="L17" i="11" a="1"/>
  <c r="L17" i="11" s="1"/>
  <c r="N51" i="11" a="1"/>
  <c r="N51" i="11" s="1"/>
  <c r="N48" i="11" a="1"/>
  <c r="N48" i="11" s="1"/>
  <c r="L45" i="11" a="1"/>
  <c r="L45" i="11" s="1"/>
  <c r="N45" i="11" a="1"/>
  <c r="N45" i="11" s="1"/>
  <c r="M4" i="11" a="1"/>
  <c r="M4" i="11" s="1"/>
  <c r="N21" i="11" a="1"/>
  <c r="N21" i="11" s="1"/>
  <c r="L16" i="11" a="1"/>
  <c r="L16" i="11" s="1"/>
  <c r="N47" i="11" a="1"/>
  <c r="N47" i="11" s="1"/>
  <c r="L45" i="8" a="1"/>
  <c r="L45" i="8" s="1"/>
  <c r="N58" i="8" a="1"/>
  <c r="N58" i="8" s="1"/>
  <c r="N59" i="8" a="1"/>
  <c r="N59" i="8" s="1"/>
  <c r="N12" i="8" a="1"/>
  <c r="N12" i="8" s="1"/>
  <c r="N4" i="8" a="1"/>
  <c r="N4" i="8" s="1"/>
  <c r="L35" i="11" a="1"/>
  <c r="L35" i="11" s="1"/>
  <c r="N24" i="11" a="1"/>
  <c r="N24" i="11" s="1"/>
  <c r="M10" i="11" a="1"/>
  <c r="M10" i="11" s="1"/>
  <c r="N50" i="11" a="1"/>
  <c r="N50" i="11" s="1"/>
  <c r="M48" i="11" a="1"/>
  <c r="M48" i="11" s="1"/>
  <c r="N28" i="11" a="1"/>
  <c r="N28" i="11" s="1"/>
  <c r="M45" i="11" a="1"/>
  <c r="M45" i="11" s="1"/>
  <c r="L52" i="11" a="1"/>
  <c r="L52" i="11" s="1"/>
  <c r="M41" i="11" a="1"/>
  <c r="M41" i="11" s="1"/>
  <c r="N42" i="11" a="1"/>
  <c r="N42" i="11" s="1"/>
  <c r="N10" i="11" a="1"/>
  <c r="N10" i="11" s="1"/>
  <c r="M49" i="11" a="1"/>
  <c r="M49" i="11" s="1"/>
  <c r="L37" i="11" a="1"/>
  <c r="L37" i="11" s="1"/>
  <c r="M31" i="11" a="1"/>
  <c r="M31" i="11" s="1"/>
  <c r="N34" i="11" a="1"/>
  <c r="N34" i="11" s="1"/>
  <c r="M14" i="11" a="1"/>
  <c r="M14" i="11" s="1"/>
  <c r="M6" i="11" a="1"/>
  <c r="M6" i="11" s="1"/>
  <c r="L8" i="11" a="1"/>
  <c r="L8" i="11" s="1"/>
  <c r="L15" i="11" a="1"/>
  <c r="L15" i="11" s="1"/>
  <c r="L13" i="11" a="1"/>
  <c r="L13" i="11" s="1"/>
  <c r="M35" i="11" a="1"/>
  <c r="M35" i="11" s="1"/>
  <c r="N8" i="11" a="1"/>
  <c r="N8" i="11" s="1"/>
  <c r="N25" i="11" a="1"/>
  <c r="N25" i="11" s="1"/>
  <c r="N37" i="11" a="1"/>
  <c r="N37" i="11" s="1"/>
  <c r="L42" i="8" a="1"/>
  <c r="L42" i="8" s="1"/>
  <c r="L20" i="8" a="1"/>
  <c r="L20" i="8" s="1"/>
  <c r="L17" i="8" a="1"/>
  <c r="L17" i="8" s="1"/>
  <c r="L13" i="8" a="1"/>
  <c r="L13" i="8" s="1"/>
  <c r="L9" i="8" a="1"/>
  <c r="L9" i="8" s="1"/>
  <c r="M7" i="8" a="1"/>
  <c r="M7" i="8" s="1"/>
  <c r="L5" i="8" a="1"/>
  <c r="L5" i="8" s="1"/>
  <c r="M46" i="8" a="1"/>
  <c r="M46" i="8" s="1"/>
  <c r="N27" i="11" a="1"/>
  <c r="N27" i="11" s="1"/>
  <c r="N35" i="11" a="1"/>
  <c r="N35" i="11" s="1"/>
  <c r="N39" i="11" a="1"/>
  <c r="N39" i="11" s="1"/>
  <c r="L50" i="11" a="1"/>
  <c r="L50" i="11" s="1"/>
  <c r="L41" i="11" a="1"/>
  <c r="L41" i="11" s="1"/>
  <c r="L39" i="11" a="1"/>
  <c r="L39" i="11" s="1"/>
  <c r="N32" i="11" a="1"/>
  <c r="N32" i="11" s="1"/>
  <c r="L29" i="11" a="1"/>
  <c r="L29" i="11" s="1"/>
  <c r="M27" i="11" a="1"/>
  <c r="M27" i="11" s="1"/>
  <c r="L25" i="11" a="1"/>
  <c r="L25" i="11" s="1"/>
  <c r="L23" i="11" a="1"/>
  <c r="L23" i="11" s="1"/>
  <c r="N13" i="11" a="1"/>
  <c r="N13" i="11" s="1"/>
  <c r="N5" i="11" a="1"/>
  <c r="N5" i="11" s="1"/>
  <c r="N40" i="11" a="1"/>
  <c r="N40" i="11" s="1"/>
  <c r="N36" i="11" a="1"/>
  <c r="N36" i="11" s="1"/>
  <c r="L33" i="11" a="1"/>
  <c r="L33" i="11" s="1"/>
  <c r="N26" i="11" a="1"/>
  <c r="N26" i="11" s="1"/>
  <c r="M8" i="11" a="1"/>
  <c r="M8" i="11" s="1"/>
  <c r="N19" i="11" a="1"/>
  <c r="N19" i="11" s="1"/>
  <c r="N11" i="11" a="1"/>
  <c r="N11" i="11" s="1"/>
  <c r="N14" i="11" a="1"/>
  <c r="N14" i="11" s="1"/>
  <c r="M11" i="11" a="1"/>
  <c r="M11" i="11" s="1"/>
  <c r="L9" i="11" a="1"/>
  <c r="L9" i="11" s="1"/>
  <c r="L7" i="11" a="1"/>
  <c r="L7" i="11" s="1"/>
  <c r="M5" i="11" a="1"/>
  <c r="M5" i="11" s="1"/>
  <c r="N16" i="11" a="1"/>
  <c r="N16" i="11" s="1"/>
  <c r="N6" i="11" a="1"/>
  <c r="N6" i="11" s="1"/>
  <c r="M23" i="11" a="1"/>
  <c r="M23" i="11" s="1"/>
  <c r="L11" i="11" a="1"/>
  <c r="L11" i="11" s="1"/>
  <c r="N60" i="8" a="1"/>
  <c r="N60" i="8" s="1"/>
  <c r="M24" i="11" a="1"/>
  <c r="M24" i="11" s="1"/>
  <c r="L24" i="11" a="1"/>
  <c r="L24" i="11" s="1"/>
  <c r="M32" i="11" a="1"/>
  <c r="M32" i="11" s="1"/>
  <c r="L32" i="11" a="1"/>
  <c r="L32" i="11" s="1"/>
  <c r="M25" i="11" a="1"/>
  <c r="M25" i="11" s="1"/>
  <c r="M28" i="8" a="1"/>
  <c r="M28" i="8" s="1"/>
  <c r="N65" i="8" a="1"/>
  <c r="N65" i="8" s="1"/>
  <c r="N49" i="8" a="1"/>
  <c r="N49" i="8" s="1"/>
  <c r="L5" i="11" a="1"/>
  <c r="L5" i="11" s="1"/>
  <c r="L44" i="11" a="1"/>
  <c r="L44" i="11" s="1"/>
  <c r="M21" i="11" a="1"/>
  <c r="M21" i="11" s="1"/>
  <c r="L21" i="11" a="1"/>
  <c r="L21" i="11" s="1"/>
  <c r="M29" i="11" a="1"/>
  <c r="M29" i="11" s="1"/>
  <c r="M7" i="11" a="1"/>
  <c r="M7" i="11" s="1"/>
  <c r="M13" i="11" a="1"/>
  <c r="M13" i="11" s="1"/>
  <c r="L31" i="11" a="1"/>
  <c r="L31" i="11" s="1"/>
  <c r="L53" i="11" a="1"/>
  <c r="L53" i="11" s="1"/>
  <c r="M19" i="11" a="1"/>
  <c r="M19" i="11" s="1"/>
  <c r="L19" i="11" a="1"/>
  <c r="L19" i="11" s="1"/>
  <c r="M9" i="11" a="1"/>
  <c r="M9" i="11" s="1"/>
  <c r="N55" i="8" a="1"/>
  <c r="N55" i="8" s="1"/>
  <c r="N57" i="8" a="1"/>
  <c r="N57" i="8" s="1"/>
  <c r="M28" i="11" a="1"/>
  <c r="M28" i="11" s="1"/>
  <c r="L28" i="11" a="1"/>
  <c r="L28" i="11" s="1"/>
  <c r="M36" i="11" a="1"/>
  <c r="M36" i="11" s="1"/>
  <c r="L36" i="11" a="1"/>
  <c r="L36" i="11" s="1"/>
  <c r="M40" i="11" a="1"/>
  <c r="M40" i="11" s="1"/>
  <c r="L40" i="11" a="1"/>
  <c r="L40" i="11" s="1"/>
  <c r="L27" i="11" a="1"/>
  <c r="L27" i="11" s="1"/>
  <c r="M57" i="8" a="1"/>
  <c r="M57" i="8" s="1"/>
  <c r="M60" i="8" a="1"/>
  <c r="M60" i="8" s="1"/>
  <c r="M61" i="8" a="1"/>
  <c r="M61" i="8" s="1"/>
  <c r="N29" i="8" a="1"/>
  <c r="N29" i="8" s="1"/>
  <c r="M20" i="8" a="1"/>
  <c r="M20" i="8" s="1"/>
  <c r="M15" i="8" a="1"/>
  <c r="M15" i="8" s="1"/>
  <c r="M11" i="8" a="1"/>
  <c r="M11" i="8" s="1"/>
  <c r="L11" i="8" a="1"/>
  <c r="L11" i="8" s="1"/>
  <c r="L50" i="8" a="1"/>
  <c r="L50" i="8" s="1"/>
  <c r="M52" i="8" a="1"/>
  <c r="M52" i="8" s="1"/>
  <c r="N47" i="8" a="1"/>
  <c r="N47" i="8" s="1"/>
  <c r="M26" i="11" a="1"/>
  <c r="M26" i="11" s="1"/>
  <c r="L26" i="11" a="1"/>
  <c r="L26" i="11" s="1"/>
  <c r="M34" i="11" a="1"/>
  <c r="M34" i="11" s="1"/>
  <c r="L34" i="11" a="1"/>
  <c r="L34" i="11" s="1"/>
  <c r="M42" i="11" a="1"/>
  <c r="M42" i="11" s="1"/>
  <c r="L42" i="11" a="1"/>
  <c r="L42" i="11" s="1"/>
  <c r="M20" i="11" a="1"/>
  <c r="M20" i="11" s="1"/>
  <c r="L18" i="11" a="1"/>
  <c r="L18" i="11" s="1"/>
  <c r="M18" i="11" a="1"/>
  <c r="M18" i="11" s="1"/>
  <c r="M40" i="8" a="1"/>
  <c r="M40" i="8" s="1"/>
  <c r="N66" i="8" a="1"/>
  <c r="N66" i="8" s="1"/>
  <c r="N67" i="8" a="1"/>
  <c r="N67" i="8" s="1"/>
  <c r="N70" i="8" a="1"/>
  <c r="N70" i="8" s="1"/>
  <c r="M56" i="8" a="1"/>
  <c r="M56" i="8" s="1"/>
  <c r="N39" i="8" a="1"/>
  <c r="N39" i="8" s="1"/>
  <c r="L48" i="8" a="1"/>
  <c r="L48" i="8" s="1"/>
  <c r="M34" i="8" a="1"/>
  <c r="M34" i="8" s="1"/>
  <c r="N19" i="8" a="1"/>
  <c r="N19" i="8" s="1"/>
  <c r="M38" i="8" a="1"/>
  <c r="M38" i="8" s="1"/>
  <c r="L51" i="8" a="1"/>
  <c r="L51" i="8" s="1"/>
  <c r="M65" i="8" a="1"/>
  <c r="M65" i="8" s="1"/>
  <c r="M66" i="8" a="1"/>
  <c r="M66" i="8" s="1"/>
  <c r="M67" i="8" a="1"/>
  <c r="M67" i="8" s="1"/>
  <c r="M69" i="8" a="1"/>
  <c r="M69" i="8" s="1"/>
  <c r="M70" i="8" a="1"/>
  <c r="M70" i="8" s="1"/>
  <c r="M71" i="8" a="1"/>
  <c r="M71" i="8" s="1"/>
  <c r="N41" i="8" a="1"/>
  <c r="N41" i="8" s="1"/>
  <c r="N33" i="8" a="1"/>
  <c r="N33" i="8" s="1"/>
  <c r="N23" i="8" a="1"/>
  <c r="N23" i="8" s="1"/>
  <c r="M22" i="8" a="1"/>
  <c r="M22" i="8" s="1"/>
  <c r="M16" i="8" a="1"/>
  <c r="M16" i="8" s="1"/>
  <c r="M12" i="8" a="1"/>
  <c r="M12" i="8" s="1"/>
  <c r="M8" i="8" a="1"/>
  <c r="M8" i="8" s="1"/>
  <c r="M4" i="8" a="1"/>
  <c r="M4" i="8" s="1"/>
  <c r="M23" i="8" a="1"/>
  <c r="M23" i="8" s="1"/>
  <c r="N17" i="8" a="1"/>
  <c r="N17" i="8" s="1"/>
  <c r="N13" i="8" a="1"/>
  <c r="N13" i="8" s="1"/>
  <c r="N5" i="8" a="1"/>
  <c r="N5" i="8" s="1"/>
  <c r="M5" i="8" a="1"/>
  <c r="M5" i="8" s="1"/>
  <c r="N16" i="8" a="1"/>
  <c r="N16" i="8" s="1"/>
  <c r="N8" i="8" a="1"/>
  <c r="N8" i="8" s="1"/>
  <c r="N34" i="8" a="1"/>
  <c r="N34" i="8" s="1"/>
  <c r="N38" i="8" a="1"/>
  <c r="N38" i="8" s="1"/>
  <c r="N42" i="8" a="1"/>
  <c r="N42" i="8" s="1"/>
  <c r="L26" i="8" a="1"/>
  <c r="L26" i="8" s="1"/>
  <c r="N50" i="8" a="1"/>
  <c r="N50" i="8" s="1"/>
  <c r="N56" i="8" a="1"/>
  <c r="N56" i="8" s="1"/>
  <c r="N61" i="8" a="1"/>
  <c r="N61" i="8" s="1"/>
  <c r="N62" i="8" a="1"/>
  <c r="N62" i="8" s="1"/>
  <c r="N43" i="8" a="1"/>
  <c r="N43" i="8" s="1"/>
  <c r="L40" i="8" a="1"/>
  <c r="L40" i="8" s="1"/>
  <c r="N21" i="8" a="1"/>
  <c r="N21" i="8" s="1"/>
  <c r="L14" i="8" a="1"/>
  <c r="L14" i="8" s="1"/>
  <c r="L19" i="8" a="1"/>
  <c r="L19" i="8" s="1"/>
  <c r="L16" i="8" a="1"/>
  <c r="L16" i="8" s="1"/>
  <c r="L12" i="8" a="1"/>
  <c r="L12" i="8" s="1"/>
  <c r="L8" i="8" a="1"/>
  <c r="L8" i="8" s="1"/>
  <c r="L4" i="8" a="1"/>
  <c r="L4" i="8" s="1"/>
  <c r="N14" i="8" a="1"/>
  <c r="N14" i="8" s="1"/>
  <c r="N6" i="8" a="1"/>
  <c r="N6" i="8" s="1"/>
  <c r="N28" i="8" a="1"/>
  <c r="N28" i="8" s="1"/>
  <c r="M50" i="8" a="1"/>
  <c r="M50" i="8" s="1"/>
  <c r="M24" i="8" a="1"/>
  <c r="M24" i="8" s="1"/>
  <c r="L36" i="8" a="1"/>
  <c r="L36" i="8" s="1"/>
  <c r="N52" i="8" a="1"/>
  <c r="N52" i="8" s="1"/>
  <c r="M54" i="8" a="1"/>
  <c r="M54" i="8" s="1"/>
  <c r="N64" i="8" a="1"/>
  <c r="N64" i="8" s="1"/>
  <c r="N68" i="8" a="1"/>
  <c r="N68" i="8" s="1"/>
  <c r="N71" i="8" a="1"/>
  <c r="N71" i="8" s="1"/>
  <c r="N45" i="8" a="1"/>
  <c r="N45" i="8" s="1"/>
  <c r="L46" i="8" a="1"/>
  <c r="L46" i="8" s="1"/>
  <c r="M48" i="8" a="1"/>
  <c r="M48" i="8" s="1"/>
  <c r="N9" i="8" a="1"/>
  <c r="N9" i="8" s="1"/>
  <c r="L15" i="8" a="1"/>
  <c r="L15" i="8" s="1"/>
  <c r="N10" i="8" a="1"/>
  <c r="N10" i="8" s="1"/>
  <c r="L7" i="8" a="1"/>
  <c r="L7" i="8" s="1"/>
  <c r="L24" i="8" a="1"/>
  <c r="L24" i="8" s="1"/>
  <c r="N35" i="8" a="1"/>
  <c r="N35" i="8" s="1"/>
  <c r="N25" i="8" a="1"/>
  <c r="N25" i="8" s="1"/>
  <c r="L23" i="8" a="1"/>
  <c r="L23" i="8" s="1"/>
  <c r="L22" i="8" a="1"/>
  <c r="L22" i="8" s="1"/>
  <c r="M9" i="8" a="1"/>
  <c r="M9" i="8" s="1"/>
  <c r="M13" i="8" a="1"/>
  <c r="M13" i="8" s="1"/>
  <c r="L28" i="8" a="1"/>
  <c r="L28" i="8" s="1"/>
  <c r="L32" i="8" a="1"/>
  <c r="L32" i="8" s="1"/>
  <c r="L47" i="8" a="1"/>
  <c r="L47" i="8" s="1"/>
  <c r="M14" i="8" a="1"/>
  <c r="M14" i="8" s="1"/>
  <c r="M10" i="8" a="1"/>
  <c r="M10" i="8" s="1"/>
  <c r="M6" i="8" a="1"/>
  <c r="M6" i="8" s="1"/>
  <c r="N15" i="8" a="1"/>
  <c r="N15" i="8" s="1"/>
  <c r="N11" i="8" a="1"/>
  <c r="N11" i="8" s="1"/>
  <c r="N7" i="8" a="1"/>
  <c r="N7" i="8" s="1"/>
  <c r="N26" i="8" a="1"/>
  <c r="N26" i="8" s="1"/>
  <c r="N36" i="8" a="1"/>
  <c r="N36" i="8" s="1"/>
  <c r="N40" i="8" a="1"/>
  <c r="N40" i="8" s="1"/>
  <c r="L52" i="8" a="1"/>
  <c r="L52" i="8" s="1"/>
  <c r="N22" i="8" a="1"/>
  <c r="N22" i="8" s="1"/>
  <c r="M49" i="8" a="1"/>
  <c r="M49" i="8" s="1"/>
  <c r="N20" i="8" a="1"/>
  <c r="N20" i="8" s="1"/>
  <c r="N24" i="8" a="1"/>
  <c r="N24" i="8" s="1"/>
  <c r="L10" i="8" a="1"/>
  <c r="L10" i="8" s="1"/>
  <c r="L6" i="8" a="1"/>
  <c r="L6" i="8" s="1"/>
  <c r="M47" i="8" a="1"/>
  <c r="M47" i="8" s="1"/>
  <c r="M36" i="8" a="1"/>
  <c r="M36" i="8" s="1"/>
  <c r="M42" i="8" a="1"/>
  <c r="M42" i="8" s="1"/>
  <c r="N51" i="8" a="1"/>
  <c r="N51" i="8" s="1"/>
  <c r="M43" i="8" a="1"/>
  <c r="M43" i="8" s="1"/>
  <c r="L43" i="8" a="1"/>
  <c r="L43" i="8" s="1"/>
  <c r="M39" i="8" a="1"/>
  <c r="M39" i="8" s="1"/>
  <c r="L39" i="8" a="1"/>
  <c r="L39" i="8" s="1"/>
  <c r="M35" i="8" a="1"/>
  <c r="M35" i="8" s="1"/>
  <c r="L35" i="8" a="1"/>
  <c r="L35" i="8" s="1"/>
  <c r="M31" i="8" a="1"/>
  <c r="M31" i="8" s="1"/>
  <c r="L31" i="8" a="1"/>
  <c r="L31" i="8" s="1"/>
  <c r="N37" i="8" a="1"/>
  <c r="N37" i="8" s="1"/>
  <c r="N27" i="8" a="1"/>
  <c r="N27" i="8" s="1"/>
  <c r="M21" i="8" a="1"/>
  <c r="M21" i="8" s="1"/>
  <c r="L21" i="8" a="1"/>
  <c r="L21" i="8" s="1"/>
  <c r="M29" i="8" a="1"/>
  <c r="M29" i="8" s="1"/>
  <c r="L29" i="8" a="1"/>
  <c r="L29" i="8" s="1"/>
  <c r="M27" i="8" a="1"/>
  <c r="M27" i="8" s="1"/>
  <c r="L27" i="8" a="1"/>
  <c r="L27" i="8" s="1"/>
  <c r="M25" i="8" a="1"/>
  <c r="M25" i="8" s="1"/>
  <c r="L25" i="8" a="1"/>
  <c r="L25" i="8" s="1"/>
  <c r="L34" i="8" a="1"/>
  <c r="L34" i="8" s="1"/>
  <c r="M26" i="8" a="1"/>
  <c r="M26" i="8" s="1"/>
  <c r="M45" i="8" a="1"/>
  <c r="M45" i="8" s="1"/>
  <c r="L49" i="8" a="1"/>
  <c r="L49" i="8" s="1"/>
  <c r="L54" i="8" a="1"/>
  <c r="L54" i="8" s="1"/>
  <c r="M41" i="8" a="1"/>
  <c r="M41" i="8" s="1"/>
  <c r="L41" i="8" a="1"/>
  <c r="L41" i="8" s="1"/>
  <c r="M37" i="8" a="1"/>
  <c r="M37" i="8" s="1"/>
  <c r="L37" i="8" a="1"/>
  <c r="L37" i="8" s="1"/>
  <c r="M33" i="8" a="1"/>
  <c r="M33" i="8" s="1"/>
  <c r="L33" i="8" a="1"/>
  <c r="L33" i="8" s="1"/>
  <c r="N46" i="8" a="1"/>
  <c r="N46" i="8" s="1"/>
  <c r="L55" i="8" a="1"/>
  <c r="L55" i="8" s="1"/>
  <c r="L56" i="8" a="1"/>
  <c r="L56" i="8" s="1"/>
  <c r="L57" i="8" a="1"/>
  <c r="L57" i="8" s="1"/>
  <c r="L58" i="8" a="1"/>
  <c r="L58" i="8" s="1"/>
  <c r="L59" i="8" a="1"/>
  <c r="L59" i="8" s="1"/>
  <c r="L60" i="8" a="1"/>
  <c r="L60" i="8" s="1"/>
  <c r="L61" i="8" a="1"/>
  <c r="L61" i="8" s="1"/>
  <c r="L62" i="8" a="1"/>
  <c r="L62" i="8" s="1"/>
  <c r="N31" i="8" a="1"/>
  <c r="N31" i="8" s="1"/>
  <c r="M19" i="8" a="1"/>
  <c r="M19" i="8" s="1"/>
  <c r="M32" i="8" a="1"/>
  <c r="M32" i="8" s="1"/>
  <c r="M51" i="8" a="1"/>
  <c r="M51" i="8" s="1"/>
  <c r="M58" i="8" a="1"/>
  <c r="M58" i="8" s="1"/>
  <c r="M62" i="8" a="1"/>
  <c r="M62" i="8" s="1"/>
  <c r="N48" i="8" a="1"/>
  <c r="N48" i="8" s="1"/>
  <c r="N54" i="8" a="1"/>
  <c r="N54" i="8" s="1"/>
  <c r="L64" i="8" a="1"/>
  <c r="L64" i="8" s="1"/>
  <c r="L65" i="8" a="1"/>
  <c r="L65" i="8" s="1"/>
  <c r="L66" i="8" a="1"/>
  <c r="L66" i="8" s="1"/>
  <c r="L67" i="8" a="1"/>
  <c r="L67" i="8" s="1"/>
  <c r="L68" i="8" a="1"/>
  <c r="L68" i="8" s="1"/>
  <c r="L69" i="8" a="1"/>
  <c r="L69" i="8" s="1"/>
  <c r="L70" i="8" a="1"/>
  <c r="L70" i="8" s="1"/>
  <c r="L71" i="8" a="1"/>
  <c r="L71" i="8" s="1"/>
  <c r="L38" i="8" a="1"/>
  <c r="L38" i="8" s="1"/>
  <c r="M55" i="8" a="1"/>
  <c r="M55" i="8" s="1"/>
  <c r="M59" i="8" a="1"/>
  <c r="M59" i="8" s="1"/>
  <c r="M64" i="8" a="1"/>
  <c r="M64" i="8" s="1"/>
  <c r="M68" i="8" a="1"/>
  <c r="M68" i="8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office</author>
  </authors>
  <commentList>
    <comment ref="L1" authorId="0" shapeId="0" xr:uid="{5D6DEF0E-C273-4E2A-860F-589ADDF9448E}">
      <text>
        <r>
          <rPr>
            <b/>
            <sz val="9"/>
            <color indexed="81"/>
            <rFont val="Tahoma"/>
            <charset val="1"/>
          </rPr>
          <t xml:space="preserve">Артур:
</t>
        </r>
        <r>
          <rPr>
            <sz val="9"/>
            <color indexed="81"/>
            <rFont val="Tahoma"/>
            <family val="2"/>
          </rPr>
          <t xml:space="preserve">Фрахт + дроп + жд + охрана
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<sst xmlns="http://schemas.openxmlformats.org/spreadsheetml/2006/main" count="1171" uniqueCount="67">
  <si>
    <t>Экспедитор</t>
  </si>
  <si>
    <t>фрахт</t>
  </si>
  <si>
    <t>дроп-офф</t>
  </si>
  <si>
    <t>POL</t>
  </si>
  <si>
    <t>жд тариф</t>
  </si>
  <si>
    <t>Итого</t>
  </si>
  <si>
    <t>Терминал ДВ</t>
  </si>
  <si>
    <t>ВМКТ</t>
  </si>
  <si>
    <t>20&lt;28т</t>
  </si>
  <si>
    <t>20&lt;24т</t>
  </si>
  <si>
    <t>ВМТП</t>
  </si>
  <si>
    <t>ВСК</t>
  </si>
  <si>
    <t>ФЕСКО</t>
  </si>
  <si>
    <t>NINGBO</t>
  </si>
  <si>
    <t>SHANGHAI</t>
  </si>
  <si>
    <t>QINGDAO</t>
  </si>
  <si>
    <t>XIAMEN</t>
  </si>
  <si>
    <t>XINGANG</t>
  </si>
  <si>
    <t>YANTIAN</t>
  </si>
  <si>
    <t>ВМПП</t>
  </si>
  <si>
    <t>ВОХР</t>
  </si>
  <si>
    <t>СОЛЛЕРС</t>
  </si>
  <si>
    <t>Линия</t>
  </si>
  <si>
    <t>Фрахт</t>
  </si>
  <si>
    <t>Локация</t>
  </si>
  <si>
    <t>Москва</t>
  </si>
  <si>
    <t>СПб</t>
  </si>
  <si>
    <t>Новосибирск</t>
  </si>
  <si>
    <t>Екатеринбург</t>
  </si>
  <si>
    <t>Терминал</t>
  </si>
  <si>
    <t>ВМТП (Феско)</t>
  </si>
  <si>
    <t>POD</t>
  </si>
  <si>
    <t>16 значений</t>
  </si>
  <si>
    <t>-</t>
  </si>
  <si>
    <t>Соллерс</t>
  </si>
  <si>
    <t>SINOKOR</t>
  </si>
  <si>
    <t>HUAXIN</t>
  </si>
  <si>
    <t>ТоргМолл</t>
  </si>
  <si>
    <t>EuroEast</t>
  </si>
  <si>
    <t>ВМПП/СОЛЛЕРС (Сквозной EuroEast)</t>
  </si>
  <si>
    <t>HUAXIN  (TAICANG)</t>
  </si>
  <si>
    <t>ВМТП (TFL)</t>
  </si>
  <si>
    <t>TFL (Сквозной)</t>
  </si>
  <si>
    <t>Трансконтейнер (Сквозной сервис)</t>
  </si>
  <si>
    <t>ВСК (ТК) Ningbo</t>
  </si>
  <si>
    <t>ВСК (ТК) Shanghai</t>
  </si>
  <si>
    <t>ВСК (ТК) Qingdao</t>
  </si>
  <si>
    <t>ВСК (ТК) Xingang</t>
  </si>
  <si>
    <t>ВСК (ТК) Xiamen</t>
  </si>
  <si>
    <t>ВСК (ТК) Yantian</t>
  </si>
  <si>
    <t>SWIFT</t>
  </si>
  <si>
    <t>SWIFT (Taicang)</t>
  </si>
  <si>
    <t>ТоргМолл (Taicang)</t>
  </si>
  <si>
    <t>SASCO</t>
  </si>
  <si>
    <t>Хасан</t>
  </si>
  <si>
    <t>ВМТП (Феско ост.)</t>
  </si>
  <si>
    <t>Соллерс (Хасан)</t>
  </si>
  <si>
    <t>Охрана</t>
  </si>
  <si>
    <t>У ТрансКонтейнера ставки фрахт + ЖД. У них сразу итоговый вариант ставки без разбивки.</t>
  </si>
  <si>
    <t>Инструкция по работе:</t>
  </si>
  <si>
    <t>Нужно заполнить листы Москва, СПб, Новосибирск и Екатеринбург.</t>
  </si>
  <si>
    <t>Информацию нужно брать с листов Фрахт, Drop Off, ж.д. и Охрана</t>
  </si>
  <si>
    <t>Примечания:</t>
  </si>
  <si>
    <t>1. Трансконтейнер в папке Фрахт содержит сразу конечную стоимость перевозки до конкретных назначений. Там не нужно дополнительно ничего складывать из других листов</t>
  </si>
  <si>
    <t>2. Стоимость до разных городов зависит от стоимость дропа в городах и жд до этого города. Внимательно обращайте на это внимание при работе. Фрахт же не зависит от города назначения. Он одинаковый вне зависимости от города.</t>
  </si>
  <si>
    <t>Имя листа</t>
  </si>
  <si>
    <t>Курс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</si>
</sst>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4" formatCode="_(&quot;$&quot;* #,##0.00_);_(&quot;$&quot;* \(#,##0.00\);_(&quot;$&quot;* &quot;-&quot;??_);_(@_)"/>
    <numFmt numFmtId="164" formatCode="#,##0\ &quot;₽&quot;;\-#,##0\ &quot;₽&quot;"/>
    <numFmt numFmtId="165" formatCode="#,##0_ ;\-#,##0\ "/>
    <numFmt numFmtId="166" formatCode="[$$-409]#,##0_ ;\-[$$-409]#,##0\ "/>
    <numFmt numFmtId="167" formatCode="#,##0\ [$₽-419];\-#,##0\ [$₽-419]"/>
    <numFmt numFmtId="168" formatCode="0_ ;\-0\ "/>
    <numFmt numFmtId="169" formatCode="0.000"/>
    <numFmt numFmtId="170" formatCode="[$$-409]#,##0"/>
    <numFmt numFmtId="171" formatCode="#,##0\ &quot;₽&quot;"/>
    <numFmt numFmtId="172" formatCode="[$$-C09]#,##0"/>
    <numFmt numFmtId="173" formatCode="_-* #,##0.00\ _D_M_-;\-* #,##0.00\ _D_M_-;_-* &quot;-&quot;??\ _D_M_-;_-@_-"/>
    <numFmt numFmtId="174" formatCode="_-* #,##0.00&quot;р.&quot;_-;\-* #,##0.00&quot;р.&quot;_-;_-* &quot;-&quot;??&quot;р.&quot;_-;_-@_-"/>
    <numFmt numFmtId="175" formatCode="&quot;$&quot;#,##0.00"/>
    <numFmt numFmtId="176" formatCode="_-* #,##0.00\ [$₽-419]_-;\-* #,##0.00\ [$₽-419]_-;_-* &quot;-&quot;??\ [$₽-419]_-;_-@_-"/>
  </numFmts>
  <fonts count="57" x14ac:knownFonts="1">
    <font>
      <sz val="11"/>
      <color theme="1"/>
      <name val="Calibri"/>
      <family val="2"/>
      <charset val="204"/>
      <scheme val="minor"/>
    </font>
    <font>
      <sz val="10"/>
      <name val="Arial Cyr"/>
      <charset val="204"/>
    </font>
    <font>
      <sz val="11"/>
      <name val="Calibri"/>
      <family val="2"/>
      <charset val="204"/>
      <scheme val="minor"/>
    </font>
    <font>
      <b/>
      <sz val="11"/>
      <color rgb="FFFF0000"/>
      <name val="Calibri"/>
      <family val="2"/>
      <charset val="204"/>
      <scheme val="minor"/>
    </font>
    <font>
      <b/>
      <sz val="1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12"/>
      <name val="Calibri"/>
      <family val="2"/>
      <charset val="204"/>
      <scheme val="minor"/>
    </font>
    <font>
      <sz val="10"/>
      <name val="Arial"/>
      <family val="2"/>
      <charset val="204"/>
    </font>
    <font>
      <sz val="10"/>
      <color indexed="8"/>
      <name val="Arial"/>
      <family val="2"/>
    </font>
    <font>
      <sz val="10"/>
      <color indexed="9"/>
      <name val="Arial"/>
      <family val="2"/>
    </font>
    <font>
      <sz val="11"/>
      <color indexed="9"/>
      <name val="Calibri"/>
      <family val="2"/>
    </font>
    <font>
      <sz val="11"/>
      <color indexed="8"/>
      <name val="Calibri"/>
      <family val="2"/>
    </font>
    <font>
      <sz val="11"/>
      <color indexed="16"/>
      <name val="Calibri"/>
      <family val="2"/>
    </font>
    <font>
      <b/>
      <sz val="11"/>
      <color indexed="53"/>
      <name val="Calibri"/>
      <family val="2"/>
    </font>
    <font>
      <b/>
      <sz val="11"/>
      <color indexed="9"/>
      <name val="Calibri"/>
      <family val="2"/>
    </font>
    <font>
      <b/>
      <sz val="11"/>
      <color indexed="8"/>
      <name val="Calibri"/>
      <family val="2"/>
    </font>
    <font>
      <i/>
      <sz val="10"/>
      <color indexed="23"/>
      <name val="Arial"/>
      <family val="2"/>
    </font>
    <font>
      <sz val="11"/>
      <color indexed="17"/>
      <name val="Calibri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48"/>
      <name val="Calibri"/>
      <family val="2"/>
    </font>
    <font>
      <sz val="11"/>
      <color indexed="53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0"/>
      <color indexed="8"/>
      <name val="Arial"/>
      <family val="2"/>
    </font>
    <font>
      <sz val="8"/>
      <name val="Arial"/>
      <family val="2"/>
    </font>
    <font>
      <b/>
      <sz val="10"/>
      <color indexed="39"/>
      <name val="Arial"/>
      <family val="2"/>
    </font>
    <font>
      <sz val="8"/>
      <color indexed="62"/>
      <name val="Arial"/>
      <family val="2"/>
    </font>
    <font>
      <b/>
      <sz val="8"/>
      <color indexed="8"/>
      <name val="Arial"/>
      <family val="2"/>
    </font>
    <font>
      <sz val="10"/>
      <name val="Arial"/>
      <family val="2"/>
    </font>
    <font>
      <b/>
      <sz val="12"/>
      <color indexed="8"/>
      <name val="Arial"/>
      <family val="2"/>
      <charset val="204"/>
    </font>
    <font>
      <sz val="10"/>
      <color indexed="8"/>
      <name val="Arial"/>
      <family val="2"/>
      <charset val="204"/>
    </font>
    <font>
      <sz val="8"/>
      <name val="Arial"/>
      <family val="2"/>
      <charset val="204"/>
    </font>
    <font>
      <b/>
      <sz val="8"/>
      <name val="Arial"/>
      <family val="2"/>
    </font>
    <font>
      <sz val="8"/>
      <color indexed="8"/>
      <name val="Arial"/>
      <family val="2"/>
    </font>
    <font>
      <sz val="10"/>
      <color indexed="39"/>
      <name val="Arial"/>
      <family val="2"/>
    </font>
    <font>
      <sz val="19"/>
      <color indexed="48"/>
      <name val="Arial"/>
      <family val="2"/>
      <charset val="204"/>
    </font>
    <font>
      <sz val="19"/>
      <name val="Arial"/>
      <family val="2"/>
    </font>
    <font>
      <sz val="10"/>
      <color indexed="10"/>
      <name val="Arial"/>
      <family val="2"/>
    </font>
    <font>
      <sz val="8"/>
      <color indexed="14"/>
      <name val="Arial"/>
      <family val="2"/>
    </font>
    <font>
      <b/>
      <sz val="18"/>
      <color indexed="62"/>
      <name val="Cambria"/>
      <family val="2"/>
    </font>
    <font>
      <sz val="11"/>
      <color indexed="10"/>
      <name val="Calibri"/>
      <family val="2"/>
    </font>
    <font>
      <b/>
      <sz val="11"/>
      <color indexed="17"/>
      <name val="Calibri"/>
      <family val="2"/>
    </font>
    <font>
      <sz val="11"/>
      <color indexed="37"/>
      <name val="Calibri"/>
      <family val="2"/>
    </font>
    <font>
      <sz val="11"/>
      <color indexed="14"/>
      <name val="Calibri"/>
      <family val="2"/>
    </font>
    <font>
      <sz val="10"/>
      <color rgb="FF000000"/>
      <name val="Arial"/>
      <family val="2"/>
      <charset val="204"/>
    </font>
    <font>
      <sz val="11"/>
      <color rgb="FF006100"/>
      <name val="Calibri"/>
      <family val="2"/>
      <scheme val="minor"/>
    </font>
    <font>
      <sz val="10"/>
      <name val="Arial cyr"/>
    </font>
    <font>
      <sz val="12"/>
      <color theme="1"/>
      <name val="Calibri"/>
      <family val="2"/>
      <charset val="204"/>
      <scheme val="minor"/>
    </font>
    <font>
      <sz val="10"/>
      <color theme="1"/>
      <name val="Arial"/>
      <family val="2"/>
      <charset val="204"/>
    </font>
    <font>
      <b/>
      <sz val="11"/>
      <name val="Calibri"/>
      <family val="2"/>
      <scheme val="minor"/>
    </font>
    <font>
      <b/>
      <sz val="9"/>
      <color indexed="81"/>
      <name val="Tahoma"/>
      <charset val="1"/>
    </font>
    <font>
      <sz val="9"/>
      <color indexed="81"/>
      <name val="Tahoma"/>
      <family val="2"/>
    </font>
    <font>
      <b/>
      <sz val="16"/>
      <name val="Calibri"/>
      <family val="2"/>
      <scheme val="minor"/>
    </font>
  </fonts>
  <fills count="78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C6EFCE"/>
      </patternFill>
    </fill>
    <fill>
      <patternFill patternType="solid">
        <fgColor indexed="40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9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54"/>
      </patternFill>
    </fill>
    <fill>
      <patternFill patternType="solid">
        <fgColor indexed="57"/>
      </patternFill>
    </fill>
    <fill>
      <patternFill patternType="solid">
        <fgColor indexed="22"/>
      </patternFill>
    </fill>
    <fill>
      <patternFill patternType="solid">
        <fgColor indexed="47"/>
      </patternFill>
    </fill>
    <fill>
      <patternFill patternType="solid">
        <fgColor indexed="48"/>
        <bgColor indexed="48"/>
      </patternFill>
    </fill>
    <fill>
      <patternFill patternType="solid">
        <fgColor indexed="44"/>
        <bgColor indexed="44"/>
      </patternFill>
    </fill>
    <fill>
      <patternFill patternType="solid">
        <fgColor indexed="61"/>
        <bgColor indexed="61"/>
      </patternFill>
    </fill>
    <fill>
      <patternFill patternType="solid">
        <fgColor indexed="54"/>
        <bgColor indexed="54"/>
      </patternFill>
    </fill>
    <fill>
      <patternFill patternType="solid">
        <fgColor indexed="22"/>
        <bgColor indexed="22"/>
      </patternFill>
    </fill>
    <fill>
      <patternFill patternType="solid">
        <fgColor indexed="24"/>
        <bgColor indexed="24"/>
      </patternFill>
    </fill>
    <fill>
      <patternFill patternType="solid">
        <fgColor indexed="58"/>
        <bgColor indexed="58"/>
      </patternFill>
    </fill>
    <fill>
      <patternFill patternType="solid">
        <fgColor indexed="25"/>
        <bgColor indexed="25"/>
      </patternFill>
    </fill>
    <fill>
      <patternFill patternType="solid">
        <fgColor indexed="15"/>
        <bgColor indexed="15"/>
      </patternFill>
    </fill>
    <fill>
      <patternFill patternType="solid">
        <fgColor indexed="31"/>
        <bgColor indexed="31"/>
      </patternFill>
    </fill>
    <fill>
      <patternFill patternType="solid">
        <fgColor indexed="45"/>
        <bgColor indexed="45"/>
      </patternFill>
    </fill>
    <fill>
      <patternFill patternType="solid">
        <fgColor indexed="40"/>
        <bgColor indexed="40"/>
      </patternFill>
    </fill>
    <fill>
      <patternFill patternType="solid">
        <fgColor indexed="55"/>
        <bgColor indexed="55"/>
      </patternFill>
    </fill>
    <fill>
      <patternFill patternType="solid">
        <fgColor indexed="41"/>
        <bgColor indexed="41"/>
      </patternFill>
    </fill>
    <fill>
      <patternFill patternType="solid">
        <fgColor indexed="60"/>
        <bgColor indexed="60"/>
      </patternFill>
    </fill>
    <fill>
      <patternFill patternType="solid">
        <fgColor indexed="11"/>
        <bgColor indexed="11"/>
      </patternFill>
    </fill>
    <fill>
      <patternFill patternType="solid">
        <fgColor indexed="50"/>
        <bgColor indexed="50"/>
      </patternFill>
    </fill>
    <fill>
      <patternFill patternType="solid">
        <fgColor indexed="23"/>
        <bgColor indexed="23"/>
      </patternFill>
    </fill>
    <fill>
      <patternFill patternType="solid">
        <fgColor indexed="49"/>
        <bgColor indexed="49"/>
      </patternFill>
    </fill>
    <fill>
      <patternFill patternType="solid">
        <fgColor indexed="52"/>
        <bgColor indexed="52"/>
      </patternFill>
    </fill>
    <fill>
      <patternFill patternType="solid">
        <fgColor indexed="26"/>
        <bgColor indexed="26"/>
      </patternFill>
    </fill>
    <fill>
      <patternFill patternType="solid">
        <fgColor indexed="47"/>
        <bgColor indexed="47"/>
      </patternFill>
    </fill>
    <fill>
      <patternFill patternType="solid">
        <fgColor indexed="51"/>
        <bgColor indexed="51"/>
      </patternFill>
    </fill>
    <fill>
      <patternFill patternType="solid">
        <fgColor indexed="9"/>
        <bgColor indexed="9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4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12"/>
      </patternFill>
    </fill>
    <fill>
      <patternFill patternType="lightUp">
        <fgColor indexed="9"/>
        <bgColor indexed="57"/>
      </patternFill>
    </fill>
    <fill>
      <patternFill patternType="solid">
        <fgColor indexed="42"/>
        <bgColor indexed="42"/>
      </patternFill>
    </fill>
    <fill>
      <patternFill patternType="solid">
        <fgColor indexed="43"/>
      </patternFill>
    </fill>
    <fill>
      <patternFill patternType="solid">
        <fgColor indexed="43"/>
        <bgColor indexed="64"/>
      </patternFill>
    </fill>
    <fill>
      <patternFill patternType="solid">
        <fgColor indexed="49"/>
      </patternFill>
    </fill>
    <fill>
      <patternFill patternType="solid">
        <fgColor indexed="12"/>
      </patternFill>
    </fill>
    <fill>
      <patternFill patternType="solid">
        <fgColor indexed="10"/>
      </patternFill>
    </fill>
    <fill>
      <patternFill patternType="solid">
        <fgColor indexed="51"/>
      </patternFill>
    </fill>
    <fill>
      <patternFill patternType="solid">
        <fgColor indexed="52"/>
      </patternFill>
    </fill>
    <fill>
      <patternFill patternType="solid">
        <fgColor indexed="53"/>
      </patternFill>
    </fill>
    <fill>
      <patternFill patternType="solid">
        <fgColor indexed="50"/>
      </patternFill>
    </fill>
    <fill>
      <patternFill patternType="solid">
        <fgColor indexed="11"/>
      </patternFill>
    </fill>
    <fill>
      <patternFill patternType="lightUp">
        <fgColor indexed="48"/>
        <bgColor indexed="41"/>
      </patternFill>
    </fill>
    <fill>
      <patternFill patternType="solid">
        <fgColor indexed="41"/>
      </patternFill>
    </fill>
    <fill>
      <patternFill patternType="solid">
        <fgColor indexed="23"/>
      </patternFill>
    </fill>
    <fill>
      <patternFill patternType="solid">
        <fgColor indexed="2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5"/>
      </patternFill>
    </fill>
    <fill>
      <patternFill patternType="solid">
        <fgColor indexed="20"/>
      </patternFill>
    </fill>
    <fill>
      <patternFill patternType="solid">
        <fgColor indexed="57"/>
        <bgColor indexed="57"/>
      </patternFill>
    </fill>
    <fill>
      <patternFill patternType="solid">
        <fgColor indexed="18"/>
        <bgColor indexed="18"/>
      </patternFill>
    </fill>
    <fill>
      <patternFill patternType="solid">
        <fgColor indexed="53"/>
        <bgColor indexed="53"/>
      </patternFill>
    </fill>
    <fill>
      <patternFill patternType="solid">
        <fgColor indexed="35"/>
        <bgColor indexed="35"/>
      </patternFill>
    </fill>
    <fill>
      <patternFill patternType="solid">
        <fgColor indexed="60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-0.249977111117893"/>
        <bgColor indexed="64"/>
      </patternFill>
    </fill>
  </fills>
  <borders count="7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8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24"/>
      </bottom>
      <diagonal/>
    </border>
    <border>
      <left/>
      <right/>
      <top/>
      <bottom style="double">
        <color indexed="5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41"/>
      </left>
      <right style="thin">
        <color indexed="48"/>
      </right>
      <top style="medium">
        <color indexed="41"/>
      </top>
      <bottom style="thin">
        <color indexed="48"/>
      </bottom>
      <diagonal/>
    </border>
    <border>
      <left style="thin">
        <color indexed="58"/>
      </left>
      <right style="medium">
        <color indexed="58"/>
      </right>
      <top style="medium">
        <color indexed="58"/>
      </top>
      <bottom style="thin">
        <color indexed="58"/>
      </bottom>
      <diagonal/>
    </border>
    <border>
      <left style="thin">
        <color indexed="54"/>
      </left>
      <right/>
      <top style="thin">
        <color indexed="54"/>
      </top>
      <bottom/>
      <diagonal/>
    </border>
    <border>
      <left/>
      <right/>
      <top style="thin">
        <color indexed="48"/>
      </top>
      <bottom style="double">
        <color indexed="48"/>
      </bottom>
      <diagonal/>
    </border>
    <border>
      <left/>
      <right/>
      <top/>
      <bottom style="thick">
        <color indexed="58"/>
      </bottom>
      <diagonal/>
    </border>
    <border>
      <left/>
      <right/>
      <top/>
      <bottom style="medium">
        <color indexed="58"/>
      </bottom>
      <diagonal/>
    </border>
    <border>
      <left/>
      <right/>
      <top/>
      <bottom style="double">
        <color indexed="17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</borders>
  <cellStyleXfs count="781">
    <xf numFmtId="0" fontId="0" fillId="0" borderId="0"/>
    <xf numFmtId="0" fontId="1" fillId="0" borderId="0"/>
    <xf numFmtId="0" fontId="7" fillId="0" borderId="0"/>
    <xf numFmtId="172" fontId="6" fillId="0" borderId="0"/>
    <xf numFmtId="172" fontId="6" fillId="0" borderId="0"/>
    <xf numFmtId="0" fontId="1" fillId="0" borderId="0"/>
    <xf numFmtId="0" fontId="6" fillId="0" borderId="0"/>
    <xf numFmtId="172" fontId="6" fillId="0" borderId="0"/>
    <xf numFmtId="172" fontId="6" fillId="0" borderId="0"/>
    <xf numFmtId="0" fontId="6" fillId="0" borderId="0"/>
    <xf numFmtId="0" fontId="1" fillId="0" borderId="0"/>
    <xf numFmtId="0" fontId="6" fillId="0" borderId="0"/>
    <xf numFmtId="172" fontId="6" fillId="0" borderId="0"/>
    <xf numFmtId="0" fontId="7" fillId="0" borderId="0"/>
    <xf numFmtId="172" fontId="6" fillId="0" borderId="0"/>
    <xf numFmtId="172" fontId="6" fillId="0" borderId="0"/>
    <xf numFmtId="172" fontId="6" fillId="0" borderId="0"/>
    <xf numFmtId="172" fontId="6" fillId="0" borderId="0"/>
    <xf numFmtId="172" fontId="6" fillId="0" borderId="0"/>
    <xf numFmtId="0" fontId="6" fillId="0" borderId="0"/>
    <xf numFmtId="172" fontId="6" fillId="0" borderId="0"/>
    <xf numFmtId="172" fontId="6" fillId="0" borderId="0"/>
    <xf numFmtId="0" fontId="6" fillId="0" borderId="0"/>
    <xf numFmtId="0" fontId="6" fillId="0" borderId="0"/>
    <xf numFmtId="172" fontId="6" fillId="0" borderId="0"/>
    <xf numFmtId="172" fontId="6" fillId="0" borderId="0"/>
    <xf numFmtId="172" fontId="6" fillId="0" borderId="0"/>
    <xf numFmtId="172" fontId="6" fillId="0" borderId="0"/>
    <xf numFmtId="172" fontId="6" fillId="0" borderId="0"/>
    <xf numFmtId="0" fontId="6" fillId="0" borderId="0"/>
    <xf numFmtId="0" fontId="7" fillId="0" borderId="0"/>
    <xf numFmtId="0" fontId="9" fillId="0" borderId="0"/>
    <xf numFmtId="0" fontId="10" fillId="12" borderId="0" applyNumberFormat="0" applyBorder="0" applyAlignment="0" applyProtection="0"/>
    <xf numFmtId="0" fontId="10" fillId="13" borderId="0" applyNumberFormat="0" applyBorder="0" applyAlignment="0" applyProtection="0"/>
    <xf numFmtId="0" fontId="10" fillId="14" borderId="0" applyNumberFormat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3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18" borderId="0" applyNumberFormat="0" applyBorder="0" applyAlignment="0" applyProtection="0"/>
    <xf numFmtId="0" fontId="10" fillId="21" borderId="0" applyNumberFormat="0" applyBorder="0" applyAlignment="0" applyProtection="0"/>
    <xf numFmtId="0" fontId="11" fillId="18" borderId="0" applyNumberFormat="0" applyBorder="0" applyAlignment="0" applyProtection="0"/>
    <xf numFmtId="0" fontId="11" fillId="13" borderId="0" applyNumberFormat="0" applyBorder="0" applyAlignment="0" applyProtection="0"/>
    <xf numFmtId="0" fontId="11" fillId="19" borderId="0" applyNumberFormat="0" applyBorder="0" applyAlignment="0" applyProtection="0"/>
    <xf numFmtId="0" fontId="11" fillId="20" borderId="0" applyNumberFormat="0" applyBorder="0" applyAlignment="0" applyProtection="0"/>
    <xf numFmtId="0" fontId="11" fillId="18" borderId="0" applyNumberFormat="0" applyBorder="0" applyAlignment="0" applyProtection="0"/>
    <xf numFmtId="0" fontId="11" fillId="21" borderId="0" applyNumberFormat="0" applyBorder="0" applyAlignment="0" applyProtection="0"/>
    <xf numFmtId="0" fontId="12" fillId="22" borderId="0" applyNumberFormat="0" applyBorder="0" applyAlignment="0" applyProtection="0"/>
    <xf numFmtId="0" fontId="13" fillId="23" borderId="0" applyNumberFormat="0" applyBorder="0" applyAlignment="0" applyProtection="0"/>
    <xf numFmtId="0" fontId="13" fillId="24" borderId="0" applyNumberFormat="0" applyBorder="0" applyAlignment="0" applyProtection="0"/>
    <xf numFmtId="0" fontId="13" fillId="25" borderId="0" applyNumberFormat="0" applyBorder="0" applyAlignment="0" applyProtection="0"/>
    <xf numFmtId="0" fontId="13" fillId="26" borderId="0" applyNumberFormat="0" applyBorder="0" applyAlignment="0" applyProtection="0"/>
    <xf numFmtId="0" fontId="12" fillId="27" borderId="0" applyNumberFormat="0" applyBorder="0" applyAlignment="0" applyProtection="0"/>
    <xf numFmtId="0" fontId="12" fillId="28" borderId="0" applyNumberFormat="0" applyBorder="0" applyAlignment="0" applyProtection="0"/>
    <xf numFmtId="0" fontId="12" fillId="29" borderId="0" applyNumberFormat="0" applyBorder="0" applyAlignment="0" applyProtection="0"/>
    <xf numFmtId="0" fontId="13" fillId="30" borderId="0" applyNumberFormat="0" applyBorder="0" applyAlignment="0" applyProtection="0"/>
    <xf numFmtId="0" fontId="13" fillId="31" borderId="0" applyNumberFormat="0" applyBorder="0" applyAlignment="0" applyProtection="0"/>
    <xf numFmtId="0" fontId="13" fillId="32" borderId="0" applyNumberFormat="0" applyBorder="0" applyAlignment="0" applyProtection="0"/>
    <xf numFmtId="0" fontId="13" fillId="33" borderId="0" applyNumberFormat="0" applyBorder="0" applyAlignment="0" applyProtection="0"/>
    <xf numFmtId="0" fontId="12" fillId="34" borderId="0" applyNumberFormat="0" applyBorder="0" applyAlignment="0" applyProtection="0"/>
    <xf numFmtId="0" fontId="12" fillId="32" borderId="0" applyNumberFormat="0" applyBorder="0" applyAlignment="0" applyProtection="0"/>
    <xf numFmtId="0" fontId="12" fillId="34" borderId="0" applyNumberFormat="0" applyBorder="0" applyAlignment="0" applyProtection="0"/>
    <xf numFmtId="0" fontId="13" fillId="35" borderId="0" applyNumberFormat="0" applyBorder="0" applyAlignment="0" applyProtection="0"/>
    <xf numFmtId="0" fontId="13" fillId="36" borderId="0" applyNumberFormat="0" applyBorder="0" applyAlignment="0" applyProtection="0"/>
    <xf numFmtId="0" fontId="13" fillId="33" borderId="0" applyNumberFormat="0" applyBorder="0" applyAlignment="0" applyProtection="0"/>
    <xf numFmtId="0" fontId="13" fillId="37" borderId="0" applyNumberFormat="0" applyBorder="0" applyAlignment="0" applyProtection="0"/>
    <xf numFmtId="0" fontId="12" fillId="26" borderId="0" applyNumberFormat="0" applyBorder="0" applyAlignment="0" applyProtection="0"/>
    <xf numFmtId="0" fontId="12" fillId="38" borderId="0" applyNumberFormat="0" applyBorder="0" applyAlignment="0" applyProtection="0"/>
    <xf numFmtId="0" fontId="12" fillId="39" borderId="0" applyNumberFormat="0" applyBorder="0" applyAlignment="0" applyProtection="0"/>
    <xf numFmtId="0" fontId="13" fillId="33" borderId="0" applyNumberFormat="0" applyBorder="0" applyAlignment="0" applyProtection="0"/>
    <xf numFmtId="0" fontId="13" fillId="31" borderId="0" applyNumberFormat="0" applyBorder="0" applyAlignment="0" applyProtection="0"/>
    <xf numFmtId="0" fontId="13" fillId="26" borderId="0" applyNumberFormat="0" applyBorder="0" applyAlignment="0" applyProtection="0"/>
    <xf numFmtId="0" fontId="13" fillId="34" borderId="0" applyNumberFormat="0" applyBorder="0" applyAlignment="0" applyProtection="0"/>
    <xf numFmtId="0" fontId="12" fillId="26" borderId="0" applyNumberFormat="0" applyBorder="0" applyAlignment="0" applyProtection="0"/>
    <xf numFmtId="0" fontId="12" fillId="33" borderId="0" applyNumberFormat="0" applyBorder="0" applyAlignment="0" applyProtection="0"/>
    <xf numFmtId="0" fontId="12" fillId="40" borderId="0" applyNumberFormat="0" applyBorder="0" applyAlignment="0" applyProtection="0"/>
    <xf numFmtId="0" fontId="13" fillId="23" borderId="0" applyNumberFormat="0" applyBorder="0" applyAlignment="0" applyProtection="0"/>
    <xf numFmtId="0" fontId="13" fillId="35" borderId="0" applyNumberFormat="0" applyBorder="0" applyAlignment="0" applyProtection="0"/>
    <xf numFmtId="0" fontId="13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8" borderId="0" applyNumberFormat="0" applyBorder="0" applyAlignment="0" applyProtection="0"/>
    <xf numFmtId="0" fontId="12" fillId="41" borderId="0" applyNumberFormat="0" applyBorder="0" applyAlignment="0" applyProtection="0"/>
    <xf numFmtId="0" fontId="13" fillId="42" borderId="0" applyNumberFormat="0" applyBorder="0" applyAlignment="0" applyProtection="0"/>
    <xf numFmtId="0" fontId="13" fillId="32" borderId="0" applyNumberFormat="0" applyBorder="0" applyAlignment="0" applyProtection="0"/>
    <xf numFmtId="0" fontId="13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4" borderId="0" applyNumberFormat="0" applyBorder="0" applyAlignment="0" applyProtection="0"/>
    <xf numFmtId="0" fontId="14" fillId="32" borderId="0" applyNumberFormat="0" applyBorder="0" applyAlignment="0" applyProtection="0"/>
    <xf numFmtId="0" fontId="15" fillId="45" borderId="44" applyNumberFormat="0" applyAlignment="0" applyProtection="0"/>
    <xf numFmtId="0" fontId="16" fillId="34" borderId="45" applyNumberFormat="0" applyAlignment="0" applyProtection="0"/>
    <xf numFmtId="0" fontId="17" fillId="46" borderId="0" applyNumberFormat="0" applyBorder="0" applyAlignment="0" applyProtection="0"/>
    <xf numFmtId="0" fontId="17" fillId="47" borderId="0" applyNumberFormat="0" applyBorder="0" applyAlignment="0" applyProtection="0"/>
    <xf numFmtId="0" fontId="17" fillId="48" borderId="0" applyNumberFormat="0" applyBorder="0" applyAlignment="0" applyProtection="0"/>
    <xf numFmtId="0" fontId="17" fillId="49" borderId="0" applyNumberFormat="0" applyBorder="0" applyAlignment="0" applyProtection="0"/>
    <xf numFmtId="0" fontId="17" fillId="50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51" borderId="0" applyNumberFormat="0" applyBorder="0" applyAlignment="0" applyProtection="0"/>
    <xf numFmtId="0" fontId="20" fillId="0" borderId="46" applyNumberFormat="0" applyFill="0" applyAlignment="0" applyProtection="0"/>
    <xf numFmtId="0" fontId="21" fillId="0" borderId="47" applyNumberFormat="0" applyFill="0" applyAlignment="0" applyProtection="0"/>
    <xf numFmtId="0" fontId="22" fillId="0" borderId="48" applyNumberFormat="0" applyFill="0" applyAlignment="0" applyProtection="0"/>
    <xf numFmtId="0" fontId="22" fillId="0" borderId="0" applyNumberFormat="0" applyFill="0" applyBorder="0" applyAlignment="0" applyProtection="0"/>
    <xf numFmtId="0" fontId="23" fillId="43" borderId="44" applyNumberFormat="0" applyAlignment="0" applyProtection="0"/>
    <xf numFmtId="0" fontId="24" fillId="0" borderId="49" applyNumberFormat="0" applyFill="0" applyAlignment="0" applyProtection="0"/>
    <xf numFmtId="0" fontId="25" fillId="43" borderId="0" applyNumberFormat="0" applyBorder="0" applyAlignment="0" applyProtection="0"/>
    <xf numFmtId="0" fontId="9" fillId="42" borderId="50" applyNumberFormat="0" applyFont="0" applyAlignment="0" applyProtection="0"/>
    <xf numFmtId="0" fontId="26" fillId="45" borderId="51" applyNumberFormat="0" applyAlignment="0" applyProtection="0"/>
    <xf numFmtId="4" fontId="27" fillId="52" borderId="52" applyNumberFormat="0" applyProtection="0">
      <alignment vertical="center"/>
    </xf>
    <xf numFmtId="4" fontId="28" fillId="52" borderId="53" applyNumberFormat="0" applyProtection="0">
      <alignment vertical="center"/>
    </xf>
    <xf numFmtId="4" fontId="29" fillId="52" borderId="52" applyNumberFormat="0" applyProtection="0">
      <alignment vertical="center"/>
    </xf>
    <xf numFmtId="4" fontId="30" fillId="53" borderId="53" applyNumberFormat="0" applyProtection="0">
      <alignment vertical="center"/>
    </xf>
    <xf numFmtId="4" fontId="27" fillId="52" borderId="52" applyNumberFormat="0" applyProtection="0">
      <alignment horizontal="left" vertical="center" indent="1"/>
    </xf>
    <xf numFmtId="4" fontId="28" fillId="53" borderId="53" applyNumberFormat="0" applyProtection="0">
      <alignment horizontal="left" vertical="center" indent="1"/>
    </xf>
    <xf numFmtId="0" fontId="27" fillId="52" borderId="52" applyNumberFormat="0" applyProtection="0">
      <alignment horizontal="left" vertical="top" indent="1"/>
    </xf>
    <xf numFmtId="0" fontId="31" fillId="52" borderId="52" applyNumberFormat="0" applyProtection="0">
      <alignment horizontal="left" vertical="top" indent="1"/>
    </xf>
    <xf numFmtId="4" fontId="27" fillId="12" borderId="0" applyNumberFormat="0" applyProtection="0">
      <alignment horizontal="left" vertical="center" indent="1"/>
    </xf>
    <xf numFmtId="4" fontId="28" fillId="54" borderId="53" applyNumberFormat="0" applyProtection="0">
      <alignment horizontal="left" vertical="center" indent="1"/>
    </xf>
    <xf numFmtId="4" fontId="10" fillId="17" borderId="52" applyNumberFormat="0" applyProtection="0">
      <alignment horizontal="right" vertical="center"/>
    </xf>
    <xf numFmtId="4" fontId="28" fillId="17" borderId="53" applyNumberFormat="0" applyProtection="0">
      <alignment horizontal="right" vertical="center"/>
    </xf>
    <xf numFmtId="4" fontId="10" fillId="13" borderId="52" applyNumberFormat="0" applyProtection="0">
      <alignment horizontal="right" vertical="center"/>
    </xf>
    <xf numFmtId="4" fontId="28" fillId="55" borderId="53" applyNumberFormat="0" applyProtection="0">
      <alignment horizontal="right" vertical="center"/>
    </xf>
    <xf numFmtId="4" fontId="10" fillId="56" borderId="52" applyNumberFormat="0" applyProtection="0">
      <alignment horizontal="right" vertical="center"/>
    </xf>
    <xf numFmtId="4" fontId="28" fillId="56" borderId="54" applyNumberFormat="0" applyProtection="0">
      <alignment horizontal="right" vertical="center"/>
    </xf>
    <xf numFmtId="4" fontId="10" fillId="57" borderId="52" applyNumberFormat="0" applyProtection="0">
      <alignment horizontal="right" vertical="center"/>
    </xf>
    <xf numFmtId="4" fontId="28" fillId="57" borderId="53" applyNumberFormat="0" applyProtection="0">
      <alignment horizontal="right" vertical="center"/>
    </xf>
    <xf numFmtId="4" fontId="10" fillId="58" borderId="52" applyNumberFormat="0" applyProtection="0">
      <alignment horizontal="right" vertical="center"/>
    </xf>
    <xf numFmtId="4" fontId="28" fillId="58" borderId="53" applyNumberFormat="0" applyProtection="0">
      <alignment horizontal="right" vertical="center"/>
    </xf>
    <xf numFmtId="4" fontId="10" fillId="59" borderId="52" applyNumberFormat="0" applyProtection="0">
      <alignment horizontal="right" vertical="center"/>
    </xf>
    <xf numFmtId="4" fontId="28" fillId="59" borderId="53" applyNumberFormat="0" applyProtection="0">
      <alignment horizontal="right" vertical="center"/>
    </xf>
    <xf numFmtId="4" fontId="10" fillId="19" borderId="52" applyNumberFormat="0" applyProtection="0">
      <alignment horizontal="right" vertical="center"/>
    </xf>
    <xf numFmtId="4" fontId="28" fillId="19" borderId="53" applyNumberFormat="0" applyProtection="0">
      <alignment horizontal="right" vertical="center"/>
    </xf>
    <xf numFmtId="4" fontId="10" fillId="60" borderId="52" applyNumberFormat="0" applyProtection="0">
      <alignment horizontal="right" vertical="center"/>
    </xf>
    <xf numFmtId="4" fontId="28" fillId="60" borderId="53" applyNumberFormat="0" applyProtection="0">
      <alignment horizontal="right" vertical="center"/>
    </xf>
    <xf numFmtId="4" fontId="10" fillId="61" borderId="52" applyNumberFormat="0" applyProtection="0">
      <alignment horizontal="right" vertical="center"/>
    </xf>
    <xf numFmtId="4" fontId="28" fillId="61" borderId="53" applyNumberFormat="0" applyProtection="0">
      <alignment horizontal="right" vertical="center"/>
    </xf>
    <xf numFmtId="4" fontId="27" fillId="62" borderId="55" applyNumberFormat="0" applyProtection="0">
      <alignment horizontal="left" vertical="center" indent="1"/>
    </xf>
    <xf numFmtId="4" fontId="28" fillId="62" borderId="54" applyNumberFormat="0" applyProtection="0">
      <alignment horizontal="left" vertical="center" indent="1"/>
    </xf>
    <xf numFmtId="4" fontId="10" fillId="63" borderId="0" applyNumberFormat="0" applyProtection="0">
      <alignment horizontal="left" vertical="center" indent="1"/>
    </xf>
    <xf numFmtId="4" fontId="32" fillId="18" borderId="54" applyNumberFormat="0" applyProtection="0">
      <alignment horizontal="left" vertical="center" indent="1"/>
    </xf>
    <xf numFmtId="4" fontId="33" fillId="18" borderId="0" applyNumberFormat="0" applyProtection="0">
      <alignment horizontal="left" vertical="center" indent="1"/>
    </xf>
    <xf numFmtId="4" fontId="32" fillId="18" borderId="54" applyNumberFormat="0" applyProtection="0">
      <alignment horizontal="left" vertical="center" indent="1"/>
    </xf>
    <xf numFmtId="4" fontId="10" fillId="12" borderId="52" applyNumberFormat="0" applyProtection="0">
      <alignment horizontal="right" vertical="center"/>
    </xf>
    <xf numFmtId="4" fontId="28" fillId="12" borderId="53" applyNumberFormat="0" applyProtection="0">
      <alignment horizontal="right" vertical="center"/>
    </xf>
    <xf numFmtId="4" fontId="34" fillId="63" borderId="0" applyNumberFormat="0" applyProtection="0">
      <alignment horizontal="left" vertical="center" indent="1"/>
    </xf>
    <xf numFmtId="4" fontId="28" fillId="63" borderId="54" applyNumberFormat="0" applyProtection="0">
      <alignment horizontal="left" vertical="center" indent="1"/>
    </xf>
    <xf numFmtId="4" fontId="34" fillId="12" borderId="0" applyNumberFormat="0" applyProtection="0">
      <alignment horizontal="left" vertical="center" indent="1"/>
    </xf>
    <xf numFmtId="4" fontId="28" fillId="12" borderId="54" applyNumberFormat="0" applyProtection="0">
      <alignment horizontal="left" vertical="center" indent="1"/>
    </xf>
    <xf numFmtId="0" fontId="9" fillId="18" borderId="52" applyNumberFormat="0" applyProtection="0">
      <alignment horizontal="left" vertical="center" indent="1"/>
    </xf>
    <xf numFmtId="0" fontId="28" fillId="20" borderId="53" applyNumberFormat="0" applyProtection="0">
      <alignment horizontal="left" vertical="center" indent="1"/>
    </xf>
    <xf numFmtId="0" fontId="9" fillId="18" borderId="52" applyNumberFormat="0" applyProtection="0">
      <alignment horizontal="left" vertical="top" indent="1"/>
    </xf>
    <xf numFmtId="0" fontId="35" fillId="18" borderId="52" applyNumberFormat="0" applyProtection="0">
      <alignment horizontal="left" vertical="top" indent="1"/>
    </xf>
    <xf numFmtId="0" fontId="28" fillId="18" borderId="52" applyNumberFormat="0" applyProtection="0">
      <alignment horizontal="left" vertical="top" indent="1"/>
    </xf>
    <xf numFmtId="0" fontId="9" fillId="12" borderId="52" applyNumberFormat="0" applyProtection="0">
      <alignment horizontal="left" vertical="center" indent="1"/>
    </xf>
    <xf numFmtId="0" fontId="28" fillId="64" borderId="53" applyNumberFormat="0" applyProtection="0">
      <alignment horizontal="left" vertical="center" indent="1"/>
    </xf>
    <xf numFmtId="0" fontId="9" fillId="12" borderId="52" applyNumberFormat="0" applyProtection="0">
      <alignment horizontal="left" vertical="top" indent="1"/>
    </xf>
    <xf numFmtId="0" fontId="35" fillId="12" borderId="52" applyNumberFormat="0" applyProtection="0">
      <alignment horizontal="left" vertical="top" indent="1"/>
    </xf>
    <xf numFmtId="0" fontId="28" fillId="12" borderId="52" applyNumberFormat="0" applyProtection="0">
      <alignment horizontal="left" vertical="top" indent="1"/>
    </xf>
    <xf numFmtId="0" fontId="9" fillId="16" borderId="52" applyNumberFormat="0" applyProtection="0">
      <alignment horizontal="left" vertical="center" indent="1"/>
    </xf>
    <xf numFmtId="0" fontId="28" fillId="16" borderId="53" applyNumberFormat="0" applyProtection="0">
      <alignment horizontal="left" vertical="center" indent="1"/>
    </xf>
    <xf numFmtId="0" fontId="9" fillId="16" borderId="52" applyNumberFormat="0" applyProtection="0">
      <alignment horizontal="left" vertical="top" indent="1"/>
    </xf>
    <xf numFmtId="0" fontId="35" fillId="16" borderId="52" applyNumberFormat="0" applyProtection="0">
      <alignment horizontal="left" vertical="top" indent="1"/>
    </xf>
    <xf numFmtId="0" fontId="28" fillId="16" borderId="52" applyNumberFormat="0" applyProtection="0">
      <alignment horizontal="left" vertical="top" indent="1"/>
    </xf>
    <xf numFmtId="0" fontId="9" fillId="63" borderId="52" applyNumberFormat="0" applyProtection="0">
      <alignment horizontal="left" vertical="center" indent="1"/>
    </xf>
    <xf numFmtId="0" fontId="28" fillId="63" borderId="53" applyNumberFormat="0" applyProtection="0">
      <alignment horizontal="left" vertical="center" indent="1"/>
    </xf>
    <xf numFmtId="0" fontId="9" fillId="63" borderId="52" applyNumberFormat="0" applyProtection="0">
      <alignment horizontal="left" vertical="top" indent="1"/>
    </xf>
    <xf numFmtId="0" fontId="35" fillId="63" borderId="52" applyNumberFormat="0" applyProtection="0">
      <alignment horizontal="left" vertical="top" indent="1"/>
    </xf>
    <xf numFmtId="0" fontId="28" fillId="63" borderId="52" applyNumberFormat="0" applyProtection="0">
      <alignment horizontal="left" vertical="top" indent="1"/>
    </xf>
    <xf numFmtId="0" fontId="9" fillId="15" borderId="1" applyNumberFormat="0">
      <protection locked="0"/>
    </xf>
    <xf numFmtId="0" fontId="35" fillId="15" borderId="56" applyNumberFormat="0">
      <protection locked="0"/>
    </xf>
    <xf numFmtId="0" fontId="28" fillId="15" borderId="56" applyNumberFormat="0">
      <protection locked="0"/>
    </xf>
    <xf numFmtId="0" fontId="36" fillId="18" borderId="57" applyBorder="0"/>
    <xf numFmtId="4" fontId="10" fillId="14" borderId="52" applyNumberFormat="0" applyProtection="0">
      <alignment vertical="center"/>
    </xf>
    <xf numFmtId="4" fontId="37" fillId="14" borderId="52" applyNumberFormat="0" applyProtection="0">
      <alignment vertical="center"/>
    </xf>
    <xf numFmtId="4" fontId="38" fillId="14" borderId="52" applyNumberFormat="0" applyProtection="0">
      <alignment vertical="center"/>
    </xf>
    <xf numFmtId="4" fontId="30" fillId="65" borderId="1" applyNumberFormat="0" applyProtection="0">
      <alignment vertical="center"/>
    </xf>
    <xf numFmtId="4" fontId="10" fillId="14" borderId="52" applyNumberFormat="0" applyProtection="0">
      <alignment horizontal="left" vertical="center" indent="1"/>
    </xf>
    <xf numFmtId="4" fontId="37" fillId="20" borderId="52" applyNumberFormat="0" applyProtection="0">
      <alignment horizontal="left" vertical="center" indent="1"/>
    </xf>
    <xf numFmtId="0" fontId="10" fillId="14" borderId="52" applyNumberFormat="0" applyProtection="0">
      <alignment horizontal="left" vertical="top" indent="1"/>
    </xf>
    <xf numFmtId="0" fontId="37" fillId="14" borderId="52" applyNumberFormat="0" applyProtection="0">
      <alignment horizontal="left" vertical="top" indent="1"/>
    </xf>
    <xf numFmtId="4" fontId="10" fillId="63" borderId="52" applyNumberFormat="0" applyProtection="0">
      <alignment horizontal="right" vertical="center"/>
    </xf>
    <xf numFmtId="4" fontId="28" fillId="0" borderId="53" applyNumberFormat="0" applyProtection="0">
      <alignment horizontal="right" vertical="center"/>
    </xf>
    <xf numFmtId="4" fontId="38" fillId="63" borderId="52" applyNumberFormat="0" applyProtection="0">
      <alignment horizontal="right" vertical="center"/>
    </xf>
    <xf numFmtId="4" fontId="30" fillId="66" borderId="53" applyNumberFormat="0" applyProtection="0">
      <alignment horizontal="right" vertical="center"/>
    </xf>
    <xf numFmtId="4" fontId="10" fillId="12" borderId="52" applyNumberFormat="0" applyProtection="0">
      <alignment horizontal="left" vertical="center" indent="1"/>
    </xf>
    <xf numFmtId="4" fontId="28" fillId="54" borderId="53" applyNumberFormat="0" applyProtection="0">
      <alignment horizontal="left" vertical="center" indent="1"/>
    </xf>
    <xf numFmtId="0" fontId="10" fillId="12" borderId="52" applyNumberFormat="0" applyProtection="0">
      <alignment horizontal="left" vertical="top" indent="1"/>
    </xf>
    <xf numFmtId="0" fontId="37" fillId="12" borderId="52" applyNumberFormat="0" applyProtection="0">
      <alignment horizontal="left" vertical="top" indent="1"/>
    </xf>
    <xf numFmtId="4" fontId="39" fillId="67" borderId="0" applyNumberFormat="0" applyProtection="0">
      <alignment horizontal="left" vertical="center" indent="1"/>
    </xf>
    <xf numFmtId="4" fontId="40" fillId="67" borderId="54" applyNumberFormat="0" applyProtection="0">
      <alignment horizontal="left" vertical="center" indent="1"/>
    </xf>
    <xf numFmtId="0" fontId="28" fillId="68" borderId="1"/>
    <xf numFmtId="4" fontId="41" fillId="63" borderId="52" applyNumberFormat="0" applyProtection="0">
      <alignment horizontal="right" vertical="center"/>
    </xf>
    <xf numFmtId="4" fontId="42" fillId="15" borderId="53" applyNumberFormat="0" applyProtection="0">
      <alignment horizontal="right" vertical="center"/>
    </xf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17" fillId="0" borderId="58" applyNumberFormat="0" applyFill="0" applyAlignment="0" applyProtection="0"/>
    <xf numFmtId="0" fontId="44" fillId="0" borderId="0" applyNumberFormat="0" applyFill="0" applyBorder="0" applyAlignment="0" applyProtection="0"/>
    <xf numFmtId="0" fontId="12" fillId="22" borderId="0" applyNumberFormat="0" applyBorder="0" applyAlignment="0" applyProtection="0"/>
    <xf numFmtId="0" fontId="12" fillId="29" borderId="0" applyNumberFormat="0" applyBorder="0" applyAlignment="0" applyProtection="0"/>
    <xf numFmtId="0" fontId="12" fillId="69" borderId="0" applyNumberFormat="0" applyBorder="0" applyAlignment="0" applyProtection="0"/>
    <xf numFmtId="0" fontId="12" fillId="70" borderId="0" applyNumberFormat="0" applyBorder="0" applyAlignment="0" applyProtection="0"/>
    <xf numFmtId="0" fontId="12" fillId="28" borderId="0" applyNumberFormat="0" applyBorder="0" applyAlignment="0" applyProtection="0"/>
    <xf numFmtId="0" fontId="12" fillId="71" borderId="0" applyNumberFormat="0" applyBorder="0" applyAlignment="0" applyProtection="0"/>
    <xf numFmtId="0" fontId="23" fillId="43" borderId="53" applyNumberFormat="0" applyAlignment="0" applyProtection="0"/>
    <xf numFmtId="0" fontId="26" fillId="72" borderId="51" applyNumberFormat="0" applyAlignment="0" applyProtection="0"/>
    <xf numFmtId="0" fontId="45" fillId="72" borderId="53" applyNumberFormat="0" applyAlignment="0" applyProtection="0"/>
    <xf numFmtId="0" fontId="20" fillId="0" borderId="46" applyNumberFormat="0" applyFill="0" applyAlignment="0" applyProtection="0"/>
    <xf numFmtId="0" fontId="21" fillId="0" borderId="59" applyNumberFormat="0" applyFill="0" applyAlignment="0" applyProtection="0"/>
    <xf numFmtId="0" fontId="22" fillId="0" borderId="60" applyNumberFormat="0" applyFill="0" applyAlignment="0" applyProtection="0"/>
    <xf numFmtId="0" fontId="22" fillId="0" borderId="0" applyNumberFormat="0" applyFill="0" applyBorder="0" applyAlignment="0" applyProtection="0"/>
    <xf numFmtId="0" fontId="17" fillId="0" borderId="58" applyNumberFormat="0" applyFill="0" applyAlignment="0" applyProtection="0"/>
    <xf numFmtId="0" fontId="16" fillId="70" borderId="45" applyNumberFormat="0" applyAlignment="0" applyProtection="0"/>
    <xf numFmtId="0" fontId="19" fillId="43" borderId="0" applyNumberFormat="0" applyBorder="0" applyAlignment="0" applyProtection="0"/>
    <xf numFmtId="0" fontId="35" fillId="73" borderId="0"/>
    <xf numFmtId="0" fontId="35" fillId="73" borderId="0"/>
    <xf numFmtId="0" fontId="46" fillId="42" borderId="0" applyNumberFormat="0" applyBorder="0" applyAlignment="0" applyProtection="0"/>
    <xf numFmtId="0" fontId="28" fillId="42" borderId="53" applyNumberFormat="0" applyFont="0" applyAlignment="0" applyProtection="0"/>
    <xf numFmtId="0" fontId="19" fillId="0" borderId="61" applyNumberFormat="0" applyFill="0" applyAlignment="0" applyProtection="0"/>
    <xf numFmtId="0" fontId="47" fillId="0" borderId="0" applyNumberFormat="0" applyFill="0" applyBorder="0" applyAlignment="0" applyProtection="0"/>
    <xf numFmtId="173" fontId="9" fillId="0" borderId="0" applyFont="0" applyFill="0" applyBorder="0" applyAlignment="0" applyProtection="0"/>
    <xf numFmtId="0" fontId="13" fillId="37" borderId="0" applyNumberFormat="0" applyBorder="0" applyAlignment="0" applyProtection="0"/>
    <xf numFmtId="174" fontId="7" fillId="0" borderId="0" applyFont="0" applyFill="0" applyBorder="0" applyAlignment="0" applyProtection="0"/>
    <xf numFmtId="0" fontId="48" fillId="0" borderId="0"/>
    <xf numFmtId="0" fontId="7" fillId="0" borderId="0"/>
    <xf numFmtId="0" fontId="6" fillId="0" borderId="0"/>
    <xf numFmtId="0" fontId="6" fillId="0" borderId="0"/>
    <xf numFmtId="0" fontId="7" fillId="0" borderId="0"/>
    <xf numFmtId="0" fontId="49" fillId="11" borderId="0" applyNumberFormat="0" applyBorder="0" applyAlignment="0" applyProtection="0"/>
    <xf numFmtId="0" fontId="49" fillId="11" borderId="0" applyNumberFormat="0" applyBorder="0" applyAlignment="0" applyProtection="0"/>
    <xf numFmtId="0" fontId="9" fillId="0" borderId="0"/>
    <xf numFmtId="0" fontId="13" fillId="37" borderId="0" applyNumberFormat="0" applyBorder="0" applyAlignment="0" applyProtection="0"/>
    <xf numFmtId="0" fontId="48" fillId="0" borderId="0"/>
    <xf numFmtId="172" fontId="6" fillId="0" borderId="0"/>
    <xf numFmtId="0" fontId="6" fillId="0" borderId="0"/>
    <xf numFmtId="172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72" fontId="6" fillId="0" borderId="0"/>
    <xf numFmtId="172" fontId="6" fillId="0" borderId="0"/>
    <xf numFmtId="0" fontId="6" fillId="0" borderId="0"/>
    <xf numFmtId="172" fontId="6" fillId="0" borderId="0"/>
    <xf numFmtId="172" fontId="6" fillId="0" borderId="0"/>
    <xf numFmtId="0" fontId="6" fillId="0" borderId="0"/>
    <xf numFmtId="0" fontId="1" fillId="0" borderId="0"/>
    <xf numFmtId="0" fontId="6" fillId="0" borderId="0"/>
    <xf numFmtId="172" fontId="6" fillId="0" borderId="0"/>
    <xf numFmtId="0" fontId="6" fillId="0" borderId="0"/>
    <xf numFmtId="172" fontId="6" fillId="0" borderId="0"/>
    <xf numFmtId="172" fontId="6" fillId="0" borderId="0"/>
    <xf numFmtId="0" fontId="6" fillId="0" borderId="0"/>
    <xf numFmtId="0" fontId="6" fillId="0" borderId="0"/>
    <xf numFmtId="172" fontId="6" fillId="0" borderId="0"/>
    <xf numFmtId="0" fontId="7" fillId="0" borderId="0"/>
    <xf numFmtId="0" fontId="50" fillId="0" borderId="0"/>
    <xf numFmtId="0" fontId="50" fillId="0" borderId="0"/>
    <xf numFmtId="0" fontId="9" fillId="0" borderId="0"/>
    <xf numFmtId="0" fontId="15" fillId="45" borderId="44" applyNumberFormat="0" applyAlignment="0" applyProtection="0"/>
    <xf numFmtId="0" fontId="23" fillId="43" borderId="44" applyNumberFormat="0" applyAlignment="0" applyProtection="0"/>
    <xf numFmtId="0" fontId="9" fillId="42" borderId="50" applyNumberFormat="0" applyFont="0" applyAlignment="0" applyProtection="0"/>
    <xf numFmtId="4" fontId="28" fillId="56" borderId="54" applyNumberFormat="0" applyProtection="0">
      <alignment horizontal="right" vertical="center"/>
    </xf>
    <xf numFmtId="4" fontId="28" fillId="62" borderId="54" applyNumberFormat="0" applyProtection="0">
      <alignment horizontal="left" vertical="center" indent="1"/>
    </xf>
    <xf numFmtId="4" fontId="32" fillId="18" borderId="54" applyNumberFormat="0" applyProtection="0">
      <alignment horizontal="left" vertical="center" indent="1"/>
    </xf>
    <xf numFmtId="4" fontId="32" fillId="18" borderId="54" applyNumberFormat="0" applyProtection="0">
      <alignment horizontal="left" vertical="center" indent="1"/>
    </xf>
    <xf numFmtId="4" fontId="28" fillId="63" borderId="54" applyNumberFormat="0" applyProtection="0">
      <alignment horizontal="left" vertical="center" indent="1"/>
    </xf>
    <xf numFmtId="4" fontId="28" fillId="12" borderId="54" applyNumberFormat="0" applyProtection="0">
      <alignment horizontal="left" vertical="center" indent="1"/>
    </xf>
    <xf numFmtId="4" fontId="40" fillId="67" borderId="54" applyNumberFormat="0" applyProtection="0">
      <alignment horizontal="left" vertical="center" indent="1"/>
    </xf>
    <xf numFmtId="0" fontId="23" fillId="43" borderId="44" applyNumberFormat="0" applyAlignment="0" applyProtection="0"/>
    <xf numFmtId="4" fontId="28" fillId="12" borderId="54" applyNumberFormat="0" applyProtection="0">
      <alignment horizontal="left" vertical="center" indent="1"/>
    </xf>
    <xf numFmtId="4" fontId="28" fillId="62" borderId="54" applyNumberFormat="0" applyProtection="0">
      <alignment horizontal="left" vertical="center" indent="1"/>
    </xf>
    <xf numFmtId="4" fontId="28" fillId="61" borderId="53" applyNumberFormat="0" applyProtection="0">
      <alignment horizontal="right" vertical="center"/>
    </xf>
    <xf numFmtId="4" fontId="28" fillId="56" borderId="54" applyNumberFormat="0" applyProtection="0">
      <alignment horizontal="right" vertical="center"/>
    </xf>
    <xf numFmtId="4" fontId="28" fillId="52" borderId="53" applyNumberFormat="0" applyProtection="0">
      <alignment vertical="center"/>
    </xf>
    <xf numFmtId="4" fontId="29" fillId="52" borderId="52" applyNumberFormat="0" applyProtection="0">
      <alignment vertical="center"/>
    </xf>
    <xf numFmtId="4" fontId="30" fillId="53" borderId="53" applyNumberFormat="0" applyProtection="0">
      <alignment vertical="center"/>
    </xf>
    <xf numFmtId="4" fontId="27" fillId="52" borderId="52" applyNumberFormat="0" applyProtection="0">
      <alignment horizontal="left" vertical="center" indent="1"/>
    </xf>
    <xf numFmtId="4" fontId="28" fillId="53" borderId="53" applyNumberFormat="0" applyProtection="0">
      <alignment horizontal="left" vertical="center" indent="1"/>
    </xf>
    <xf numFmtId="0" fontId="27" fillId="52" borderId="52" applyNumberFormat="0" applyProtection="0">
      <alignment horizontal="left" vertical="top" indent="1"/>
    </xf>
    <xf numFmtId="0" fontId="31" fillId="52" borderId="52" applyNumberFormat="0" applyProtection="0">
      <alignment horizontal="left" vertical="top" indent="1"/>
    </xf>
    <xf numFmtId="4" fontId="28" fillId="54" borderId="53" applyNumberFormat="0" applyProtection="0">
      <alignment horizontal="left" vertical="center" indent="1"/>
    </xf>
    <xf numFmtId="4" fontId="10" fillId="17" borderId="52" applyNumberFormat="0" applyProtection="0">
      <alignment horizontal="right" vertical="center"/>
    </xf>
    <xf numFmtId="4" fontId="28" fillId="17" borderId="53" applyNumberFormat="0" applyProtection="0">
      <alignment horizontal="right" vertical="center"/>
    </xf>
    <xf numFmtId="4" fontId="10" fillId="13" borderId="52" applyNumberFormat="0" applyProtection="0">
      <alignment horizontal="right" vertical="center"/>
    </xf>
    <xf numFmtId="4" fontId="28" fillId="55" borderId="53" applyNumberFormat="0" applyProtection="0">
      <alignment horizontal="right" vertical="center"/>
    </xf>
    <xf numFmtId="4" fontId="10" fillId="56" borderId="52" applyNumberFormat="0" applyProtection="0">
      <alignment horizontal="right" vertical="center"/>
    </xf>
    <xf numFmtId="4" fontId="28" fillId="56" borderId="54" applyNumberFormat="0" applyProtection="0">
      <alignment horizontal="right" vertical="center"/>
    </xf>
    <xf numFmtId="4" fontId="10" fillId="57" borderId="52" applyNumberFormat="0" applyProtection="0">
      <alignment horizontal="right" vertical="center"/>
    </xf>
    <xf numFmtId="4" fontId="28" fillId="57" borderId="53" applyNumberFormat="0" applyProtection="0">
      <alignment horizontal="right" vertical="center"/>
    </xf>
    <xf numFmtId="4" fontId="10" fillId="58" borderId="52" applyNumberFormat="0" applyProtection="0">
      <alignment horizontal="right" vertical="center"/>
    </xf>
    <xf numFmtId="4" fontId="28" fillId="58" borderId="53" applyNumberFormat="0" applyProtection="0">
      <alignment horizontal="right" vertical="center"/>
    </xf>
    <xf numFmtId="4" fontId="10" fillId="59" borderId="52" applyNumberFormat="0" applyProtection="0">
      <alignment horizontal="right" vertical="center"/>
    </xf>
    <xf numFmtId="4" fontId="28" fillId="59" borderId="53" applyNumberFormat="0" applyProtection="0">
      <alignment horizontal="right" vertical="center"/>
    </xf>
    <xf numFmtId="4" fontId="10" fillId="19" borderId="52" applyNumberFormat="0" applyProtection="0">
      <alignment horizontal="right" vertical="center"/>
    </xf>
    <xf numFmtId="4" fontId="28" fillId="19" borderId="53" applyNumberFormat="0" applyProtection="0">
      <alignment horizontal="right" vertical="center"/>
    </xf>
    <xf numFmtId="4" fontId="10" fillId="60" borderId="52" applyNumberFormat="0" applyProtection="0">
      <alignment horizontal="right" vertical="center"/>
    </xf>
    <xf numFmtId="4" fontId="28" fillId="60" borderId="53" applyNumberFormat="0" applyProtection="0">
      <alignment horizontal="right" vertical="center"/>
    </xf>
    <xf numFmtId="4" fontId="10" fillId="61" borderId="52" applyNumberFormat="0" applyProtection="0">
      <alignment horizontal="right" vertical="center"/>
    </xf>
    <xf numFmtId="4" fontId="28" fillId="61" borderId="53" applyNumberFormat="0" applyProtection="0">
      <alignment horizontal="right" vertical="center"/>
    </xf>
    <xf numFmtId="4" fontId="32" fillId="18" borderId="54" applyNumberFormat="0" applyProtection="0">
      <alignment horizontal="left" vertical="center" indent="1"/>
    </xf>
    <xf numFmtId="4" fontId="32" fillId="18" borderId="54" applyNumberFormat="0" applyProtection="0">
      <alignment horizontal="left" vertical="center" indent="1"/>
    </xf>
    <xf numFmtId="4" fontId="10" fillId="12" borderId="52" applyNumberFormat="0" applyProtection="0">
      <alignment horizontal="right" vertical="center"/>
    </xf>
    <xf numFmtId="4" fontId="28" fillId="12" borderId="53" applyNumberFormat="0" applyProtection="0">
      <alignment horizontal="right" vertical="center"/>
    </xf>
    <xf numFmtId="0" fontId="26" fillId="72" borderId="51" applyNumberFormat="0" applyAlignment="0" applyProtection="0"/>
    <xf numFmtId="0" fontId="45" fillId="72" borderId="53" applyNumberFormat="0" applyAlignment="0" applyProtection="0"/>
    <xf numFmtId="4" fontId="28" fillId="12" borderId="54" applyNumberFormat="0" applyProtection="0">
      <alignment horizontal="left" vertical="center" indent="1"/>
    </xf>
    <xf numFmtId="0" fontId="28" fillId="20" borderId="53" applyNumberFormat="0" applyProtection="0">
      <alignment horizontal="left" vertical="center" indent="1"/>
    </xf>
    <xf numFmtId="0" fontId="9" fillId="18" borderId="52" applyNumberFormat="0" applyProtection="0">
      <alignment horizontal="left" vertical="top" indent="1"/>
    </xf>
    <xf numFmtId="0" fontId="28" fillId="18" borderId="52" applyNumberFormat="0" applyProtection="0">
      <alignment horizontal="left" vertical="top" indent="1"/>
    </xf>
    <xf numFmtId="0" fontId="9" fillId="12" borderId="52" applyNumberFormat="0" applyProtection="0">
      <alignment horizontal="left" vertical="center" indent="1"/>
    </xf>
    <xf numFmtId="0" fontId="28" fillId="64" borderId="53" applyNumberFormat="0" applyProtection="0">
      <alignment horizontal="left" vertical="center" indent="1"/>
    </xf>
    <xf numFmtId="0" fontId="9" fillId="12" borderId="52" applyNumberFormat="0" applyProtection="0">
      <alignment horizontal="left" vertical="top" indent="1"/>
    </xf>
    <xf numFmtId="0" fontId="35" fillId="12" borderId="52" applyNumberFormat="0" applyProtection="0">
      <alignment horizontal="left" vertical="top" indent="1"/>
    </xf>
    <xf numFmtId="0" fontId="28" fillId="12" borderId="52" applyNumberFormat="0" applyProtection="0">
      <alignment horizontal="left" vertical="top" indent="1"/>
    </xf>
    <xf numFmtId="0" fontId="9" fillId="16" borderId="52" applyNumberFormat="0" applyProtection="0">
      <alignment horizontal="left" vertical="center" indent="1"/>
    </xf>
    <xf numFmtId="0" fontId="28" fillId="16" borderId="53" applyNumberFormat="0" applyProtection="0">
      <alignment horizontal="left" vertical="center" indent="1"/>
    </xf>
    <xf numFmtId="0" fontId="9" fillId="16" borderId="52" applyNumberFormat="0" applyProtection="0">
      <alignment horizontal="left" vertical="top" indent="1"/>
    </xf>
    <xf numFmtId="0" fontId="35" fillId="16" borderId="52" applyNumberFormat="0" applyProtection="0">
      <alignment horizontal="left" vertical="top" indent="1"/>
    </xf>
    <xf numFmtId="0" fontId="28" fillId="16" borderId="52" applyNumberFormat="0" applyProtection="0">
      <alignment horizontal="left" vertical="top" indent="1"/>
    </xf>
    <xf numFmtId="0" fontId="9" fillId="63" borderId="52" applyNumberFormat="0" applyProtection="0">
      <alignment horizontal="left" vertical="center" indent="1"/>
    </xf>
    <xf numFmtId="0" fontId="28" fillId="63" borderId="53" applyNumberFormat="0" applyProtection="0">
      <alignment horizontal="left" vertical="center" indent="1"/>
    </xf>
    <xf numFmtId="0" fontId="9" fillId="63" borderId="52" applyNumberFormat="0" applyProtection="0">
      <alignment horizontal="left" vertical="top" indent="1"/>
    </xf>
    <xf numFmtId="0" fontId="28" fillId="63" borderId="52" applyNumberFormat="0" applyProtection="0">
      <alignment horizontal="left" vertical="top" indent="1"/>
    </xf>
    <xf numFmtId="0" fontId="36" fillId="18" borderId="57" applyBorder="0"/>
    <xf numFmtId="4" fontId="10" fillId="14" borderId="52" applyNumberFormat="0" applyProtection="0">
      <alignment vertical="center"/>
    </xf>
    <xf numFmtId="4" fontId="37" fillId="14" borderId="52" applyNumberFormat="0" applyProtection="0">
      <alignment vertical="center"/>
    </xf>
    <xf numFmtId="4" fontId="38" fillId="14" borderId="52" applyNumberFormat="0" applyProtection="0">
      <alignment vertical="center"/>
    </xf>
    <xf numFmtId="0" fontId="17" fillId="0" borderId="58" applyNumberFormat="0" applyFill="0" applyAlignment="0" applyProtection="0"/>
    <xf numFmtId="4" fontId="10" fillId="14" borderId="52" applyNumberFormat="0" applyProtection="0">
      <alignment horizontal="left" vertical="center" indent="1"/>
    </xf>
    <xf numFmtId="4" fontId="37" fillId="20" borderId="52" applyNumberFormat="0" applyProtection="0">
      <alignment horizontal="left" vertical="center" indent="1"/>
    </xf>
    <xf numFmtId="0" fontId="10" fillId="14" borderId="52" applyNumberFormat="0" applyProtection="0">
      <alignment horizontal="left" vertical="top" indent="1"/>
    </xf>
    <xf numFmtId="0" fontId="37" fillId="14" borderId="52" applyNumberFormat="0" applyProtection="0">
      <alignment horizontal="left" vertical="top" indent="1"/>
    </xf>
    <xf numFmtId="4" fontId="10" fillId="63" borderId="52" applyNumberFormat="0" applyProtection="0">
      <alignment horizontal="right" vertical="center"/>
    </xf>
    <xf numFmtId="4" fontId="28" fillId="0" borderId="53" applyNumberFormat="0" applyProtection="0">
      <alignment horizontal="right" vertical="center"/>
    </xf>
    <xf numFmtId="4" fontId="38" fillId="63" borderId="52" applyNumberFormat="0" applyProtection="0">
      <alignment horizontal="right" vertical="center"/>
    </xf>
    <xf numFmtId="4" fontId="30" fillId="66" borderId="53" applyNumberFormat="0" applyProtection="0">
      <alignment horizontal="right" vertical="center"/>
    </xf>
    <xf numFmtId="4" fontId="28" fillId="54" borderId="53" applyNumberFormat="0" applyProtection="0">
      <alignment horizontal="left" vertical="center" indent="1"/>
    </xf>
    <xf numFmtId="4" fontId="41" fillId="63" borderId="52" applyNumberFormat="0" applyProtection="0">
      <alignment horizontal="right" vertical="center"/>
    </xf>
    <xf numFmtId="0" fontId="17" fillId="0" borderId="58" applyNumberFormat="0" applyFill="0" applyAlignment="0" applyProtection="0"/>
    <xf numFmtId="0" fontId="26" fillId="45" borderId="51" applyNumberFormat="0" applyAlignment="0" applyProtection="0"/>
    <xf numFmtId="4" fontId="27" fillId="52" borderId="52" applyNumberFormat="0" applyProtection="0">
      <alignment vertical="center"/>
    </xf>
    <xf numFmtId="4" fontId="28" fillId="52" borderId="53" applyNumberFormat="0" applyProtection="0">
      <alignment vertical="center"/>
    </xf>
    <xf numFmtId="4" fontId="29" fillId="52" borderId="52" applyNumberFormat="0" applyProtection="0">
      <alignment vertical="center"/>
    </xf>
    <xf numFmtId="4" fontId="30" fillId="53" borderId="53" applyNumberFormat="0" applyProtection="0">
      <alignment vertical="center"/>
    </xf>
    <xf numFmtId="4" fontId="27" fillId="52" borderId="52" applyNumberFormat="0" applyProtection="0">
      <alignment horizontal="left" vertical="center" indent="1"/>
    </xf>
    <xf numFmtId="4" fontId="28" fillId="53" borderId="53" applyNumberFormat="0" applyProtection="0">
      <alignment horizontal="left" vertical="center" indent="1"/>
    </xf>
    <xf numFmtId="0" fontId="27" fillId="52" borderId="52" applyNumberFormat="0" applyProtection="0">
      <alignment horizontal="left" vertical="top" indent="1"/>
    </xf>
    <xf numFmtId="0" fontId="31" fillId="52" borderId="52" applyNumberFormat="0" applyProtection="0">
      <alignment horizontal="left" vertical="top" indent="1"/>
    </xf>
    <xf numFmtId="4" fontId="28" fillId="54" borderId="53" applyNumberFormat="0" applyProtection="0">
      <alignment horizontal="left" vertical="center" indent="1"/>
    </xf>
    <xf numFmtId="4" fontId="10" fillId="17" borderId="52" applyNumberFormat="0" applyProtection="0">
      <alignment horizontal="right" vertical="center"/>
    </xf>
    <xf numFmtId="4" fontId="28" fillId="17" borderId="53" applyNumberFormat="0" applyProtection="0">
      <alignment horizontal="right" vertical="center"/>
    </xf>
    <xf numFmtId="4" fontId="10" fillId="13" borderId="52" applyNumberFormat="0" applyProtection="0">
      <alignment horizontal="right" vertical="center"/>
    </xf>
    <xf numFmtId="4" fontId="28" fillId="55" borderId="53" applyNumberFormat="0" applyProtection="0">
      <alignment horizontal="right" vertical="center"/>
    </xf>
    <xf numFmtId="4" fontId="10" fillId="56" borderId="52" applyNumberFormat="0" applyProtection="0">
      <alignment horizontal="right" vertical="center"/>
    </xf>
    <xf numFmtId="4" fontId="28" fillId="56" borderId="54" applyNumberFormat="0" applyProtection="0">
      <alignment horizontal="right" vertical="center"/>
    </xf>
    <xf numFmtId="4" fontId="10" fillId="57" borderId="52" applyNumberFormat="0" applyProtection="0">
      <alignment horizontal="right" vertical="center"/>
    </xf>
    <xf numFmtId="4" fontId="28" fillId="57" borderId="53" applyNumberFormat="0" applyProtection="0">
      <alignment horizontal="right" vertical="center"/>
    </xf>
    <xf numFmtId="4" fontId="10" fillId="58" borderId="52" applyNumberFormat="0" applyProtection="0">
      <alignment horizontal="right" vertical="center"/>
    </xf>
    <xf numFmtId="4" fontId="28" fillId="58" borderId="53" applyNumberFormat="0" applyProtection="0">
      <alignment horizontal="right" vertical="center"/>
    </xf>
    <xf numFmtId="4" fontId="10" fillId="59" borderId="52" applyNumberFormat="0" applyProtection="0">
      <alignment horizontal="right" vertical="center"/>
    </xf>
    <xf numFmtId="4" fontId="28" fillId="59" borderId="53" applyNumberFormat="0" applyProtection="0">
      <alignment horizontal="right" vertical="center"/>
    </xf>
    <xf numFmtId="4" fontId="10" fillId="19" borderId="52" applyNumberFormat="0" applyProtection="0">
      <alignment horizontal="right" vertical="center"/>
    </xf>
    <xf numFmtId="4" fontId="28" fillId="19" borderId="53" applyNumberFormat="0" applyProtection="0">
      <alignment horizontal="right" vertical="center"/>
    </xf>
    <xf numFmtId="4" fontId="10" fillId="60" borderId="52" applyNumberFormat="0" applyProtection="0">
      <alignment horizontal="right" vertical="center"/>
    </xf>
    <xf numFmtId="4" fontId="28" fillId="60" borderId="53" applyNumberFormat="0" applyProtection="0">
      <alignment horizontal="right" vertical="center"/>
    </xf>
    <xf numFmtId="4" fontId="10" fillId="61" borderId="52" applyNumberFormat="0" applyProtection="0">
      <alignment horizontal="right" vertical="center"/>
    </xf>
    <xf numFmtId="4" fontId="28" fillId="61" borderId="53" applyNumberFormat="0" applyProtection="0">
      <alignment horizontal="right" vertical="center"/>
    </xf>
    <xf numFmtId="4" fontId="28" fillId="62" borderId="54" applyNumberFormat="0" applyProtection="0">
      <alignment horizontal="left" vertical="center" indent="1"/>
    </xf>
    <xf numFmtId="0" fontId="23" fillId="43" borderId="53" applyNumberFormat="0" applyAlignment="0" applyProtection="0"/>
    <xf numFmtId="4" fontId="32" fillId="18" borderId="54" applyNumberFormat="0" applyProtection="0">
      <alignment horizontal="left" vertical="center" indent="1"/>
    </xf>
    <xf numFmtId="0" fontId="26" fillId="72" borderId="51" applyNumberFormat="0" applyAlignment="0" applyProtection="0"/>
    <xf numFmtId="4" fontId="32" fillId="18" borderId="54" applyNumberFormat="0" applyProtection="0">
      <alignment horizontal="left" vertical="center" indent="1"/>
    </xf>
    <xf numFmtId="4" fontId="10" fillId="12" borderId="52" applyNumberFormat="0" applyProtection="0">
      <alignment horizontal="right" vertical="center"/>
    </xf>
    <xf numFmtId="4" fontId="28" fillId="12" borderId="53" applyNumberFormat="0" applyProtection="0">
      <alignment horizontal="right" vertical="center"/>
    </xf>
    <xf numFmtId="0" fontId="45" fillId="72" borderId="53" applyNumberFormat="0" applyAlignment="0" applyProtection="0"/>
    <xf numFmtId="4" fontId="28" fillId="63" borderId="54" applyNumberFormat="0" applyProtection="0">
      <alignment horizontal="left" vertical="center" indent="1"/>
    </xf>
    <xf numFmtId="4" fontId="28" fillId="12" borderId="54" applyNumberFormat="0" applyProtection="0">
      <alignment horizontal="left" vertical="center" indent="1"/>
    </xf>
    <xf numFmtId="0" fontId="9" fillId="18" borderId="52" applyNumberFormat="0" applyProtection="0">
      <alignment horizontal="left" vertical="center" indent="1"/>
    </xf>
    <xf numFmtId="0" fontId="28" fillId="20" borderId="53" applyNumberFormat="0" applyProtection="0">
      <alignment horizontal="left" vertical="center" indent="1"/>
    </xf>
    <xf numFmtId="0" fontId="9" fillId="18" borderId="52" applyNumberFormat="0" applyProtection="0">
      <alignment horizontal="left" vertical="top" indent="1"/>
    </xf>
    <xf numFmtId="0" fontId="35" fillId="18" borderId="52" applyNumberFormat="0" applyProtection="0">
      <alignment horizontal="left" vertical="top" indent="1"/>
    </xf>
    <xf numFmtId="0" fontId="28" fillId="18" borderId="52" applyNumberFormat="0" applyProtection="0">
      <alignment horizontal="left" vertical="top" indent="1"/>
    </xf>
    <xf numFmtId="0" fontId="9" fillId="12" borderId="52" applyNumberFormat="0" applyProtection="0">
      <alignment horizontal="left" vertical="center" indent="1"/>
    </xf>
    <xf numFmtId="0" fontId="28" fillId="64" borderId="53" applyNumberFormat="0" applyProtection="0">
      <alignment horizontal="left" vertical="center" indent="1"/>
    </xf>
    <xf numFmtId="0" fontId="9" fillId="12" borderId="52" applyNumberFormat="0" applyProtection="0">
      <alignment horizontal="left" vertical="top" indent="1"/>
    </xf>
    <xf numFmtId="0" fontId="35" fillId="12" borderId="52" applyNumberFormat="0" applyProtection="0">
      <alignment horizontal="left" vertical="top" indent="1"/>
    </xf>
    <xf numFmtId="0" fontId="28" fillId="12" borderId="52" applyNumberFormat="0" applyProtection="0">
      <alignment horizontal="left" vertical="top" indent="1"/>
    </xf>
    <xf numFmtId="0" fontId="9" fillId="16" borderId="52" applyNumberFormat="0" applyProtection="0">
      <alignment horizontal="left" vertical="center" indent="1"/>
    </xf>
    <xf numFmtId="0" fontId="28" fillId="16" borderId="53" applyNumberFormat="0" applyProtection="0">
      <alignment horizontal="left" vertical="center" indent="1"/>
    </xf>
    <xf numFmtId="0" fontId="9" fillId="16" borderId="52" applyNumberFormat="0" applyProtection="0">
      <alignment horizontal="left" vertical="top" indent="1"/>
    </xf>
    <xf numFmtId="0" fontId="35" fillId="16" borderId="52" applyNumberFormat="0" applyProtection="0">
      <alignment horizontal="left" vertical="top" indent="1"/>
    </xf>
    <xf numFmtId="0" fontId="28" fillId="16" borderId="52" applyNumberFormat="0" applyProtection="0">
      <alignment horizontal="left" vertical="top" indent="1"/>
    </xf>
    <xf numFmtId="0" fontId="9" fillId="63" borderId="52" applyNumberFormat="0" applyProtection="0">
      <alignment horizontal="left" vertical="center" indent="1"/>
    </xf>
    <xf numFmtId="0" fontId="28" fillId="63" borderId="53" applyNumberFormat="0" applyProtection="0">
      <alignment horizontal="left" vertical="center" indent="1"/>
    </xf>
    <xf numFmtId="0" fontId="9" fillId="63" borderId="52" applyNumberFormat="0" applyProtection="0">
      <alignment horizontal="left" vertical="top" indent="1"/>
    </xf>
    <xf numFmtId="0" fontId="35" fillId="63" borderId="52" applyNumberFormat="0" applyProtection="0">
      <alignment horizontal="left" vertical="top" indent="1"/>
    </xf>
    <xf numFmtId="0" fontId="28" fillId="63" borderId="52" applyNumberFormat="0" applyProtection="0">
      <alignment horizontal="left" vertical="top" indent="1"/>
    </xf>
    <xf numFmtId="0" fontId="17" fillId="0" borderId="58" applyNumberFormat="0" applyFill="0" applyAlignment="0" applyProtection="0"/>
    <xf numFmtId="0" fontId="36" fillId="18" borderId="57" applyBorder="0"/>
    <xf numFmtId="4" fontId="10" fillId="14" borderId="52" applyNumberFormat="0" applyProtection="0">
      <alignment vertical="center"/>
    </xf>
    <xf numFmtId="4" fontId="37" fillId="14" borderId="52" applyNumberFormat="0" applyProtection="0">
      <alignment vertical="center"/>
    </xf>
    <xf numFmtId="4" fontId="38" fillId="14" borderId="52" applyNumberFormat="0" applyProtection="0">
      <alignment vertical="center"/>
    </xf>
    <xf numFmtId="4" fontId="10" fillId="14" borderId="52" applyNumberFormat="0" applyProtection="0">
      <alignment horizontal="left" vertical="center" indent="1"/>
    </xf>
    <xf numFmtId="4" fontId="37" fillId="20" borderId="52" applyNumberFormat="0" applyProtection="0">
      <alignment horizontal="left" vertical="center" indent="1"/>
    </xf>
    <xf numFmtId="0" fontId="10" fillId="14" borderId="52" applyNumberFormat="0" applyProtection="0">
      <alignment horizontal="left" vertical="top" indent="1"/>
    </xf>
    <xf numFmtId="0" fontId="37" fillId="14" borderId="52" applyNumberFormat="0" applyProtection="0">
      <alignment horizontal="left" vertical="top" indent="1"/>
    </xf>
    <xf numFmtId="4" fontId="10" fillId="63" borderId="52" applyNumberFormat="0" applyProtection="0">
      <alignment horizontal="right" vertical="center"/>
    </xf>
    <xf numFmtId="4" fontId="28" fillId="0" borderId="53" applyNumberFormat="0" applyProtection="0">
      <alignment horizontal="right" vertical="center"/>
    </xf>
    <xf numFmtId="4" fontId="38" fillId="63" borderId="52" applyNumberFormat="0" applyProtection="0">
      <alignment horizontal="right" vertical="center"/>
    </xf>
    <xf numFmtId="4" fontId="30" fillId="66" borderId="53" applyNumberFormat="0" applyProtection="0">
      <alignment horizontal="right" vertical="center"/>
    </xf>
    <xf numFmtId="4" fontId="10" fillId="12" borderId="52" applyNumberFormat="0" applyProtection="0">
      <alignment horizontal="left" vertical="center" indent="1"/>
    </xf>
    <xf numFmtId="4" fontId="28" fillId="54" borderId="53" applyNumberFormat="0" applyProtection="0">
      <alignment horizontal="left" vertical="center" indent="1"/>
    </xf>
    <xf numFmtId="0" fontId="10" fillId="12" borderId="52" applyNumberFormat="0" applyProtection="0">
      <alignment horizontal="left" vertical="top" indent="1"/>
    </xf>
    <xf numFmtId="0" fontId="37" fillId="12" borderId="52" applyNumberFormat="0" applyProtection="0">
      <alignment horizontal="left" vertical="top" indent="1"/>
    </xf>
    <xf numFmtId="4" fontId="40" fillId="67" borderId="54" applyNumberFormat="0" applyProtection="0">
      <alignment horizontal="left" vertical="center" indent="1"/>
    </xf>
    <xf numFmtId="0" fontId="15" fillId="45" borderId="44" applyNumberFormat="0" applyAlignment="0" applyProtection="0"/>
    <xf numFmtId="4" fontId="41" fillId="63" borderId="52" applyNumberFormat="0" applyProtection="0">
      <alignment horizontal="right" vertical="center"/>
    </xf>
    <xf numFmtId="4" fontId="42" fillId="15" borderId="53" applyNumberFormat="0" applyProtection="0">
      <alignment horizontal="right" vertical="center"/>
    </xf>
    <xf numFmtId="4" fontId="28" fillId="63" borderId="54" applyNumberFormat="0" applyProtection="0">
      <alignment horizontal="left" vertical="center" indent="1"/>
    </xf>
    <xf numFmtId="0" fontId="17" fillId="0" borderId="58" applyNumberFormat="0" applyFill="0" applyAlignment="0" applyProtection="0"/>
    <xf numFmtId="0" fontId="28" fillId="42" borderId="53" applyNumberFormat="0" applyFont="0" applyAlignment="0" applyProtection="0"/>
    <xf numFmtId="0" fontId="23" fillId="43" borderId="53" applyNumberFormat="0" applyAlignment="0" applyProtection="0"/>
    <xf numFmtId="0" fontId="26" fillId="72" borderId="51" applyNumberFormat="0" applyAlignment="0" applyProtection="0"/>
    <xf numFmtId="0" fontId="45" fillId="72" borderId="53" applyNumberFormat="0" applyAlignment="0" applyProtection="0"/>
    <xf numFmtId="0" fontId="17" fillId="0" borderId="58" applyNumberFormat="0" applyFill="0" applyAlignment="0" applyProtection="0"/>
    <xf numFmtId="0" fontId="15" fillId="45" borderId="44" applyNumberFormat="0" applyAlignment="0" applyProtection="0"/>
    <xf numFmtId="4" fontId="28" fillId="63" borderId="54" applyNumberFormat="0" applyProtection="0">
      <alignment horizontal="left" vertical="center" indent="1"/>
    </xf>
    <xf numFmtId="4" fontId="10" fillId="57" borderId="52" applyNumberFormat="0" applyProtection="0">
      <alignment horizontal="right" vertical="center"/>
    </xf>
    <xf numFmtId="0" fontId="28" fillId="42" borderId="53" applyNumberFormat="0" applyFont="0" applyAlignment="0" applyProtection="0"/>
    <xf numFmtId="4" fontId="28" fillId="54" borderId="53" applyNumberFormat="0" applyProtection="0">
      <alignment horizontal="left" vertical="center" indent="1"/>
    </xf>
    <xf numFmtId="4" fontId="28" fillId="57" borderId="53" applyNumberFormat="0" applyProtection="0">
      <alignment horizontal="right" vertical="center"/>
    </xf>
    <xf numFmtId="4" fontId="28" fillId="53" borderId="53" applyNumberFormat="0" applyProtection="0">
      <alignment horizontal="left" vertical="center" indent="1"/>
    </xf>
    <xf numFmtId="4" fontId="28" fillId="12" borderId="54" applyNumberFormat="0" applyProtection="0">
      <alignment horizontal="left" vertical="center" indent="1"/>
    </xf>
    <xf numFmtId="0" fontId="9" fillId="12" borderId="52" applyNumberFormat="0" applyProtection="0">
      <alignment horizontal="left" vertical="center" indent="1"/>
    </xf>
    <xf numFmtId="0" fontId="9" fillId="18" borderId="52" applyNumberFormat="0" applyProtection="0">
      <alignment horizontal="left" vertical="top" indent="1"/>
    </xf>
    <xf numFmtId="0" fontId="28" fillId="20" borderId="53" applyNumberFormat="0" applyProtection="0">
      <alignment horizontal="left" vertical="center" indent="1"/>
    </xf>
    <xf numFmtId="4" fontId="40" fillId="67" borderId="54" applyNumberFormat="0" applyProtection="0">
      <alignment horizontal="left" vertical="center" indent="1"/>
    </xf>
    <xf numFmtId="0" fontId="23" fillId="43" borderId="44" applyNumberFormat="0" applyAlignment="0" applyProtection="0"/>
    <xf numFmtId="0" fontId="28" fillId="18" borderId="52" applyNumberFormat="0" applyProtection="0">
      <alignment horizontal="left" vertical="top" indent="1"/>
    </xf>
    <xf numFmtId="0" fontId="28" fillId="42" borderId="53" applyNumberFormat="0" applyFont="0" applyAlignment="0" applyProtection="0"/>
    <xf numFmtId="4" fontId="10" fillId="12" borderId="52" applyNumberFormat="0" applyProtection="0">
      <alignment horizontal="right" vertical="center"/>
    </xf>
    <xf numFmtId="0" fontId="9" fillId="42" borderId="50" applyNumberFormat="0" applyFont="0" applyAlignment="0" applyProtection="0"/>
    <xf numFmtId="4" fontId="40" fillId="67" borderId="54" applyNumberFormat="0" applyProtection="0">
      <alignment horizontal="left" vertical="center" indent="1"/>
    </xf>
    <xf numFmtId="0" fontId="9" fillId="42" borderId="50" applyNumberFormat="0" applyFont="0" applyAlignment="0" applyProtection="0"/>
    <xf numFmtId="4" fontId="32" fillId="18" borderId="54" applyNumberFormat="0" applyProtection="0">
      <alignment horizontal="left" vertical="center" indent="1"/>
    </xf>
    <xf numFmtId="4" fontId="10" fillId="19" borderId="52" applyNumberFormat="0" applyProtection="0">
      <alignment horizontal="right" vertical="center"/>
    </xf>
    <xf numFmtId="4" fontId="32" fillId="18" borderId="54" applyNumberFormat="0" applyProtection="0">
      <alignment horizontal="left" vertical="center" indent="1"/>
    </xf>
    <xf numFmtId="4" fontId="10" fillId="58" borderId="52" applyNumberFormat="0" applyProtection="0">
      <alignment horizontal="right" vertical="center"/>
    </xf>
    <xf numFmtId="4" fontId="28" fillId="56" borderId="54" applyNumberFormat="0" applyProtection="0">
      <alignment horizontal="right" vertical="center"/>
    </xf>
    <xf numFmtId="4" fontId="32" fillId="18" borderId="54" applyNumberFormat="0" applyProtection="0">
      <alignment horizontal="left" vertical="center" indent="1"/>
    </xf>
    <xf numFmtId="4" fontId="28" fillId="12" borderId="53" applyNumberFormat="0" applyProtection="0">
      <alignment horizontal="right" vertical="center"/>
    </xf>
    <xf numFmtId="4" fontId="32" fillId="18" borderId="54" applyNumberFormat="0" applyProtection="0">
      <alignment horizontal="left" vertical="center" indent="1"/>
    </xf>
    <xf numFmtId="4" fontId="27" fillId="52" borderId="52" applyNumberFormat="0" applyProtection="0">
      <alignment vertical="center"/>
    </xf>
    <xf numFmtId="0" fontId="26" fillId="45" borderId="51" applyNumberFormat="0" applyAlignment="0" applyProtection="0"/>
    <xf numFmtId="0" fontId="9" fillId="42" borderId="50" applyNumberFormat="0" applyFont="0" applyAlignment="0" applyProtection="0"/>
    <xf numFmtId="0" fontId="17" fillId="0" borderId="58" applyNumberFormat="0" applyFill="0" applyAlignment="0" applyProtection="0"/>
    <xf numFmtId="0" fontId="23" fillId="43" borderId="44" applyNumberFormat="0" applyAlignment="0" applyProtection="0"/>
    <xf numFmtId="4" fontId="41" fillId="63" borderId="52" applyNumberFormat="0" applyProtection="0">
      <alignment horizontal="right" vertical="center"/>
    </xf>
    <xf numFmtId="4" fontId="28" fillId="54" borderId="53" applyNumberFormat="0" applyProtection="0">
      <alignment horizontal="left" vertical="center" indent="1"/>
    </xf>
    <xf numFmtId="4" fontId="30" fillId="66" borderId="53" applyNumberFormat="0" applyProtection="0">
      <alignment horizontal="right" vertical="center"/>
    </xf>
    <xf numFmtId="4" fontId="38" fillId="63" borderId="52" applyNumberFormat="0" applyProtection="0">
      <alignment horizontal="right" vertical="center"/>
    </xf>
    <xf numFmtId="4" fontId="28" fillId="0" borderId="53" applyNumberFormat="0" applyProtection="0">
      <alignment horizontal="right" vertical="center"/>
    </xf>
    <xf numFmtId="4" fontId="10" fillId="63" borderId="52" applyNumberFormat="0" applyProtection="0">
      <alignment horizontal="right" vertical="center"/>
    </xf>
    <xf numFmtId="0" fontId="10" fillId="14" borderId="52" applyNumberFormat="0" applyProtection="0">
      <alignment horizontal="left" vertical="top" indent="1"/>
    </xf>
    <xf numFmtId="4" fontId="37" fillId="20" borderId="52" applyNumberFormat="0" applyProtection="0">
      <alignment horizontal="left" vertical="center" indent="1"/>
    </xf>
    <xf numFmtId="4" fontId="10" fillId="14" borderId="52" applyNumberFormat="0" applyProtection="0">
      <alignment horizontal="left" vertical="center" indent="1"/>
    </xf>
    <xf numFmtId="0" fontId="15" fillId="45" borderId="44" applyNumberFormat="0" applyAlignment="0" applyProtection="0"/>
    <xf numFmtId="4" fontId="38" fillId="14" borderId="52" applyNumberFormat="0" applyProtection="0">
      <alignment vertical="center"/>
    </xf>
    <xf numFmtId="4" fontId="37" fillId="14" borderId="52" applyNumberFormat="0" applyProtection="0">
      <alignment vertical="center"/>
    </xf>
    <xf numFmtId="4" fontId="10" fillId="14" borderId="52" applyNumberFormat="0" applyProtection="0">
      <alignment vertical="center"/>
    </xf>
    <xf numFmtId="0" fontId="36" fillId="18" borderId="57" applyBorder="0"/>
    <xf numFmtId="0" fontId="28" fillId="63" borderId="52" applyNumberFormat="0" applyProtection="0">
      <alignment horizontal="left" vertical="top" indent="1"/>
    </xf>
    <xf numFmtId="0" fontId="9" fillId="63" borderId="52" applyNumberFormat="0" applyProtection="0">
      <alignment horizontal="left" vertical="top" indent="1"/>
    </xf>
    <xf numFmtId="0" fontId="28" fillId="63" borderId="53" applyNumberFormat="0" applyProtection="0">
      <alignment horizontal="left" vertical="center" indent="1"/>
    </xf>
    <xf numFmtId="0" fontId="9" fillId="63" borderId="52" applyNumberFormat="0" applyProtection="0">
      <alignment horizontal="left" vertical="center" indent="1"/>
    </xf>
    <xf numFmtId="0" fontId="9" fillId="16" borderId="52" applyNumberFormat="0" applyProtection="0">
      <alignment horizontal="left" vertical="top" indent="1"/>
    </xf>
    <xf numFmtId="0" fontId="28" fillId="16" borderId="53" applyNumberFormat="0" applyProtection="0">
      <alignment horizontal="left" vertical="center" indent="1"/>
    </xf>
    <xf numFmtId="0" fontId="9" fillId="16" borderId="52" applyNumberFormat="0" applyProtection="0">
      <alignment horizontal="left" vertical="center" indent="1"/>
    </xf>
    <xf numFmtId="0" fontId="28" fillId="12" borderId="52" applyNumberFormat="0" applyProtection="0">
      <alignment horizontal="left" vertical="top" indent="1"/>
    </xf>
    <xf numFmtId="0" fontId="35" fillId="12" borderId="52" applyNumberFormat="0" applyProtection="0">
      <alignment horizontal="left" vertical="top" indent="1"/>
    </xf>
    <xf numFmtId="0" fontId="9" fillId="12" borderId="52" applyNumberFormat="0" applyProtection="0">
      <alignment horizontal="left" vertical="top" indent="1"/>
    </xf>
    <xf numFmtId="0" fontId="28" fillId="64" borderId="53" applyNumberFormat="0" applyProtection="0">
      <alignment horizontal="left" vertical="center" indent="1"/>
    </xf>
    <xf numFmtId="4" fontId="28" fillId="55" borderId="53" applyNumberFormat="0" applyProtection="0">
      <alignment horizontal="right" vertical="center"/>
    </xf>
    <xf numFmtId="0" fontId="27" fillId="52" borderId="52" applyNumberFormat="0" applyProtection="0">
      <alignment horizontal="left" vertical="top" indent="1"/>
    </xf>
    <xf numFmtId="4" fontId="28" fillId="62" borderId="54" applyNumberFormat="0" applyProtection="0">
      <alignment horizontal="left" vertical="center" indent="1"/>
    </xf>
    <xf numFmtId="4" fontId="28" fillId="12" borderId="54" applyNumberFormat="0" applyProtection="0">
      <alignment horizontal="left" vertical="center" indent="1"/>
    </xf>
    <xf numFmtId="0" fontId="35" fillId="16" borderId="52" applyNumberFormat="0" applyProtection="0">
      <alignment horizontal="left" vertical="top" indent="1"/>
    </xf>
    <xf numFmtId="4" fontId="28" fillId="19" borderId="53" applyNumberFormat="0" applyProtection="0">
      <alignment horizontal="right" vertical="center"/>
    </xf>
    <xf numFmtId="4" fontId="28" fillId="58" borderId="53" applyNumberFormat="0" applyProtection="0">
      <alignment horizontal="right" vertical="center"/>
    </xf>
    <xf numFmtId="4" fontId="40" fillId="67" borderId="54" applyNumberFormat="0" applyProtection="0">
      <alignment horizontal="left" vertical="center" indent="1"/>
    </xf>
    <xf numFmtId="0" fontId="37" fillId="12" borderId="52" applyNumberFormat="0" applyProtection="0">
      <alignment horizontal="left" vertical="top" indent="1"/>
    </xf>
    <xf numFmtId="4" fontId="28" fillId="60" borderId="53" applyNumberFormat="0" applyProtection="0">
      <alignment horizontal="right" vertical="center"/>
    </xf>
    <xf numFmtId="4" fontId="10" fillId="59" borderId="52" applyNumberFormat="0" applyProtection="0">
      <alignment horizontal="right" vertical="center"/>
    </xf>
    <xf numFmtId="4" fontId="10" fillId="61" borderId="52" applyNumberFormat="0" applyProtection="0">
      <alignment horizontal="right" vertical="center"/>
    </xf>
    <xf numFmtId="4" fontId="32" fillId="18" borderId="54" applyNumberFormat="0" applyProtection="0">
      <alignment horizontal="left" vertical="center" indent="1"/>
    </xf>
    <xf numFmtId="4" fontId="10" fillId="13" borderId="52" applyNumberFormat="0" applyProtection="0">
      <alignment horizontal="right" vertical="center"/>
    </xf>
    <xf numFmtId="4" fontId="32" fillId="18" borderId="54" applyNumberFormat="0" applyProtection="0">
      <alignment horizontal="left" vertical="center" indent="1"/>
    </xf>
    <xf numFmtId="0" fontId="10" fillId="12" borderId="52" applyNumberFormat="0" applyProtection="0">
      <alignment horizontal="left" vertical="top" indent="1"/>
    </xf>
    <xf numFmtId="4" fontId="27" fillId="52" borderId="52" applyNumberFormat="0" applyProtection="0">
      <alignment horizontal="left" vertical="center" indent="1"/>
    </xf>
    <xf numFmtId="4" fontId="28" fillId="17" borderId="53" applyNumberFormat="0" applyProtection="0">
      <alignment horizontal="right" vertical="center"/>
    </xf>
    <xf numFmtId="4" fontId="28" fillId="56" borderId="54" applyNumberFormat="0" applyProtection="0">
      <alignment horizontal="right" vertical="center"/>
    </xf>
    <xf numFmtId="4" fontId="10" fillId="60" borderId="52" applyNumberFormat="0" applyProtection="0">
      <alignment horizontal="right" vertical="center"/>
    </xf>
    <xf numFmtId="4" fontId="30" fillId="53" borderId="53" applyNumberFormat="0" applyProtection="0">
      <alignment vertical="center"/>
    </xf>
    <xf numFmtId="4" fontId="10" fillId="17" borderId="52" applyNumberFormat="0" applyProtection="0">
      <alignment horizontal="right" vertical="center"/>
    </xf>
    <xf numFmtId="0" fontId="31" fillId="52" borderId="52" applyNumberFormat="0" applyProtection="0">
      <alignment horizontal="left" vertical="top" indent="1"/>
    </xf>
    <xf numFmtId="4" fontId="10" fillId="56" borderId="52" applyNumberFormat="0" applyProtection="0">
      <alignment horizontal="right" vertical="center"/>
    </xf>
    <xf numFmtId="4" fontId="28" fillId="59" borderId="53" applyNumberFormat="0" applyProtection="0">
      <alignment horizontal="right" vertical="center"/>
    </xf>
    <xf numFmtId="0" fontId="28" fillId="16" borderId="52" applyNumberFormat="0" applyProtection="0">
      <alignment horizontal="left" vertical="top" indent="1"/>
    </xf>
    <xf numFmtId="4" fontId="42" fillId="15" borderId="53" applyNumberFormat="0" applyProtection="0">
      <alignment horizontal="right" vertical="center"/>
    </xf>
    <xf numFmtId="4" fontId="10" fillId="12" borderId="52" applyNumberFormat="0" applyProtection="0">
      <alignment horizontal="left" vertical="center" indent="1"/>
    </xf>
    <xf numFmtId="0" fontId="35" fillId="63" borderId="52" applyNumberFormat="0" applyProtection="0">
      <alignment horizontal="left" vertical="top" indent="1"/>
    </xf>
    <xf numFmtId="0" fontId="35" fillId="18" borderId="52" applyNumberFormat="0" applyProtection="0">
      <alignment horizontal="left" vertical="top" indent="1"/>
    </xf>
    <xf numFmtId="0" fontId="9" fillId="18" borderId="52" applyNumberFormat="0" applyProtection="0">
      <alignment horizontal="left" vertical="center" indent="1"/>
    </xf>
    <xf numFmtId="4" fontId="28" fillId="63" borderId="54" applyNumberFormat="0" applyProtection="0">
      <alignment horizontal="left" vertical="center" indent="1"/>
    </xf>
    <xf numFmtId="0" fontId="23" fillId="43" borderId="53" applyNumberFormat="0" applyAlignment="0" applyProtection="0"/>
    <xf numFmtId="4" fontId="28" fillId="62" borderId="54" applyNumberFormat="0" applyProtection="0">
      <alignment horizontal="left" vertical="center" indent="1"/>
    </xf>
    <xf numFmtId="0" fontId="37" fillId="14" borderId="52" applyNumberFormat="0" applyProtection="0">
      <alignment horizontal="left" vertical="top" indent="1"/>
    </xf>
    <xf numFmtId="4" fontId="29" fillId="52" borderId="52" applyNumberFormat="0" applyProtection="0">
      <alignment vertical="center"/>
    </xf>
    <xf numFmtId="4" fontId="28" fillId="52" borderId="53" applyNumberFormat="0" applyProtection="0">
      <alignment vertical="center"/>
    </xf>
    <xf numFmtId="4" fontId="27" fillId="52" borderId="52" applyNumberFormat="0" applyProtection="0">
      <alignment vertical="center"/>
    </xf>
    <xf numFmtId="0" fontId="26" fillId="45" borderId="51" applyNumberFormat="0" applyAlignment="0" applyProtection="0"/>
    <xf numFmtId="0" fontId="9" fillId="42" borderId="50" applyNumberFormat="0" applyFont="0" applyAlignment="0" applyProtection="0"/>
    <xf numFmtId="0" fontId="23" fillId="43" borderId="44" applyNumberFormat="0" applyAlignment="0" applyProtection="0"/>
    <xf numFmtId="0" fontId="15" fillId="45" borderId="44" applyNumberFormat="0" applyAlignment="0" applyProtection="0"/>
    <xf numFmtId="4" fontId="40" fillId="67" borderId="54" applyNumberFormat="0" applyProtection="0">
      <alignment horizontal="left" vertical="center" indent="1"/>
    </xf>
    <xf numFmtId="0" fontId="37" fillId="12" borderId="52" applyNumberFormat="0" applyProtection="0">
      <alignment horizontal="left" vertical="top" indent="1"/>
    </xf>
    <xf numFmtId="0" fontId="10" fillId="12" borderId="52" applyNumberFormat="0" applyProtection="0">
      <alignment horizontal="left" vertical="top" indent="1"/>
    </xf>
    <xf numFmtId="4" fontId="42" fillId="15" borderId="53" applyNumberFormat="0" applyProtection="0">
      <alignment horizontal="right" vertical="center"/>
    </xf>
    <xf numFmtId="4" fontId="10" fillId="12" borderId="52" applyNumberFormat="0" applyProtection="0">
      <alignment horizontal="left" vertical="center" indent="1"/>
    </xf>
    <xf numFmtId="0" fontId="35" fillId="63" borderId="52" applyNumberFormat="0" applyProtection="0">
      <alignment horizontal="left" vertical="top" indent="1"/>
    </xf>
    <xf numFmtId="0" fontId="35" fillId="18" borderId="52" applyNumberFormat="0" applyProtection="0">
      <alignment horizontal="left" vertical="top" indent="1"/>
    </xf>
    <xf numFmtId="0" fontId="9" fillId="18" borderId="52" applyNumberFormat="0" applyProtection="0">
      <alignment horizontal="left" vertical="center" indent="1"/>
    </xf>
    <xf numFmtId="4" fontId="28" fillId="63" borderId="54" applyNumberFormat="0" applyProtection="0">
      <alignment horizontal="left" vertical="center" indent="1"/>
    </xf>
    <xf numFmtId="4" fontId="28" fillId="62" borderId="54" applyNumberFormat="0" applyProtection="0">
      <alignment horizontal="left" vertical="center" indent="1"/>
    </xf>
    <xf numFmtId="172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72" fontId="6" fillId="0" borderId="0"/>
    <xf numFmtId="172" fontId="6" fillId="0" borderId="0"/>
    <xf numFmtId="172" fontId="6" fillId="0" borderId="0"/>
    <xf numFmtId="172" fontId="6" fillId="0" borderId="0"/>
    <xf numFmtId="172" fontId="6" fillId="0" borderId="0"/>
    <xf numFmtId="172" fontId="6" fillId="0" borderId="0"/>
    <xf numFmtId="172" fontId="6" fillId="0" borderId="0"/>
    <xf numFmtId="172" fontId="6" fillId="0" borderId="0"/>
    <xf numFmtId="172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72" fontId="6" fillId="0" borderId="0"/>
    <xf numFmtId="172" fontId="6" fillId="0" borderId="0"/>
    <xf numFmtId="172" fontId="6" fillId="0" borderId="0"/>
    <xf numFmtId="172" fontId="6" fillId="0" borderId="0"/>
    <xf numFmtId="172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72" fontId="6" fillId="0" borderId="0"/>
    <xf numFmtId="0" fontId="6" fillId="0" borderId="0"/>
    <xf numFmtId="0" fontId="6" fillId="0" borderId="0"/>
    <xf numFmtId="172" fontId="6" fillId="0" borderId="0"/>
    <xf numFmtId="172" fontId="6" fillId="0" borderId="0"/>
    <xf numFmtId="172" fontId="6" fillId="0" borderId="0"/>
    <xf numFmtId="172" fontId="6" fillId="0" borderId="0"/>
    <xf numFmtId="0" fontId="6" fillId="0" borderId="0"/>
    <xf numFmtId="172" fontId="6" fillId="0" borderId="0"/>
    <xf numFmtId="172" fontId="6" fillId="0" borderId="0"/>
    <xf numFmtId="0" fontId="6" fillId="0" borderId="0"/>
    <xf numFmtId="0" fontId="6" fillId="0" borderId="0"/>
    <xf numFmtId="172" fontId="6" fillId="0" borderId="0"/>
    <xf numFmtId="172" fontId="6" fillId="0" borderId="0"/>
    <xf numFmtId="172" fontId="6" fillId="0" borderId="0"/>
    <xf numFmtId="172" fontId="6" fillId="0" borderId="0"/>
    <xf numFmtId="172" fontId="6" fillId="0" borderId="0"/>
    <xf numFmtId="0" fontId="6" fillId="0" borderId="0"/>
    <xf numFmtId="0" fontId="6" fillId="0" borderId="0"/>
    <xf numFmtId="0" fontId="6" fillId="0" borderId="0"/>
    <xf numFmtId="172" fontId="6" fillId="0" borderId="0"/>
    <xf numFmtId="0" fontId="6" fillId="0" borderId="0"/>
    <xf numFmtId="172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72" fontId="6" fillId="0" borderId="0"/>
    <xf numFmtId="172" fontId="6" fillId="0" borderId="0"/>
    <xf numFmtId="0" fontId="6" fillId="0" borderId="0"/>
    <xf numFmtId="172" fontId="6" fillId="0" borderId="0"/>
    <xf numFmtId="172" fontId="6" fillId="0" borderId="0"/>
    <xf numFmtId="0" fontId="6" fillId="0" borderId="0"/>
    <xf numFmtId="0" fontId="6" fillId="0" borderId="0"/>
    <xf numFmtId="172" fontId="6" fillId="0" borderId="0"/>
    <xf numFmtId="0" fontId="6" fillId="0" borderId="0"/>
    <xf numFmtId="172" fontId="6" fillId="0" borderId="0"/>
    <xf numFmtId="172" fontId="6" fillId="0" borderId="0"/>
    <xf numFmtId="0" fontId="6" fillId="0" borderId="0"/>
    <xf numFmtId="0" fontId="6" fillId="0" borderId="0"/>
    <xf numFmtId="172" fontId="6" fillId="0" borderId="0"/>
    <xf numFmtId="172" fontId="6" fillId="0" borderId="0"/>
    <xf numFmtId="0" fontId="15" fillId="45" borderId="44" applyNumberFormat="0" applyAlignment="0" applyProtection="0"/>
    <xf numFmtId="0" fontId="15" fillId="45" borderId="44" applyNumberFormat="0" applyAlignment="0" applyProtection="0"/>
    <xf numFmtId="0" fontId="23" fillId="43" borderId="44" applyNumberFormat="0" applyAlignment="0" applyProtection="0"/>
    <xf numFmtId="0" fontId="23" fillId="43" borderId="44" applyNumberFormat="0" applyAlignment="0" applyProtection="0"/>
    <xf numFmtId="0" fontId="9" fillId="42" borderId="50" applyNumberFormat="0" applyFont="0" applyAlignment="0" applyProtection="0"/>
    <xf numFmtId="0" fontId="9" fillId="42" borderId="50" applyNumberFormat="0" applyFont="0" applyAlignment="0" applyProtection="0"/>
    <xf numFmtId="0" fontId="26" fillId="45" borderId="51" applyNumberFormat="0" applyAlignment="0" applyProtection="0"/>
    <xf numFmtId="0" fontId="26" fillId="45" borderId="51" applyNumberFormat="0" applyAlignment="0" applyProtection="0"/>
    <xf numFmtId="4" fontId="28" fillId="52" borderId="53" applyNumberFormat="0" applyProtection="0">
      <alignment vertical="center"/>
    </xf>
    <xf numFmtId="4" fontId="28" fillId="52" borderId="53" applyNumberFormat="0" applyProtection="0">
      <alignment vertical="center"/>
    </xf>
    <xf numFmtId="4" fontId="27" fillId="52" borderId="52" applyNumberFormat="0" applyProtection="0">
      <alignment vertical="center"/>
    </xf>
    <xf numFmtId="4" fontId="27" fillId="52" borderId="52" applyNumberFormat="0" applyProtection="0">
      <alignment vertical="center"/>
    </xf>
    <xf numFmtId="4" fontId="30" fillId="53" borderId="53" applyNumberFormat="0" applyProtection="0">
      <alignment vertical="center"/>
    </xf>
    <xf numFmtId="4" fontId="30" fillId="53" borderId="53" applyNumberFormat="0" applyProtection="0">
      <alignment vertical="center"/>
    </xf>
    <xf numFmtId="4" fontId="29" fillId="52" borderId="52" applyNumberFormat="0" applyProtection="0">
      <alignment vertical="center"/>
    </xf>
    <xf numFmtId="4" fontId="29" fillId="52" borderId="52" applyNumberFormat="0" applyProtection="0">
      <alignment vertical="center"/>
    </xf>
    <xf numFmtId="4" fontId="28" fillId="53" borderId="53" applyNumberFormat="0" applyProtection="0">
      <alignment horizontal="left" vertical="center" indent="1"/>
    </xf>
    <xf numFmtId="4" fontId="28" fillId="53" borderId="53" applyNumberFormat="0" applyProtection="0">
      <alignment horizontal="left" vertical="center" indent="1"/>
    </xf>
    <xf numFmtId="4" fontId="27" fillId="52" borderId="52" applyNumberFormat="0" applyProtection="0">
      <alignment horizontal="left" vertical="center" indent="1"/>
    </xf>
    <xf numFmtId="4" fontId="27" fillId="52" borderId="52" applyNumberFormat="0" applyProtection="0">
      <alignment horizontal="left" vertical="center" indent="1"/>
    </xf>
    <xf numFmtId="0" fontId="31" fillId="52" borderId="52" applyNumberFormat="0" applyProtection="0">
      <alignment horizontal="left" vertical="top" indent="1"/>
    </xf>
    <xf numFmtId="0" fontId="31" fillId="52" borderId="52" applyNumberFormat="0" applyProtection="0">
      <alignment horizontal="left" vertical="top" indent="1"/>
    </xf>
    <xf numFmtId="0" fontId="27" fillId="52" borderId="52" applyNumberFormat="0" applyProtection="0">
      <alignment horizontal="left" vertical="top" indent="1"/>
    </xf>
    <xf numFmtId="0" fontId="27" fillId="52" borderId="52" applyNumberFormat="0" applyProtection="0">
      <alignment horizontal="left" vertical="top" indent="1"/>
    </xf>
    <xf numFmtId="4" fontId="28" fillId="54" borderId="53" applyNumberFormat="0" applyProtection="0">
      <alignment horizontal="left" vertical="center" indent="1"/>
    </xf>
    <xf numFmtId="4" fontId="28" fillId="54" borderId="53" applyNumberFormat="0" applyProtection="0">
      <alignment horizontal="left" vertical="center" indent="1"/>
    </xf>
    <xf numFmtId="4" fontId="28" fillId="17" borderId="53" applyNumberFormat="0" applyProtection="0">
      <alignment horizontal="right" vertical="center"/>
    </xf>
    <xf numFmtId="4" fontId="28" fillId="17" borderId="53" applyNumberFormat="0" applyProtection="0">
      <alignment horizontal="right" vertical="center"/>
    </xf>
    <xf numFmtId="4" fontId="10" fillId="17" borderId="52" applyNumberFormat="0" applyProtection="0">
      <alignment horizontal="right" vertical="center"/>
    </xf>
    <xf numFmtId="4" fontId="10" fillId="17" borderId="52" applyNumberFormat="0" applyProtection="0">
      <alignment horizontal="right" vertical="center"/>
    </xf>
    <xf numFmtId="4" fontId="28" fillId="55" borderId="53" applyNumberFormat="0" applyProtection="0">
      <alignment horizontal="right" vertical="center"/>
    </xf>
    <xf numFmtId="4" fontId="28" fillId="55" borderId="53" applyNumberFormat="0" applyProtection="0">
      <alignment horizontal="right" vertical="center"/>
    </xf>
    <xf numFmtId="4" fontId="10" fillId="13" borderId="52" applyNumberFormat="0" applyProtection="0">
      <alignment horizontal="right" vertical="center"/>
    </xf>
    <xf numFmtId="4" fontId="10" fillId="13" borderId="52" applyNumberFormat="0" applyProtection="0">
      <alignment horizontal="right" vertical="center"/>
    </xf>
    <xf numFmtId="4" fontId="28" fillId="56" borderId="54" applyNumberFormat="0" applyProtection="0">
      <alignment horizontal="right" vertical="center"/>
    </xf>
    <xf numFmtId="4" fontId="28" fillId="56" borderId="54" applyNumberFormat="0" applyProtection="0">
      <alignment horizontal="right" vertical="center"/>
    </xf>
    <xf numFmtId="4" fontId="28" fillId="56" borderId="54" applyNumberFormat="0" applyProtection="0">
      <alignment horizontal="right" vertical="center"/>
    </xf>
    <xf numFmtId="4" fontId="10" fillId="56" borderId="52" applyNumberFormat="0" applyProtection="0">
      <alignment horizontal="right" vertical="center"/>
    </xf>
    <xf numFmtId="4" fontId="10" fillId="56" borderId="52" applyNumberFormat="0" applyProtection="0">
      <alignment horizontal="right" vertical="center"/>
    </xf>
    <xf numFmtId="4" fontId="28" fillId="57" borderId="53" applyNumberFormat="0" applyProtection="0">
      <alignment horizontal="right" vertical="center"/>
    </xf>
    <xf numFmtId="4" fontId="28" fillId="57" borderId="53" applyNumberFormat="0" applyProtection="0">
      <alignment horizontal="right" vertical="center"/>
    </xf>
    <xf numFmtId="4" fontId="10" fillId="57" borderId="52" applyNumberFormat="0" applyProtection="0">
      <alignment horizontal="right" vertical="center"/>
    </xf>
    <xf numFmtId="4" fontId="10" fillId="57" borderId="52" applyNumberFormat="0" applyProtection="0">
      <alignment horizontal="right" vertical="center"/>
    </xf>
    <xf numFmtId="4" fontId="28" fillId="58" borderId="53" applyNumberFormat="0" applyProtection="0">
      <alignment horizontal="right" vertical="center"/>
    </xf>
    <xf numFmtId="4" fontId="28" fillId="58" borderId="53" applyNumberFormat="0" applyProtection="0">
      <alignment horizontal="right" vertical="center"/>
    </xf>
    <xf numFmtId="4" fontId="10" fillId="58" borderId="52" applyNumberFormat="0" applyProtection="0">
      <alignment horizontal="right" vertical="center"/>
    </xf>
    <xf numFmtId="4" fontId="10" fillId="58" borderId="52" applyNumberFormat="0" applyProtection="0">
      <alignment horizontal="right" vertical="center"/>
    </xf>
    <xf numFmtId="4" fontId="28" fillId="59" borderId="53" applyNumberFormat="0" applyProtection="0">
      <alignment horizontal="right" vertical="center"/>
    </xf>
    <xf numFmtId="4" fontId="28" fillId="59" borderId="53" applyNumberFormat="0" applyProtection="0">
      <alignment horizontal="right" vertical="center"/>
    </xf>
    <xf numFmtId="4" fontId="10" fillId="59" borderId="52" applyNumberFormat="0" applyProtection="0">
      <alignment horizontal="right" vertical="center"/>
    </xf>
    <xf numFmtId="4" fontId="10" fillId="59" borderId="52" applyNumberFormat="0" applyProtection="0">
      <alignment horizontal="right" vertical="center"/>
    </xf>
    <xf numFmtId="4" fontId="28" fillId="19" borderId="53" applyNumberFormat="0" applyProtection="0">
      <alignment horizontal="right" vertical="center"/>
    </xf>
    <xf numFmtId="4" fontId="28" fillId="19" borderId="53" applyNumberFormat="0" applyProtection="0">
      <alignment horizontal="right" vertical="center"/>
    </xf>
    <xf numFmtId="4" fontId="10" fillId="19" borderId="52" applyNumberFormat="0" applyProtection="0">
      <alignment horizontal="right" vertical="center"/>
    </xf>
    <xf numFmtId="4" fontId="10" fillId="19" borderId="52" applyNumberFormat="0" applyProtection="0">
      <alignment horizontal="right" vertical="center"/>
    </xf>
    <xf numFmtId="4" fontId="28" fillId="60" borderId="53" applyNumberFormat="0" applyProtection="0">
      <alignment horizontal="right" vertical="center"/>
    </xf>
    <xf numFmtId="4" fontId="28" fillId="60" borderId="53" applyNumberFormat="0" applyProtection="0">
      <alignment horizontal="right" vertical="center"/>
    </xf>
    <xf numFmtId="4" fontId="10" fillId="60" borderId="52" applyNumberFormat="0" applyProtection="0">
      <alignment horizontal="right" vertical="center"/>
    </xf>
    <xf numFmtId="4" fontId="10" fillId="60" borderId="52" applyNumberFormat="0" applyProtection="0">
      <alignment horizontal="right" vertical="center"/>
    </xf>
    <xf numFmtId="4" fontId="28" fillId="61" borderId="53" applyNumberFormat="0" applyProtection="0">
      <alignment horizontal="right" vertical="center"/>
    </xf>
    <xf numFmtId="4" fontId="28" fillId="61" borderId="53" applyNumberFormat="0" applyProtection="0">
      <alignment horizontal="right" vertical="center"/>
    </xf>
    <xf numFmtId="4" fontId="10" fillId="61" borderId="52" applyNumberFormat="0" applyProtection="0">
      <alignment horizontal="right" vertical="center"/>
    </xf>
    <xf numFmtId="4" fontId="10" fillId="61" borderId="52" applyNumberFormat="0" applyProtection="0">
      <alignment horizontal="right" vertical="center"/>
    </xf>
    <xf numFmtId="4" fontId="28" fillId="62" borderId="54" applyNumberFormat="0" applyProtection="0">
      <alignment horizontal="left" vertical="center" indent="1"/>
    </xf>
    <xf numFmtId="4" fontId="28" fillId="62" borderId="54" applyNumberFormat="0" applyProtection="0">
      <alignment horizontal="left" vertical="center" indent="1"/>
    </xf>
    <xf numFmtId="4" fontId="28" fillId="62" borderId="54" applyNumberFormat="0" applyProtection="0">
      <alignment horizontal="left" vertical="center" indent="1"/>
    </xf>
    <xf numFmtId="4" fontId="32" fillId="18" borderId="54" applyNumberFormat="0" applyProtection="0">
      <alignment horizontal="left" vertical="center" indent="1"/>
    </xf>
    <xf numFmtId="4" fontId="32" fillId="18" borderId="54" applyNumberFormat="0" applyProtection="0">
      <alignment horizontal="left" vertical="center" indent="1"/>
    </xf>
    <xf numFmtId="4" fontId="32" fillId="18" borderId="54" applyNumberFormat="0" applyProtection="0">
      <alignment horizontal="left" vertical="center" indent="1"/>
    </xf>
    <xf numFmtId="4" fontId="32" fillId="18" borderId="54" applyNumberFormat="0" applyProtection="0">
      <alignment horizontal="left" vertical="center" indent="1"/>
    </xf>
    <xf numFmtId="4" fontId="32" fillId="18" borderId="54" applyNumberFormat="0" applyProtection="0">
      <alignment horizontal="left" vertical="center" indent="1"/>
    </xf>
    <xf numFmtId="4" fontId="32" fillId="18" borderId="54" applyNumberFormat="0" applyProtection="0">
      <alignment horizontal="left" vertical="center" indent="1"/>
    </xf>
    <xf numFmtId="4" fontId="28" fillId="12" borderId="53" applyNumberFormat="0" applyProtection="0">
      <alignment horizontal="right" vertical="center"/>
    </xf>
    <xf numFmtId="4" fontId="28" fillId="12" borderId="53" applyNumberFormat="0" applyProtection="0">
      <alignment horizontal="right" vertical="center"/>
    </xf>
    <xf numFmtId="4" fontId="10" fillId="12" borderId="52" applyNumberFormat="0" applyProtection="0">
      <alignment horizontal="right" vertical="center"/>
    </xf>
    <xf numFmtId="4" fontId="10" fillId="12" borderId="52" applyNumberFormat="0" applyProtection="0">
      <alignment horizontal="right" vertical="center"/>
    </xf>
    <xf numFmtId="4" fontId="28" fillId="63" borderId="54" applyNumberFormat="0" applyProtection="0">
      <alignment horizontal="left" vertical="center" indent="1"/>
    </xf>
    <xf numFmtId="4" fontId="28" fillId="63" borderId="54" applyNumberFormat="0" applyProtection="0">
      <alignment horizontal="left" vertical="center" indent="1"/>
    </xf>
    <xf numFmtId="4" fontId="28" fillId="63" borderId="54" applyNumberFormat="0" applyProtection="0">
      <alignment horizontal="left" vertical="center" indent="1"/>
    </xf>
    <xf numFmtId="4" fontId="28" fillId="12" borderId="54" applyNumberFormat="0" applyProtection="0">
      <alignment horizontal="left" vertical="center" indent="1"/>
    </xf>
    <xf numFmtId="4" fontId="28" fillId="12" borderId="54" applyNumberFormat="0" applyProtection="0">
      <alignment horizontal="left" vertical="center" indent="1"/>
    </xf>
    <xf numFmtId="4" fontId="28" fillId="12" borderId="54" applyNumberFormat="0" applyProtection="0">
      <alignment horizontal="left" vertical="center" indent="1"/>
    </xf>
    <xf numFmtId="0" fontId="28" fillId="20" borderId="53" applyNumberFormat="0" applyProtection="0">
      <alignment horizontal="left" vertical="center" indent="1"/>
    </xf>
    <xf numFmtId="0" fontId="28" fillId="20" borderId="53" applyNumberFormat="0" applyProtection="0">
      <alignment horizontal="left" vertical="center" indent="1"/>
    </xf>
    <xf numFmtId="0" fontId="9" fillId="18" borderId="52" applyNumberFormat="0" applyProtection="0">
      <alignment horizontal="left" vertical="center" indent="1"/>
    </xf>
    <xf numFmtId="0" fontId="9" fillId="18" borderId="52" applyNumberFormat="0" applyProtection="0">
      <alignment horizontal="left" vertical="center" indent="1"/>
    </xf>
    <xf numFmtId="0" fontId="35" fillId="18" borderId="52" applyNumberFormat="0" applyProtection="0">
      <alignment horizontal="left" vertical="top" indent="1"/>
    </xf>
    <xf numFmtId="0" fontId="35" fillId="18" borderId="52" applyNumberFormat="0" applyProtection="0">
      <alignment horizontal="left" vertical="top" indent="1"/>
    </xf>
    <xf numFmtId="0" fontId="28" fillId="18" borderId="52" applyNumberFormat="0" applyProtection="0">
      <alignment horizontal="left" vertical="top" indent="1"/>
    </xf>
    <xf numFmtId="0" fontId="28" fillId="18" borderId="52" applyNumberFormat="0" applyProtection="0">
      <alignment horizontal="left" vertical="top" indent="1"/>
    </xf>
    <xf numFmtId="0" fontId="9" fillId="18" borderId="52" applyNumberFormat="0" applyProtection="0">
      <alignment horizontal="left" vertical="top" indent="1"/>
    </xf>
    <xf numFmtId="0" fontId="9" fillId="18" borderId="52" applyNumberFormat="0" applyProtection="0">
      <alignment horizontal="left" vertical="top" indent="1"/>
    </xf>
    <xf numFmtId="0" fontId="28" fillId="64" borderId="53" applyNumberFormat="0" applyProtection="0">
      <alignment horizontal="left" vertical="center" indent="1"/>
    </xf>
    <xf numFmtId="0" fontId="28" fillId="64" borderId="53" applyNumberFormat="0" applyProtection="0">
      <alignment horizontal="left" vertical="center" indent="1"/>
    </xf>
    <xf numFmtId="0" fontId="9" fillId="12" borderId="52" applyNumberFormat="0" applyProtection="0">
      <alignment horizontal="left" vertical="center" indent="1"/>
    </xf>
    <xf numFmtId="0" fontId="9" fillId="12" borderId="52" applyNumberFormat="0" applyProtection="0">
      <alignment horizontal="left" vertical="center" indent="1"/>
    </xf>
    <xf numFmtId="0" fontId="35" fillId="12" borderId="52" applyNumberFormat="0" applyProtection="0">
      <alignment horizontal="left" vertical="top" indent="1"/>
    </xf>
    <xf numFmtId="0" fontId="35" fillId="12" borderId="52" applyNumberFormat="0" applyProtection="0">
      <alignment horizontal="left" vertical="top" indent="1"/>
    </xf>
    <xf numFmtId="0" fontId="28" fillId="12" borderId="52" applyNumberFormat="0" applyProtection="0">
      <alignment horizontal="left" vertical="top" indent="1"/>
    </xf>
    <xf numFmtId="0" fontId="28" fillId="12" borderId="52" applyNumberFormat="0" applyProtection="0">
      <alignment horizontal="left" vertical="top" indent="1"/>
    </xf>
    <xf numFmtId="0" fontId="9" fillId="12" borderId="52" applyNumberFormat="0" applyProtection="0">
      <alignment horizontal="left" vertical="top" indent="1"/>
    </xf>
    <xf numFmtId="0" fontId="9" fillId="12" borderId="52" applyNumberFormat="0" applyProtection="0">
      <alignment horizontal="left" vertical="top" indent="1"/>
    </xf>
    <xf numFmtId="0" fontId="28" fillId="16" borderId="53" applyNumberFormat="0" applyProtection="0">
      <alignment horizontal="left" vertical="center" indent="1"/>
    </xf>
    <xf numFmtId="0" fontId="28" fillId="16" borderId="53" applyNumberFormat="0" applyProtection="0">
      <alignment horizontal="left" vertical="center" indent="1"/>
    </xf>
    <xf numFmtId="0" fontId="9" fillId="16" borderId="52" applyNumberFormat="0" applyProtection="0">
      <alignment horizontal="left" vertical="center" indent="1"/>
    </xf>
    <xf numFmtId="0" fontId="9" fillId="16" borderId="52" applyNumberFormat="0" applyProtection="0">
      <alignment horizontal="left" vertical="center" indent="1"/>
    </xf>
    <xf numFmtId="0" fontId="35" fillId="16" borderId="52" applyNumberFormat="0" applyProtection="0">
      <alignment horizontal="left" vertical="top" indent="1"/>
    </xf>
    <xf numFmtId="0" fontId="35" fillId="16" borderId="52" applyNumberFormat="0" applyProtection="0">
      <alignment horizontal="left" vertical="top" indent="1"/>
    </xf>
    <xf numFmtId="0" fontId="28" fillId="16" borderId="52" applyNumberFormat="0" applyProtection="0">
      <alignment horizontal="left" vertical="top" indent="1"/>
    </xf>
    <xf numFmtId="0" fontId="28" fillId="16" borderId="52" applyNumberFormat="0" applyProtection="0">
      <alignment horizontal="left" vertical="top" indent="1"/>
    </xf>
    <xf numFmtId="0" fontId="9" fillId="16" borderId="52" applyNumberFormat="0" applyProtection="0">
      <alignment horizontal="left" vertical="top" indent="1"/>
    </xf>
    <xf numFmtId="0" fontId="9" fillId="16" borderId="52" applyNumberFormat="0" applyProtection="0">
      <alignment horizontal="left" vertical="top" indent="1"/>
    </xf>
    <xf numFmtId="0" fontId="28" fillId="63" borderId="53" applyNumberFormat="0" applyProtection="0">
      <alignment horizontal="left" vertical="center" indent="1"/>
    </xf>
    <xf numFmtId="0" fontId="28" fillId="63" borderId="53" applyNumberFormat="0" applyProtection="0">
      <alignment horizontal="left" vertical="center" indent="1"/>
    </xf>
    <xf numFmtId="0" fontId="9" fillId="63" borderId="52" applyNumberFormat="0" applyProtection="0">
      <alignment horizontal="left" vertical="center" indent="1"/>
    </xf>
    <xf numFmtId="0" fontId="9" fillId="63" borderId="52" applyNumberFormat="0" applyProtection="0">
      <alignment horizontal="left" vertical="center" indent="1"/>
    </xf>
    <xf numFmtId="0" fontId="35" fillId="63" borderId="52" applyNumberFormat="0" applyProtection="0">
      <alignment horizontal="left" vertical="top" indent="1"/>
    </xf>
    <xf numFmtId="0" fontId="35" fillId="63" borderId="52" applyNumberFormat="0" applyProtection="0">
      <alignment horizontal="left" vertical="top" indent="1"/>
    </xf>
    <xf numFmtId="0" fontId="28" fillId="63" borderId="52" applyNumberFormat="0" applyProtection="0">
      <alignment horizontal="left" vertical="top" indent="1"/>
    </xf>
    <xf numFmtId="0" fontId="28" fillId="63" borderId="52" applyNumberFormat="0" applyProtection="0">
      <alignment horizontal="left" vertical="top" indent="1"/>
    </xf>
    <xf numFmtId="0" fontId="9" fillId="63" borderId="52" applyNumberFormat="0" applyProtection="0">
      <alignment horizontal="left" vertical="top" indent="1"/>
    </xf>
    <xf numFmtId="0" fontId="9" fillId="63" borderId="52" applyNumberFormat="0" applyProtection="0">
      <alignment horizontal="left" vertical="top" indent="1"/>
    </xf>
    <xf numFmtId="0" fontId="36" fillId="18" borderId="57" applyBorder="0"/>
    <xf numFmtId="0" fontId="36" fillId="18" borderId="57" applyBorder="0"/>
    <xf numFmtId="4" fontId="37" fillId="14" borderId="52" applyNumberFormat="0" applyProtection="0">
      <alignment vertical="center"/>
    </xf>
    <xf numFmtId="4" fontId="37" fillId="14" borderId="52" applyNumberFormat="0" applyProtection="0">
      <alignment vertical="center"/>
    </xf>
    <xf numFmtId="4" fontId="10" fillId="14" borderId="52" applyNumberFormat="0" applyProtection="0">
      <alignment vertical="center"/>
    </xf>
    <xf numFmtId="4" fontId="10" fillId="14" borderId="52" applyNumberFormat="0" applyProtection="0">
      <alignment vertical="center"/>
    </xf>
    <xf numFmtId="4" fontId="38" fillId="14" borderId="52" applyNumberFormat="0" applyProtection="0">
      <alignment vertical="center"/>
    </xf>
    <xf numFmtId="4" fontId="38" fillId="14" borderId="52" applyNumberFormat="0" applyProtection="0">
      <alignment vertical="center"/>
    </xf>
    <xf numFmtId="4" fontId="37" fillId="20" borderId="52" applyNumberFormat="0" applyProtection="0">
      <alignment horizontal="left" vertical="center" indent="1"/>
    </xf>
    <xf numFmtId="4" fontId="37" fillId="20" borderId="52" applyNumberFormat="0" applyProtection="0">
      <alignment horizontal="left" vertical="center" indent="1"/>
    </xf>
    <xf numFmtId="4" fontId="10" fillId="14" borderId="52" applyNumberFormat="0" applyProtection="0">
      <alignment horizontal="left" vertical="center" indent="1"/>
    </xf>
    <xf numFmtId="4" fontId="10" fillId="14" borderId="52" applyNumberFormat="0" applyProtection="0">
      <alignment horizontal="left" vertical="center" indent="1"/>
    </xf>
    <xf numFmtId="0" fontId="37" fillId="14" borderId="52" applyNumberFormat="0" applyProtection="0">
      <alignment horizontal="left" vertical="top" indent="1"/>
    </xf>
    <xf numFmtId="0" fontId="37" fillId="14" borderId="52" applyNumberFormat="0" applyProtection="0">
      <alignment horizontal="left" vertical="top" indent="1"/>
    </xf>
    <xf numFmtId="0" fontId="10" fillId="14" borderId="52" applyNumberFormat="0" applyProtection="0">
      <alignment horizontal="left" vertical="top" indent="1"/>
    </xf>
    <xf numFmtId="0" fontId="10" fillId="14" borderId="52" applyNumberFormat="0" applyProtection="0">
      <alignment horizontal="left" vertical="top" indent="1"/>
    </xf>
    <xf numFmtId="4" fontId="28" fillId="0" borderId="53" applyNumberFormat="0" applyProtection="0">
      <alignment horizontal="right" vertical="center"/>
    </xf>
    <xf numFmtId="4" fontId="28" fillId="0" borderId="53" applyNumberFormat="0" applyProtection="0">
      <alignment horizontal="right" vertical="center"/>
    </xf>
    <xf numFmtId="4" fontId="10" fillId="63" borderId="52" applyNumberFormat="0" applyProtection="0">
      <alignment horizontal="right" vertical="center"/>
    </xf>
    <xf numFmtId="4" fontId="10" fillId="63" borderId="52" applyNumberFormat="0" applyProtection="0">
      <alignment horizontal="right" vertical="center"/>
    </xf>
    <xf numFmtId="4" fontId="30" fillId="66" borderId="53" applyNumberFormat="0" applyProtection="0">
      <alignment horizontal="right" vertical="center"/>
    </xf>
    <xf numFmtId="4" fontId="30" fillId="66" borderId="53" applyNumberFormat="0" applyProtection="0">
      <alignment horizontal="right" vertical="center"/>
    </xf>
    <xf numFmtId="4" fontId="38" fillId="63" borderId="52" applyNumberFormat="0" applyProtection="0">
      <alignment horizontal="right" vertical="center"/>
    </xf>
    <xf numFmtId="4" fontId="38" fillId="63" borderId="52" applyNumberFormat="0" applyProtection="0">
      <alignment horizontal="right" vertical="center"/>
    </xf>
    <xf numFmtId="4" fontId="28" fillId="54" borderId="53" applyNumberFormat="0" applyProtection="0">
      <alignment horizontal="left" vertical="center" indent="1"/>
    </xf>
    <xf numFmtId="4" fontId="28" fillId="54" borderId="53" applyNumberFormat="0" applyProtection="0">
      <alignment horizontal="left" vertical="center" indent="1"/>
    </xf>
    <xf numFmtId="4" fontId="10" fillId="12" borderId="52" applyNumberFormat="0" applyProtection="0">
      <alignment horizontal="left" vertical="center" indent="1"/>
    </xf>
    <xf numFmtId="4" fontId="10" fillId="12" borderId="52" applyNumberFormat="0" applyProtection="0">
      <alignment horizontal="left" vertical="center" indent="1"/>
    </xf>
    <xf numFmtId="0" fontId="37" fillId="12" borderId="52" applyNumberFormat="0" applyProtection="0">
      <alignment horizontal="left" vertical="top" indent="1"/>
    </xf>
    <xf numFmtId="0" fontId="37" fillId="12" borderId="52" applyNumberFormat="0" applyProtection="0">
      <alignment horizontal="left" vertical="top" indent="1"/>
    </xf>
    <xf numFmtId="0" fontId="10" fillId="12" borderId="52" applyNumberFormat="0" applyProtection="0">
      <alignment horizontal="left" vertical="top" indent="1"/>
    </xf>
    <xf numFmtId="0" fontId="10" fillId="12" borderId="52" applyNumberFormat="0" applyProtection="0">
      <alignment horizontal="left" vertical="top" indent="1"/>
    </xf>
    <xf numFmtId="4" fontId="40" fillId="67" borderId="54" applyNumberFormat="0" applyProtection="0">
      <alignment horizontal="left" vertical="center" indent="1"/>
    </xf>
    <xf numFmtId="4" fontId="40" fillId="67" borderId="54" applyNumberFormat="0" applyProtection="0">
      <alignment horizontal="left" vertical="center" indent="1"/>
    </xf>
    <xf numFmtId="4" fontId="40" fillId="67" borderId="54" applyNumberFormat="0" applyProtection="0">
      <alignment horizontal="left" vertical="center" indent="1"/>
    </xf>
    <xf numFmtId="4" fontId="42" fillId="15" borderId="53" applyNumberFormat="0" applyProtection="0">
      <alignment horizontal="right" vertical="center"/>
    </xf>
    <xf numFmtId="4" fontId="42" fillId="15" borderId="53" applyNumberFormat="0" applyProtection="0">
      <alignment horizontal="right" vertical="center"/>
    </xf>
    <xf numFmtId="4" fontId="41" fillId="63" borderId="52" applyNumberFormat="0" applyProtection="0">
      <alignment horizontal="right" vertical="center"/>
    </xf>
    <xf numFmtId="4" fontId="41" fillId="63" borderId="52" applyNumberFormat="0" applyProtection="0">
      <alignment horizontal="right" vertical="center"/>
    </xf>
    <xf numFmtId="0" fontId="17" fillId="0" borderId="58" applyNumberFormat="0" applyFill="0" applyAlignment="0" applyProtection="0"/>
    <xf numFmtId="0" fontId="17" fillId="0" borderId="58" applyNumberFormat="0" applyFill="0" applyAlignment="0" applyProtection="0"/>
    <xf numFmtId="0" fontId="23" fillId="43" borderId="53" applyNumberFormat="0" applyAlignment="0" applyProtection="0"/>
    <xf numFmtId="0" fontId="23" fillId="43" borderId="53" applyNumberFormat="0" applyAlignment="0" applyProtection="0"/>
    <xf numFmtId="0" fontId="26" fillId="72" borderId="51" applyNumberFormat="0" applyAlignment="0" applyProtection="0"/>
    <xf numFmtId="0" fontId="26" fillId="72" borderId="51" applyNumberFormat="0" applyAlignment="0" applyProtection="0"/>
    <xf numFmtId="0" fontId="45" fillId="72" borderId="53" applyNumberFormat="0" applyAlignment="0" applyProtection="0"/>
    <xf numFmtId="0" fontId="45" fillId="72" borderId="53" applyNumberFormat="0" applyAlignment="0" applyProtection="0"/>
    <xf numFmtId="0" fontId="17" fillId="0" borderId="58" applyNumberFormat="0" applyFill="0" applyAlignment="0" applyProtection="0"/>
    <xf numFmtId="0" fontId="17" fillId="0" borderId="58" applyNumberFormat="0" applyFill="0" applyAlignment="0" applyProtection="0"/>
    <xf numFmtId="0" fontId="28" fillId="42" borderId="53" applyNumberFormat="0" applyFont="0" applyAlignment="0" applyProtection="0"/>
    <xf numFmtId="0" fontId="28" fillId="42" borderId="53" applyNumberFormat="0" applyFont="0" applyAlignment="0" applyProtection="0"/>
    <xf numFmtId="44" fontId="6" fillId="0" borderId="0" applyFont="0" applyFill="0" applyBorder="0" applyAlignment="0" applyProtection="0"/>
  </cellStyleXfs>
  <cellXfs count="307">
    <xf numFmtId="0" fontId="0" fillId="0" borderId="0" xfId="0"/>
    <xf numFmtId="0" fontId="2" fillId="0" borderId="0" xfId="0" applyFont="1"/>
    <xf numFmtId="1" fontId="2" fillId="0" borderId="0" xfId="0" applyNumberFormat="1" applyFont="1"/>
    <xf numFmtId="0" fontId="3" fillId="0" borderId="0" xfId="0" applyFont="1"/>
    <xf numFmtId="0" fontId="3" fillId="0" borderId="0" xfId="0" applyFont="1" applyAlignment="1">
      <alignment vertical="center"/>
    </xf>
    <xf numFmtId="0" fontId="4" fillId="0" borderId="0" xfId="0" applyFont="1" applyAlignment="1">
      <alignment horizontal="left"/>
    </xf>
    <xf numFmtId="0" fontId="3" fillId="0" borderId="0" xfId="0" quotePrefix="1" applyFont="1" applyAlignment="1">
      <alignment vertical="center"/>
    </xf>
    <xf numFmtId="1" fontId="3" fillId="0" borderId="0" xfId="0" applyNumberFormat="1" applyFont="1"/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8" xfId="0" applyBorder="1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8" xfId="0" applyBorder="1" applyAlignment="1">
      <alignment horizontal="center" vertical="center"/>
    </xf>
    <xf numFmtId="3" fontId="0" fillId="0" borderId="0" xfId="0" applyNumberFormat="1"/>
    <xf numFmtId="165" fontId="0" fillId="0" borderId="0" xfId="0" applyNumberFormat="1"/>
    <xf numFmtId="166" fontId="2" fillId="0" borderId="0" xfId="0" applyNumberFormat="1" applyFont="1"/>
    <xf numFmtId="164" fontId="2" fillId="0" borderId="0" xfId="0" applyNumberFormat="1" applyFont="1"/>
    <xf numFmtId="166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7" fontId="2" fillId="0" borderId="0" xfId="0" applyNumberFormat="1" applyFont="1"/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2" borderId="27" xfId="0" applyFill="1" applyBorder="1"/>
    <xf numFmtId="0" fontId="0" fillId="3" borderId="27" xfId="0" applyFill="1" applyBorder="1"/>
    <xf numFmtId="0" fontId="0" fillId="2" borderId="27" xfId="0" applyFill="1" applyBorder="1" applyAlignment="1">
      <alignment horizontal="center" vertical="center"/>
    </xf>
    <xf numFmtId="0" fontId="0" fillId="3" borderId="27" xfId="0" applyFill="1" applyBorder="1" applyAlignment="1">
      <alignment horizontal="center" vertical="center"/>
    </xf>
    <xf numFmtId="0" fontId="0" fillId="3" borderId="31" xfId="0" applyFill="1" applyBorder="1"/>
    <xf numFmtId="0" fontId="0" fillId="2" borderId="31" xfId="0" applyFill="1" applyBorder="1"/>
    <xf numFmtId="0" fontId="0" fillId="0" borderId="34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2" borderId="26" xfId="0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0" fillId="2" borderId="35" xfId="0" applyFill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 vertical="center"/>
    </xf>
    <xf numFmtId="1" fontId="4" fillId="0" borderId="34" xfId="0" applyNumberFormat="1" applyFont="1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5" fillId="0" borderId="0" xfId="0" applyFont="1" applyAlignment="1">
      <alignment horizontal="center" vertical="center"/>
    </xf>
    <xf numFmtId="14" fontId="5" fillId="0" borderId="0" xfId="0" applyNumberFormat="1" applyFont="1" applyAlignment="1">
      <alignment horizontal="center" vertical="center"/>
    </xf>
    <xf numFmtId="169" fontId="0" fillId="0" borderId="0" xfId="0" applyNumberFormat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/>
    </xf>
    <xf numFmtId="0" fontId="2" fillId="5" borderId="1" xfId="0" applyFont="1" applyFill="1" applyBorder="1" applyAlignment="1">
      <alignment horizontal="center" vertical="center" wrapText="1"/>
    </xf>
    <xf numFmtId="1" fontId="0" fillId="0" borderId="0" xfId="0" applyNumberFormat="1"/>
    <xf numFmtId="0" fontId="2" fillId="8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/>
    </xf>
    <xf numFmtId="0" fontId="0" fillId="2" borderId="31" xfId="0" applyFill="1" applyBorder="1" applyAlignment="1">
      <alignment horizontal="center" vertical="center"/>
    </xf>
    <xf numFmtId="0" fontId="0" fillId="3" borderId="40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3" borderId="35" xfId="0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2" fillId="7" borderId="4" xfId="0" applyFont="1" applyFill="1" applyBorder="1" applyAlignment="1">
      <alignment horizontal="center" vertical="center"/>
    </xf>
    <xf numFmtId="0" fontId="2" fillId="8" borderId="3" xfId="0" applyFont="1" applyFill="1" applyBorder="1" applyAlignment="1">
      <alignment horizontal="center" vertical="center"/>
    </xf>
    <xf numFmtId="0" fontId="2" fillId="8" borderId="11" xfId="0" applyFont="1" applyFill="1" applyBorder="1" applyAlignment="1">
      <alignment horizontal="center" vertical="center" wrapText="1"/>
    </xf>
    <xf numFmtId="0" fontId="2" fillId="8" borderId="11" xfId="0" applyFont="1" applyFill="1" applyBorder="1" applyAlignment="1">
      <alignment horizontal="center" vertical="center"/>
    </xf>
    <xf numFmtId="0" fontId="2" fillId="8" borderId="3" xfId="0" applyFont="1" applyFill="1" applyBorder="1" applyAlignment="1">
      <alignment horizontal="center" vertical="center" wrapText="1"/>
    </xf>
    <xf numFmtId="168" fontId="4" fillId="0" borderId="3" xfId="0" applyNumberFormat="1" applyFont="1" applyBorder="1" applyAlignment="1">
      <alignment horizontal="center" vertical="center"/>
    </xf>
    <xf numFmtId="0" fontId="2" fillId="9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/>
    </xf>
    <xf numFmtId="0" fontId="0" fillId="2" borderId="23" xfId="0" applyFill="1" applyBorder="1"/>
    <xf numFmtId="0" fontId="2" fillId="74" borderId="6" xfId="0" applyFont="1" applyFill="1" applyBorder="1" applyAlignment="1">
      <alignment horizontal="center" vertical="center" wrapText="1"/>
    </xf>
    <xf numFmtId="0" fontId="2" fillId="74" borderId="6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51" fillId="0" borderId="0" xfId="0" applyFont="1" applyAlignment="1">
      <alignment horizontal="center" vertical="center"/>
    </xf>
    <xf numFmtId="0" fontId="0" fillId="8" borderId="3" xfId="0" applyFill="1" applyBorder="1" applyAlignment="1">
      <alignment horizontal="center" vertical="center" wrapText="1"/>
    </xf>
    <xf numFmtId="0" fontId="52" fillId="0" borderId="0" xfId="0" applyFont="1"/>
    <xf numFmtId="0" fontId="2" fillId="75" borderId="3" xfId="0" applyFont="1" applyFill="1" applyBorder="1" applyAlignment="1">
      <alignment horizontal="center" vertical="center" wrapText="1"/>
    </xf>
    <xf numFmtId="0" fontId="0" fillId="75" borderId="1" xfId="0" applyFill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2" fillId="74" borderId="4" xfId="0" applyFont="1" applyFill="1" applyBorder="1" applyAlignment="1">
      <alignment horizontal="center" vertical="center" wrapText="1"/>
    </xf>
    <xf numFmtId="0" fontId="2" fillId="74" borderId="4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/>
    </xf>
    <xf numFmtId="0" fontId="2" fillId="76" borderId="11" xfId="0" applyFont="1" applyFill="1" applyBorder="1" applyAlignment="1">
      <alignment horizontal="center" vertical="center" wrapText="1"/>
    </xf>
    <xf numFmtId="0" fontId="2" fillId="76" borderId="11" xfId="0" applyFont="1" applyFill="1" applyBorder="1" applyAlignment="1">
      <alignment horizontal="center" vertical="center"/>
    </xf>
    <xf numFmtId="0" fontId="2" fillId="76" borderId="39" xfId="0" applyFont="1" applyFill="1" applyBorder="1" applyAlignment="1">
      <alignment horizontal="center" vertical="center" wrapText="1"/>
    </xf>
    <xf numFmtId="0" fontId="2" fillId="76" borderId="39" xfId="0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2" fillId="76" borderId="3" xfId="0" applyFont="1" applyFill="1" applyBorder="1" applyAlignment="1">
      <alignment horizontal="center" vertical="center" wrapText="1"/>
    </xf>
    <xf numFmtId="0" fontId="2" fillId="76" borderId="3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77" borderId="3" xfId="0" applyFont="1" applyFill="1" applyBorder="1" applyAlignment="1">
      <alignment horizontal="center" vertical="center" wrapText="1"/>
    </xf>
    <xf numFmtId="0" fontId="2" fillId="77" borderId="3" xfId="0" applyFont="1" applyFill="1" applyBorder="1" applyAlignment="1">
      <alignment horizontal="center" vertical="center"/>
    </xf>
    <xf numFmtId="0" fontId="2" fillId="77" borderId="1" xfId="0" applyFont="1" applyFill="1" applyBorder="1" applyAlignment="1">
      <alignment horizontal="center" vertical="center" wrapText="1"/>
    </xf>
    <xf numFmtId="0" fontId="2" fillId="77" borderId="1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4" fillId="0" borderId="0" xfId="0" applyFont="1"/>
    <xf numFmtId="0" fontId="3" fillId="0" borderId="0" xfId="0" applyFont="1" applyAlignment="1">
      <alignment wrapText="1"/>
    </xf>
    <xf numFmtId="0" fontId="2" fillId="75" borderId="1" xfId="0" applyFont="1" applyFill="1" applyBorder="1" applyAlignment="1">
      <alignment horizontal="center" vertical="center" wrapText="1"/>
    </xf>
    <xf numFmtId="171" fontId="0" fillId="0" borderId="1" xfId="0" applyNumberFormat="1" applyBorder="1" applyAlignment="1">
      <alignment horizontal="center" vertical="center"/>
    </xf>
    <xf numFmtId="171" fontId="0" fillId="2" borderId="8" xfId="0" applyNumberFormat="1" applyFill="1" applyBorder="1" applyAlignment="1">
      <alignment horizontal="center" vertical="center"/>
    </xf>
    <xf numFmtId="171" fontId="0" fillId="2" borderId="9" xfId="0" applyNumberFormat="1" applyFill="1" applyBorder="1" applyAlignment="1">
      <alignment horizontal="center" vertical="center"/>
    </xf>
    <xf numFmtId="171" fontId="0" fillId="3" borderId="8" xfId="0" applyNumberFormat="1" applyFill="1" applyBorder="1" applyAlignment="1">
      <alignment horizontal="center" vertical="center"/>
    </xf>
    <xf numFmtId="171" fontId="0" fillId="3" borderId="9" xfId="0" applyNumberFormat="1" applyFill="1" applyBorder="1" applyAlignment="1">
      <alignment horizontal="center" vertical="center"/>
    </xf>
    <xf numFmtId="170" fontId="0" fillId="2" borderId="5" xfId="0" applyNumberFormat="1" applyFill="1" applyBorder="1" applyAlignment="1">
      <alignment horizontal="center" vertical="center"/>
    </xf>
    <xf numFmtId="170" fontId="0" fillId="2" borderId="7" xfId="0" applyNumberFormat="1" applyFill="1" applyBorder="1" applyAlignment="1">
      <alignment horizontal="center" vertical="center"/>
    </xf>
    <xf numFmtId="170" fontId="0" fillId="3" borderId="8" xfId="0" applyNumberFormat="1" applyFill="1" applyBorder="1" applyAlignment="1">
      <alignment horizontal="center" vertical="center"/>
    </xf>
    <xf numFmtId="170" fontId="0" fillId="3" borderId="9" xfId="0" applyNumberFormat="1" applyFill="1" applyBorder="1" applyAlignment="1">
      <alignment horizontal="center" vertical="center"/>
    </xf>
    <xf numFmtId="170" fontId="0" fillId="3" borderId="37" xfId="0" applyNumberFormat="1" applyFill="1" applyBorder="1" applyAlignment="1">
      <alignment horizontal="center" vertical="center"/>
    </xf>
    <xf numFmtId="170" fontId="0" fillId="2" borderId="8" xfId="0" applyNumberFormat="1" applyFill="1" applyBorder="1" applyAlignment="1">
      <alignment horizontal="center" vertical="center"/>
    </xf>
    <xf numFmtId="170" fontId="0" fillId="2" borderId="9" xfId="0" applyNumberFormat="1" applyFill="1" applyBorder="1" applyAlignment="1">
      <alignment horizontal="center" vertical="center"/>
    </xf>
    <xf numFmtId="170" fontId="0" fillId="2" borderId="22" xfId="0" applyNumberFormat="1" applyFill="1" applyBorder="1" applyAlignment="1">
      <alignment horizontal="center" vertical="center"/>
    </xf>
    <xf numFmtId="170" fontId="0" fillId="2" borderId="34" xfId="0" applyNumberFormat="1" applyFill="1" applyBorder="1" applyAlignment="1">
      <alignment horizontal="center" vertical="center"/>
    </xf>
    <xf numFmtId="170" fontId="0" fillId="3" borderId="22" xfId="0" applyNumberFormat="1" applyFill="1" applyBorder="1" applyAlignment="1">
      <alignment horizontal="center" vertical="center"/>
    </xf>
    <xf numFmtId="170" fontId="0" fillId="3" borderId="34" xfId="0" applyNumberFormat="1" applyFill="1" applyBorder="1" applyAlignment="1">
      <alignment horizontal="center" vertical="center"/>
    </xf>
    <xf numFmtId="170" fontId="0" fillId="3" borderId="14" xfId="0" applyNumberFormat="1" applyFill="1" applyBorder="1" applyAlignment="1">
      <alignment horizontal="center" vertical="center"/>
    </xf>
    <xf numFmtId="170" fontId="0" fillId="3" borderId="42" xfId="0" applyNumberFormat="1" applyFill="1" applyBorder="1" applyAlignment="1">
      <alignment horizontal="center" vertical="center"/>
    </xf>
    <xf numFmtId="170" fontId="0" fillId="2" borderId="41" xfId="0" applyNumberFormat="1" applyFill="1" applyBorder="1" applyAlignment="1">
      <alignment horizontal="center" vertical="center"/>
    </xf>
    <xf numFmtId="170" fontId="0" fillId="3" borderId="13" xfId="0" applyNumberFormat="1" applyFill="1" applyBorder="1" applyAlignment="1">
      <alignment horizontal="center" vertical="center"/>
    </xf>
    <xf numFmtId="170" fontId="0" fillId="2" borderId="13" xfId="0" applyNumberFormat="1" applyFill="1" applyBorder="1" applyAlignment="1">
      <alignment horizontal="center" vertical="center"/>
    </xf>
    <xf numFmtId="171" fontId="0" fillId="2" borderId="5" xfId="0" applyNumberFormat="1" applyFill="1" applyBorder="1" applyAlignment="1">
      <alignment horizontal="center" vertical="center"/>
    </xf>
    <xf numFmtId="171" fontId="0" fillId="2" borderId="6" xfId="0" applyNumberFormat="1" applyFill="1" applyBorder="1" applyAlignment="1">
      <alignment horizontal="center" vertical="center"/>
    </xf>
    <xf numFmtId="171" fontId="0" fillId="2" borderId="7" xfId="0" applyNumberFormat="1" applyFill="1" applyBorder="1" applyAlignment="1">
      <alignment horizontal="center" vertical="center"/>
    </xf>
    <xf numFmtId="171" fontId="0" fillId="2" borderId="32" xfId="0" applyNumberFormat="1" applyFill="1" applyBorder="1" applyAlignment="1">
      <alignment horizontal="center" vertical="center"/>
    </xf>
    <xf numFmtId="171" fontId="0" fillId="3" borderId="1" xfId="0" applyNumberFormat="1" applyFill="1" applyBorder="1" applyAlignment="1">
      <alignment horizontal="center" vertical="center"/>
    </xf>
    <xf numFmtId="171" fontId="0" fillId="3" borderId="21" xfId="0" applyNumberFormat="1" applyFill="1" applyBorder="1" applyAlignment="1">
      <alignment horizontal="center" vertical="center"/>
    </xf>
    <xf numFmtId="171" fontId="0" fillId="2" borderId="1" xfId="0" applyNumberFormat="1" applyFill="1" applyBorder="1" applyAlignment="1">
      <alignment horizontal="center" vertical="center"/>
    </xf>
    <xf numFmtId="171" fontId="0" fillId="2" borderId="21" xfId="0" applyNumberFormat="1" applyFill="1" applyBorder="1" applyAlignment="1">
      <alignment horizontal="center" vertical="center"/>
    </xf>
    <xf numFmtId="171" fontId="0" fillId="0" borderId="1" xfId="0" applyNumberFormat="1" applyBorder="1" applyAlignment="1">
      <alignment horizontal="center"/>
    </xf>
    <xf numFmtId="171" fontId="0" fillId="0" borderId="9" xfId="0" applyNumberFormat="1" applyBorder="1" applyAlignment="1">
      <alignment horizontal="center"/>
    </xf>
    <xf numFmtId="171" fontId="0" fillId="0" borderId="11" xfId="0" applyNumberFormat="1" applyBorder="1" applyAlignment="1">
      <alignment horizontal="center"/>
    </xf>
    <xf numFmtId="171" fontId="0" fillId="0" borderId="11" xfId="0" applyNumberFormat="1" applyBorder="1" applyAlignment="1">
      <alignment horizontal="center" vertical="center"/>
    </xf>
    <xf numFmtId="171" fontId="0" fillId="0" borderId="12" xfId="0" applyNumberFormat="1" applyBorder="1" applyAlignment="1">
      <alignment horizontal="center"/>
    </xf>
    <xf numFmtId="171" fontId="0" fillId="0" borderId="4" xfId="0" applyNumberFormat="1" applyBorder="1" applyAlignment="1">
      <alignment horizontal="center" vertical="center"/>
    </xf>
    <xf numFmtId="171" fontId="0" fillId="0" borderId="4" xfId="0" applyNumberFormat="1" applyBorder="1" applyAlignment="1">
      <alignment horizontal="center"/>
    </xf>
    <xf numFmtId="171" fontId="0" fillId="0" borderId="43" xfId="0" applyNumberFormat="1" applyBorder="1" applyAlignment="1">
      <alignment horizont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31" xfId="0" applyBorder="1" applyAlignment="1">
      <alignment horizontal="left" vertical="center"/>
    </xf>
    <xf numFmtId="0" fontId="0" fillId="0" borderId="33" xfId="0" applyBorder="1" applyAlignment="1">
      <alignment horizontal="left" vertical="center"/>
    </xf>
    <xf numFmtId="0" fontId="0" fillId="0" borderId="64" xfId="0" applyBorder="1" applyAlignment="1">
      <alignment horizontal="center" vertical="center"/>
    </xf>
    <xf numFmtId="171" fontId="0" fillId="0" borderId="65" xfId="0" applyNumberFormat="1" applyBorder="1" applyAlignment="1">
      <alignment horizontal="center" vertical="center"/>
    </xf>
    <xf numFmtId="171" fontId="0" fillId="0" borderId="43" xfId="0" applyNumberFormat="1" applyBorder="1" applyAlignment="1">
      <alignment horizontal="center" vertical="center"/>
    </xf>
    <xf numFmtId="171" fontId="0" fillId="0" borderId="8" xfId="0" applyNumberFormat="1" applyBorder="1" applyAlignment="1">
      <alignment horizontal="center"/>
    </xf>
    <xf numFmtId="171" fontId="0" fillId="0" borderId="9" xfId="0" applyNumberFormat="1" applyBorder="1" applyAlignment="1">
      <alignment horizontal="center" vertical="center"/>
    </xf>
    <xf numFmtId="171" fontId="0" fillId="0" borderId="10" xfId="0" applyNumberFormat="1" applyBorder="1" applyAlignment="1">
      <alignment horizontal="center"/>
    </xf>
    <xf numFmtId="171" fontId="0" fillId="0" borderId="12" xfId="0" applyNumberFormat="1" applyBorder="1" applyAlignment="1">
      <alignment horizontal="center" vertical="center"/>
    </xf>
    <xf numFmtId="171" fontId="0" fillId="0" borderId="16" xfId="0" applyNumberFormat="1" applyBorder="1" applyAlignment="1">
      <alignment horizontal="center"/>
    </xf>
    <xf numFmtId="171" fontId="0" fillId="0" borderId="21" xfId="0" applyNumberFormat="1" applyBorder="1" applyAlignment="1">
      <alignment horizontal="center"/>
    </xf>
    <xf numFmtId="171" fontId="0" fillId="0" borderId="64" xfId="0" applyNumberFormat="1" applyBorder="1" applyAlignment="1">
      <alignment horizontal="center"/>
    </xf>
    <xf numFmtId="171" fontId="0" fillId="0" borderId="8" xfId="0" applyNumberFormat="1" applyBorder="1" applyAlignment="1">
      <alignment horizontal="center" vertical="center"/>
    </xf>
    <xf numFmtId="171" fontId="0" fillId="0" borderId="10" xfId="0" applyNumberFormat="1" applyBorder="1" applyAlignment="1">
      <alignment horizontal="center" vertical="center"/>
    </xf>
    <xf numFmtId="171" fontId="0" fillId="0" borderId="65" xfId="0" applyNumberFormat="1" applyBorder="1" applyAlignment="1">
      <alignment horizontal="center"/>
    </xf>
    <xf numFmtId="176" fontId="2" fillId="74" borderId="6" xfId="0" applyNumberFormat="1" applyFont="1" applyFill="1" applyBorder="1" applyAlignment="1">
      <alignment horizontal="center" vertical="center"/>
    </xf>
    <xf numFmtId="176" fontId="2" fillId="5" borderId="1" xfId="0" applyNumberFormat="1" applyFont="1" applyFill="1" applyBorder="1" applyAlignment="1">
      <alignment horizontal="center" vertical="center"/>
    </xf>
    <xf numFmtId="176" fontId="2" fillId="6" borderId="1" xfId="0" applyNumberFormat="1" applyFont="1" applyFill="1" applyBorder="1" applyAlignment="1">
      <alignment horizontal="center" vertical="center"/>
    </xf>
    <xf numFmtId="176" fontId="2" fillId="7" borderId="1" xfId="0" applyNumberFormat="1" applyFont="1" applyFill="1" applyBorder="1" applyAlignment="1">
      <alignment horizontal="center" vertical="center"/>
    </xf>
    <xf numFmtId="176" fontId="2" fillId="8" borderId="1" xfId="0" applyNumberFormat="1" applyFont="1" applyFill="1" applyBorder="1" applyAlignment="1">
      <alignment horizontal="center" vertical="center"/>
    </xf>
    <xf numFmtId="176" fontId="2" fillId="9" borderId="1" xfId="0" applyNumberFormat="1" applyFont="1" applyFill="1" applyBorder="1" applyAlignment="1">
      <alignment horizontal="center" vertical="center"/>
    </xf>
    <xf numFmtId="176" fontId="2" fillId="10" borderId="1" xfId="0" applyNumberFormat="1" applyFont="1" applyFill="1" applyBorder="1" applyAlignment="1">
      <alignment horizontal="center" vertical="center"/>
    </xf>
    <xf numFmtId="176" fontId="2" fillId="77" borderId="3" xfId="0" applyNumberFormat="1" applyFont="1" applyFill="1" applyBorder="1" applyAlignment="1">
      <alignment horizontal="center" vertical="center"/>
    </xf>
    <xf numFmtId="176" fontId="2" fillId="76" borderId="11" xfId="0" applyNumberFormat="1" applyFont="1" applyFill="1" applyBorder="1" applyAlignment="1">
      <alignment horizontal="center" vertical="center"/>
    </xf>
    <xf numFmtId="176" fontId="2" fillId="74" borderId="4" xfId="0" applyNumberFormat="1" applyFont="1" applyFill="1" applyBorder="1" applyAlignment="1">
      <alignment horizontal="center" vertical="center"/>
    </xf>
    <xf numFmtId="176" fontId="2" fillId="7" borderId="4" xfId="0" applyNumberFormat="1" applyFont="1" applyFill="1" applyBorder="1" applyAlignment="1">
      <alignment horizontal="center" vertical="center"/>
    </xf>
    <xf numFmtId="176" fontId="0" fillId="8" borderId="1" xfId="0" applyNumberFormat="1" applyFill="1" applyBorder="1" applyAlignment="1">
      <alignment horizontal="center" vertical="center"/>
    </xf>
    <xf numFmtId="176" fontId="0" fillId="8" borderId="3" xfId="0" applyNumberFormat="1" applyFill="1" applyBorder="1" applyAlignment="1">
      <alignment horizontal="center" vertical="center"/>
    </xf>
    <xf numFmtId="176" fontId="0" fillId="75" borderId="1" xfId="0" applyNumberFormat="1" applyFill="1" applyBorder="1" applyAlignment="1">
      <alignment horizontal="center" vertical="center"/>
    </xf>
    <xf numFmtId="176" fontId="2" fillId="76" borderId="39" xfId="0" applyNumberFormat="1" applyFont="1" applyFill="1" applyBorder="1" applyAlignment="1">
      <alignment horizontal="center" vertical="center"/>
    </xf>
    <xf numFmtId="176" fontId="2" fillId="9" borderId="3" xfId="0" applyNumberFormat="1" applyFont="1" applyFill="1" applyBorder="1" applyAlignment="1">
      <alignment horizontal="center" vertical="center"/>
    </xf>
    <xf numFmtId="176" fontId="2" fillId="77" borderId="1" xfId="0" applyNumberFormat="1" applyFont="1" applyFill="1" applyBorder="1" applyAlignment="1">
      <alignment horizontal="center" vertical="center"/>
    </xf>
    <xf numFmtId="176" fontId="2" fillId="8" borderId="11" xfId="0" applyNumberFormat="1" applyFont="1" applyFill="1" applyBorder="1" applyAlignment="1">
      <alignment horizontal="center" vertical="center"/>
    </xf>
    <xf numFmtId="176" fontId="0" fillId="75" borderId="3" xfId="0" applyNumberFormat="1" applyFill="1" applyBorder="1" applyAlignment="1">
      <alignment horizontal="center" vertical="center"/>
    </xf>
    <xf numFmtId="176" fontId="2" fillId="0" borderId="0" xfId="0" applyNumberFormat="1" applyFont="1"/>
    <xf numFmtId="176" fontId="2" fillId="74" borderId="6" xfId="780" applyNumberFormat="1" applyFont="1" applyFill="1" applyBorder="1" applyAlignment="1">
      <alignment horizontal="center" vertical="center"/>
    </xf>
    <xf numFmtId="176" fontId="2" fillId="5" borderId="1" xfId="780" applyNumberFormat="1" applyFont="1" applyFill="1" applyBorder="1" applyAlignment="1">
      <alignment horizontal="center" vertical="center"/>
    </xf>
    <xf numFmtId="176" fontId="2" fillId="6" borderId="1" xfId="780" applyNumberFormat="1" applyFont="1" applyFill="1" applyBorder="1" applyAlignment="1">
      <alignment horizontal="center" vertical="center"/>
    </xf>
    <xf numFmtId="176" fontId="2" fillId="7" borderId="1" xfId="780" applyNumberFormat="1" applyFont="1" applyFill="1" applyBorder="1" applyAlignment="1">
      <alignment horizontal="center" vertical="center"/>
    </xf>
    <xf numFmtId="176" fontId="2" fillId="8" borderId="1" xfId="780" applyNumberFormat="1" applyFont="1" applyFill="1" applyBorder="1" applyAlignment="1">
      <alignment horizontal="center" vertical="center"/>
    </xf>
    <xf numFmtId="176" fontId="2" fillId="9" borderId="1" xfId="780" applyNumberFormat="1" applyFont="1" applyFill="1" applyBorder="1" applyAlignment="1">
      <alignment horizontal="center" vertical="center"/>
    </xf>
    <xf numFmtId="176" fontId="2" fillId="10" borderId="1" xfId="780" applyNumberFormat="1" applyFont="1" applyFill="1" applyBorder="1" applyAlignment="1">
      <alignment horizontal="center" vertical="center"/>
    </xf>
    <xf numFmtId="176" fontId="2" fillId="77" borderId="3" xfId="780" applyNumberFormat="1" applyFont="1" applyFill="1" applyBorder="1" applyAlignment="1">
      <alignment horizontal="center" vertical="center"/>
    </xf>
    <xf numFmtId="176" fontId="2" fillId="76" borderId="11" xfId="780" applyNumberFormat="1" applyFont="1" applyFill="1" applyBorder="1" applyAlignment="1">
      <alignment horizontal="center" vertical="center"/>
    </xf>
    <xf numFmtId="176" fontId="2" fillId="7" borderId="4" xfId="780" applyNumberFormat="1" applyFont="1" applyFill="1" applyBorder="1" applyAlignment="1">
      <alignment horizontal="center" vertical="center"/>
    </xf>
    <xf numFmtId="176" fontId="0" fillId="8" borderId="1" xfId="780" applyNumberFormat="1" applyFont="1" applyFill="1" applyBorder="1" applyAlignment="1">
      <alignment horizontal="center" vertical="center"/>
    </xf>
    <xf numFmtId="176" fontId="0" fillId="8" borderId="3" xfId="780" applyNumberFormat="1" applyFont="1" applyFill="1" applyBorder="1" applyAlignment="1">
      <alignment horizontal="center" vertical="center"/>
    </xf>
    <xf numFmtId="176" fontId="0" fillId="75" borderId="1" xfId="780" applyNumberFormat="1" applyFont="1" applyFill="1" applyBorder="1" applyAlignment="1">
      <alignment horizontal="center" vertical="center"/>
    </xf>
    <xf numFmtId="176" fontId="2" fillId="76" borderId="39" xfId="780" applyNumberFormat="1" applyFont="1" applyFill="1" applyBorder="1" applyAlignment="1">
      <alignment horizontal="center" vertical="center"/>
    </xf>
    <xf numFmtId="176" fontId="2" fillId="9" borderId="3" xfId="780" applyNumberFormat="1" applyFont="1" applyFill="1" applyBorder="1" applyAlignment="1">
      <alignment horizontal="center" vertical="center"/>
    </xf>
    <xf numFmtId="176" fontId="2" fillId="77" borderId="1" xfId="780" applyNumberFormat="1" applyFont="1" applyFill="1" applyBorder="1" applyAlignment="1">
      <alignment horizontal="center" vertical="center"/>
    </xf>
    <xf numFmtId="176" fontId="2" fillId="8" borderId="11" xfId="780" applyNumberFormat="1" applyFont="1" applyFill="1" applyBorder="1" applyAlignment="1">
      <alignment horizontal="center" vertical="center"/>
    </xf>
    <xf numFmtId="176" fontId="0" fillId="75" borderId="3" xfId="780" applyNumberFormat="1" applyFont="1" applyFill="1" applyBorder="1" applyAlignment="1">
      <alignment horizontal="center" vertical="center"/>
    </xf>
    <xf numFmtId="176" fontId="2" fillId="0" borderId="0" xfId="780" applyNumberFormat="1" applyFont="1"/>
    <xf numFmtId="175" fontId="0" fillId="0" borderId="1" xfId="0" applyNumberFormat="1" applyBorder="1" applyAlignment="1">
      <alignment horizontal="center" vertical="center"/>
    </xf>
    <xf numFmtId="175" fontId="0" fillId="0" borderId="0" xfId="0" applyNumberFormat="1" applyAlignment="1">
      <alignment horizontal="center" vertical="center"/>
    </xf>
    <xf numFmtId="175" fontId="0" fillId="0" borderId="1" xfId="780" applyNumberFormat="1" applyFont="1" applyBorder="1" applyAlignment="1">
      <alignment horizontal="center" vertical="center"/>
    </xf>
    <xf numFmtId="175" fontId="0" fillId="0" borderId="0" xfId="780" applyNumberFormat="1" applyFont="1" applyAlignment="1">
      <alignment horizontal="center" vertical="center"/>
    </xf>
    <xf numFmtId="176" fontId="2" fillId="74" borderId="1" xfId="780" applyNumberFormat="1" applyFont="1" applyFill="1" applyBorder="1" applyAlignment="1">
      <alignment horizontal="center" vertical="center"/>
    </xf>
    <xf numFmtId="176" fontId="0" fillId="74" borderId="6" xfId="0" applyNumberFormat="1" applyFill="1" applyBorder="1" applyAlignment="1">
      <alignment horizontal="center" vertical="center"/>
    </xf>
    <xf numFmtId="176" fontId="0" fillId="74" borderId="7" xfId="0" applyNumberFormat="1" applyFill="1" applyBorder="1" applyAlignment="1">
      <alignment horizontal="center" vertical="center"/>
    </xf>
    <xf numFmtId="176" fontId="2" fillId="5" borderId="9" xfId="0" applyNumberFormat="1" applyFont="1" applyFill="1" applyBorder="1" applyAlignment="1">
      <alignment horizontal="center" vertical="center"/>
    </xf>
    <xf numFmtId="176" fontId="2" fillId="6" borderId="9" xfId="0" applyNumberFormat="1" applyFont="1" applyFill="1" applyBorder="1" applyAlignment="1">
      <alignment horizontal="center" vertical="center"/>
    </xf>
    <xf numFmtId="176" fontId="2" fillId="7" borderId="9" xfId="0" applyNumberFormat="1" applyFont="1" applyFill="1" applyBorder="1" applyAlignment="1">
      <alignment horizontal="center" vertical="center"/>
    </xf>
    <xf numFmtId="176" fontId="2" fillId="8" borderId="9" xfId="0" applyNumberFormat="1" applyFont="1" applyFill="1" applyBorder="1" applyAlignment="1">
      <alignment horizontal="center" vertical="center"/>
    </xf>
    <xf numFmtId="176" fontId="2" fillId="9" borderId="9" xfId="0" applyNumberFormat="1" applyFont="1" applyFill="1" applyBorder="1" applyAlignment="1">
      <alignment horizontal="center" vertical="center"/>
    </xf>
    <xf numFmtId="176" fontId="2" fillId="10" borderId="9" xfId="0" applyNumberFormat="1" applyFont="1" applyFill="1" applyBorder="1" applyAlignment="1">
      <alignment horizontal="center" vertical="center"/>
    </xf>
    <xf numFmtId="176" fontId="2" fillId="77" borderId="34" xfId="0" applyNumberFormat="1" applyFont="1" applyFill="1" applyBorder="1" applyAlignment="1">
      <alignment horizontal="center" vertical="center"/>
    </xf>
    <xf numFmtId="176" fontId="2" fillId="76" borderId="12" xfId="0" applyNumberFormat="1" applyFont="1" applyFill="1" applyBorder="1" applyAlignment="1">
      <alignment horizontal="center" vertical="center"/>
    </xf>
    <xf numFmtId="176" fontId="0" fillId="74" borderId="4" xfId="0" applyNumberFormat="1" applyFill="1" applyBorder="1" applyAlignment="1">
      <alignment horizontal="center" vertical="center"/>
    </xf>
    <xf numFmtId="176" fontId="0" fillId="74" borderId="43" xfId="0" applyNumberFormat="1" applyFill="1" applyBorder="1" applyAlignment="1">
      <alignment horizontal="center" vertical="center"/>
    </xf>
    <xf numFmtId="176" fontId="2" fillId="7" borderId="43" xfId="0" applyNumberFormat="1" applyFont="1" applyFill="1" applyBorder="1" applyAlignment="1">
      <alignment horizontal="center" vertical="center"/>
    </xf>
    <xf numFmtId="176" fontId="0" fillId="8" borderId="9" xfId="0" applyNumberFormat="1" applyFill="1" applyBorder="1" applyAlignment="1">
      <alignment horizontal="center" vertical="center"/>
    </xf>
    <xf numFmtId="176" fontId="0" fillId="8" borderId="34" xfId="0" applyNumberFormat="1" applyFill="1" applyBorder="1" applyAlignment="1">
      <alignment horizontal="center" vertical="center"/>
    </xf>
    <xf numFmtId="176" fontId="0" fillId="75" borderId="34" xfId="0" applyNumberFormat="1" applyFill="1" applyBorder="1" applyAlignment="1">
      <alignment horizontal="center" vertical="center"/>
    </xf>
    <xf numFmtId="176" fontId="2" fillId="76" borderId="62" xfId="0" applyNumberFormat="1" applyFont="1" applyFill="1" applyBorder="1" applyAlignment="1">
      <alignment horizontal="center" vertical="center"/>
    </xf>
    <xf numFmtId="176" fontId="2" fillId="9" borderId="34" xfId="0" applyNumberFormat="1" applyFont="1" applyFill="1" applyBorder="1" applyAlignment="1">
      <alignment horizontal="center" vertical="center"/>
    </xf>
    <xf numFmtId="176" fontId="2" fillId="77" borderId="9" xfId="0" applyNumberFormat="1" applyFont="1" applyFill="1" applyBorder="1" applyAlignment="1">
      <alignment horizontal="center" vertical="center"/>
    </xf>
    <xf numFmtId="176" fontId="2" fillId="8" borderId="12" xfId="0" applyNumberFormat="1" applyFont="1" applyFill="1" applyBorder="1" applyAlignment="1">
      <alignment horizontal="center" vertical="center"/>
    </xf>
    <xf numFmtId="0" fontId="53" fillId="0" borderId="0" xfId="0" applyFont="1"/>
    <xf numFmtId="0" fontId="2" fillId="3" borderId="19" xfId="0" applyFont="1" applyFill="1" applyBorder="1" applyAlignment="1">
      <alignment vertical="center" wrapText="1"/>
    </xf>
    <xf numFmtId="0" fontId="2" fillId="4" borderId="19" xfId="0" applyFont="1" applyFill="1" applyBorder="1" applyAlignment="1">
      <alignment vertical="center" wrapText="1"/>
    </xf>
    <xf numFmtId="0" fontId="4" fillId="0" borderId="3" xfId="0" applyFont="1" applyBorder="1" applyAlignment="1">
      <alignment horizontal="center" vertical="center"/>
    </xf>
    <xf numFmtId="0" fontId="0" fillId="0" borderId="63" xfId="0" applyBorder="1" applyAlignment="1">
      <alignment horizontal="center" vertical="center"/>
    </xf>
    <xf numFmtId="0" fontId="0" fillId="0" borderId="67" xfId="0" applyBorder="1" applyAlignment="1">
      <alignment horizontal="center" vertical="center"/>
    </xf>
    <xf numFmtId="0" fontId="0" fillId="0" borderId="23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32" xfId="0" applyBorder="1" applyAlignment="1">
      <alignment vertical="center"/>
    </xf>
    <xf numFmtId="0" fontId="0" fillId="0" borderId="65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2" fillId="3" borderId="5" xfId="0" applyFont="1" applyFill="1" applyBorder="1" applyAlignment="1">
      <alignment vertical="center" wrapText="1"/>
    </xf>
    <xf numFmtId="0" fontId="2" fillId="4" borderId="5" xfId="0" applyFont="1" applyFill="1" applyBorder="1" applyAlignment="1">
      <alignment vertical="center" wrapText="1"/>
    </xf>
    <xf numFmtId="0" fontId="2" fillId="3" borderId="17" xfId="0" applyFont="1" applyFill="1" applyBorder="1" applyAlignment="1">
      <alignment vertical="center" wrapText="1"/>
    </xf>
    <xf numFmtId="0" fontId="4" fillId="0" borderId="3" xfId="780" applyNumberFormat="1" applyFont="1" applyBorder="1" applyAlignment="1">
      <alignment horizontal="center" vertical="center"/>
    </xf>
    <xf numFmtId="0" fontId="4" fillId="0" borderId="34" xfId="0" applyFont="1" applyBorder="1" applyAlignment="1">
      <alignment horizontal="center" vertical="center"/>
    </xf>
    <xf numFmtId="176" fontId="2" fillId="8" borderId="3" xfId="0" applyNumberFormat="1" applyFont="1" applyFill="1" applyBorder="1" applyAlignment="1">
      <alignment horizontal="center" vertical="center"/>
    </xf>
    <xf numFmtId="176" fontId="2" fillId="8" borderId="34" xfId="0" applyNumberFormat="1" applyFont="1" applyFill="1" applyBorder="1" applyAlignment="1">
      <alignment horizontal="center" vertical="center"/>
    </xf>
    <xf numFmtId="176" fontId="2" fillId="74" borderId="7" xfId="0" applyNumberFormat="1" applyFont="1" applyFill="1" applyBorder="1" applyAlignment="1">
      <alignment horizontal="center" vertical="center"/>
    </xf>
    <xf numFmtId="176" fontId="0" fillId="5" borderId="1" xfId="0" applyNumberFormat="1" applyFill="1" applyBorder="1" applyAlignment="1">
      <alignment horizontal="center" vertical="center"/>
    </xf>
    <xf numFmtId="176" fontId="0" fillId="5" borderId="9" xfId="0" applyNumberFormat="1" applyFill="1" applyBorder="1" applyAlignment="1">
      <alignment horizontal="center" vertical="center"/>
    </xf>
    <xf numFmtId="176" fontId="0" fillId="6" borderId="1" xfId="0" applyNumberFormat="1" applyFill="1" applyBorder="1" applyAlignment="1">
      <alignment horizontal="center" vertical="center"/>
    </xf>
    <xf numFmtId="176" fontId="0" fillId="6" borderId="9" xfId="0" applyNumberFormat="1" applyFill="1" applyBorder="1" applyAlignment="1">
      <alignment horizontal="center" vertical="center"/>
    </xf>
    <xf numFmtId="176" fontId="0" fillId="7" borderId="1" xfId="0" applyNumberFormat="1" applyFill="1" applyBorder="1" applyAlignment="1">
      <alignment horizontal="center" vertical="center"/>
    </xf>
    <xf numFmtId="176" fontId="0" fillId="7" borderId="9" xfId="0" applyNumberFormat="1" applyFill="1" applyBorder="1" applyAlignment="1">
      <alignment horizontal="center" vertical="center"/>
    </xf>
    <xf numFmtId="176" fontId="2" fillId="76" borderId="3" xfId="0" applyNumberFormat="1" applyFont="1" applyFill="1" applyBorder="1" applyAlignment="1">
      <alignment horizontal="center" vertical="center"/>
    </xf>
    <xf numFmtId="176" fontId="0" fillId="76" borderId="3" xfId="0" applyNumberFormat="1" applyFill="1" applyBorder="1" applyAlignment="1">
      <alignment horizontal="center" vertical="center"/>
    </xf>
    <xf numFmtId="176" fontId="0" fillId="76" borderId="34" xfId="0" applyNumberFormat="1" applyFill="1" applyBorder="1" applyAlignment="1">
      <alignment horizontal="center" vertical="center"/>
    </xf>
    <xf numFmtId="176" fontId="0" fillId="76" borderId="11" xfId="0" applyNumberFormat="1" applyFill="1" applyBorder="1" applyAlignment="1">
      <alignment horizontal="center" vertical="center"/>
    </xf>
    <xf numFmtId="176" fontId="0" fillId="76" borderId="12" xfId="0" applyNumberFormat="1" applyFill="1" applyBorder="1" applyAlignment="1">
      <alignment horizontal="center" vertical="center"/>
    </xf>
    <xf numFmtId="176" fontId="0" fillId="8" borderId="11" xfId="0" applyNumberFormat="1" applyFill="1" applyBorder="1" applyAlignment="1">
      <alignment horizontal="center" vertical="center"/>
    </xf>
    <xf numFmtId="176" fontId="0" fillId="8" borderId="12" xfId="0" applyNumberFormat="1" applyFill="1" applyBorder="1" applyAlignment="1">
      <alignment horizontal="center" vertical="center"/>
    </xf>
    <xf numFmtId="0" fontId="56" fillId="0" borderId="0" xfId="0" applyFont="1"/>
    <xf numFmtId="0" fontId="56" fillId="0" borderId="0" xfId="0" applyFont="1" applyAlignment="1">
      <alignment horizontal="left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66" xfId="0" applyBorder="1" applyAlignment="1">
      <alignment horizont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69" xfId="0" applyBorder="1" applyAlignment="1">
      <alignment horizontal="center" vertical="center"/>
    </xf>
    <xf numFmtId="0" fontId="0" fillId="0" borderId="70" xfId="0" applyBorder="1" applyAlignment="1">
      <alignment horizontal="center" vertical="center"/>
    </xf>
    <xf numFmtId="0" fontId="0" fillId="0" borderId="71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23" xfId="0" applyBorder="1" applyAlignment="1">
      <alignment horizontal="center"/>
    </xf>
    <xf numFmtId="0" fontId="0" fillId="0" borderId="68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26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0" xfId="0"/>
    <xf numFmtId="176" fontId="4" fillId="0" borderId="6" xfId="0" applyNumberFormat="1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14" fontId="5" fillId="0" borderId="63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76" fontId="4" fillId="0" borderId="72" xfId="0" applyNumberFormat="1" applyFont="1" applyBorder="1" applyAlignment="1">
      <alignment horizontal="center" vertical="center"/>
    </xf>
    <xf numFmtId="176" fontId="4" fillId="0" borderId="25" xfId="0" applyNumberFormat="1" applyFont="1" applyBorder="1" applyAlignment="1">
      <alignment horizontal="center" vertical="center"/>
    </xf>
    <xf numFmtId="14" fontId="5" fillId="0" borderId="0" xfId="0" applyNumberFormat="1" applyFont="1" applyAlignment="1">
      <alignment horizontal="center" vertical="center"/>
    </xf>
    <xf numFmtId="0" fontId="2" fillId="3" borderId="19" xfId="0" applyFont="1" applyFill="1" applyBorder="1" applyAlignment="1">
      <alignment horizontal="center" vertical="center" wrapText="1"/>
    </xf>
    <xf numFmtId="0" fontId="2" fillId="3" borderId="17" xfId="0" applyFont="1" applyFill="1" applyBorder="1" applyAlignment="1">
      <alignment horizontal="center" vertical="center" wrapText="1"/>
    </xf>
    <xf numFmtId="0" fontId="2" fillId="3" borderId="38" xfId="0" applyFont="1" applyFill="1" applyBorder="1" applyAlignment="1">
      <alignment horizontal="center" vertical="center" wrapText="1"/>
    </xf>
    <xf numFmtId="0" fontId="2" fillId="4" borderId="19" xfId="0" applyFont="1" applyFill="1" applyBorder="1" applyAlignment="1">
      <alignment horizontal="center" vertical="center" wrapText="1"/>
    </xf>
    <xf numFmtId="0" fontId="2" fillId="4" borderId="17" xfId="0" applyFont="1" applyFill="1" applyBorder="1" applyAlignment="1">
      <alignment horizontal="center" vertical="center" wrapText="1"/>
    </xf>
    <xf numFmtId="0" fontId="2" fillId="4" borderId="38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2" fillId="4" borderId="5" xfId="0" applyFont="1" applyFill="1" applyBorder="1" applyAlignment="1">
      <alignment horizontal="center" vertical="center" wrapText="1"/>
    </xf>
    <xf numFmtId="0" fontId="2" fillId="4" borderId="8" xfId="0" applyFont="1" applyFill="1" applyBorder="1" applyAlignment="1">
      <alignment horizontal="center" vertical="center" wrapText="1"/>
    </xf>
    <xf numFmtId="0" fontId="2" fillId="4" borderId="10" xfId="0" applyFont="1" applyFill="1" applyBorder="1" applyAlignment="1">
      <alignment horizontal="center" vertical="center" wrapText="1"/>
    </xf>
    <xf numFmtId="166" fontId="4" fillId="0" borderId="6" xfId="0" applyNumberFormat="1" applyFont="1" applyBorder="1" applyAlignment="1">
      <alignment horizontal="center" vertical="center"/>
    </xf>
    <xf numFmtId="164" fontId="4" fillId="0" borderId="6" xfId="0" applyNumberFormat="1" applyFont="1" applyBorder="1" applyAlignment="1">
      <alignment horizontal="center" vertical="center"/>
    </xf>
    <xf numFmtId="164" fontId="4" fillId="0" borderId="7" xfId="0" applyNumberFormat="1" applyFont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2" fillId="3" borderId="22" xfId="0" applyFont="1" applyFill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2" fillId="4" borderId="22" xfId="0" applyFont="1" applyFill="1" applyBorder="1" applyAlignment="1">
      <alignment horizontal="center" vertical="center" wrapText="1"/>
    </xf>
    <xf numFmtId="167" fontId="4" fillId="0" borderId="6" xfId="0" applyNumberFormat="1" applyFont="1" applyBorder="1" applyAlignment="1">
      <alignment horizontal="center" vertical="center"/>
    </xf>
  </cellXfs>
  <cellStyles count="781">
    <cellStyle name="20% - Accent1" xfId="32" xr:uid="{00000000-0005-0000-0000-000000000000}"/>
    <cellStyle name="20% - Accent2" xfId="33" xr:uid="{00000000-0005-0000-0000-000001000000}"/>
    <cellStyle name="20% - Accent3" xfId="34" xr:uid="{00000000-0005-0000-0000-000002000000}"/>
    <cellStyle name="20% - Accent4" xfId="35" xr:uid="{00000000-0005-0000-0000-000003000000}"/>
    <cellStyle name="20% - Accent5" xfId="36" xr:uid="{00000000-0005-0000-0000-000004000000}"/>
    <cellStyle name="20% - Accent6" xfId="37" xr:uid="{00000000-0005-0000-0000-000005000000}"/>
    <cellStyle name="40% - Accent1" xfId="38" xr:uid="{00000000-0005-0000-0000-000006000000}"/>
    <cellStyle name="40% - Accent2" xfId="39" xr:uid="{00000000-0005-0000-0000-000007000000}"/>
    <cellStyle name="40% - Accent3" xfId="40" xr:uid="{00000000-0005-0000-0000-000008000000}"/>
    <cellStyle name="40% - Accent4" xfId="41" xr:uid="{00000000-0005-0000-0000-000009000000}"/>
    <cellStyle name="40% - Accent5" xfId="42" xr:uid="{00000000-0005-0000-0000-00000A000000}"/>
    <cellStyle name="40% - Accent6" xfId="43" xr:uid="{00000000-0005-0000-0000-00000B000000}"/>
    <cellStyle name="60% - Accent1" xfId="44" xr:uid="{00000000-0005-0000-0000-00000C000000}"/>
    <cellStyle name="60% - Accent2" xfId="45" xr:uid="{00000000-0005-0000-0000-00000D000000}"/>
    <cellStyle name="60% - Accent3" xfId="46" xr:uid="{00000000-0005-0000-0000-00000E000000}"/>
    <cellStyle name="60% - Accent4" xfId="47" xr:uid="{00000000-0005-0000-0000-00000F000000}"/>
    <cellStyle name="60% - Accent5" xfId="48" xr:uid="{00000000-0005-0000-0000-000010000000}"/>
    <cellStyle name="60% - Accent6" xfId="49" xr:uid="{00000000-0005-0000-0000-000011000000}"/>
    <cellStyle name="Accent1" xfId="50" xr:uid="{00000000-0005-0000-0000-000012000000}"/>
    <cellStyle name="Accent1 - 20%" xfId="51" xr:uid="{00000000-0005-0000-0000-000013000000}"/>
    <cellStyle name="Accent1 - 20% 2" xfId="52" xr:uid="{00000000-0005-0000-0000-000014000000}"/>
    <cellStyle name="Accent1 - 40%" xfId="53" xr:uid="{00000000-0005-0000-0000-000015000000}"/>
    <cellStyle name="Accent1 - 40% 2" xfId="54" xr:uid="{00000000-0005-0000-0000-000016000000}"/>
    <cellStyle name="Accent1 - 60%" xfId="55" xr:uid="{00000000-0005-0000-0000-000017000000}"/>
    <cellStyle name="Accent1 - 60% 2" xfId="56" xr:uid="{00000000-0005-0000-0000-000018000000}"/>
    <cellStyle name="Accent2" xfId="57" xr:uid="{00000000-0005-0000-0000-000019000000}"/>
    <cellStyle name="Accent2 - 20%" xfId="58" xr:uid="{00000000-0005-0000-0000-00001A000000}"/>
    <cellStyle name="Accent2 - 20% 2" xfId="59" xr:uid="{00000000-0005-0000-0000-00001B000000}"/>
    <cellStyle name="Accent2 - 40%" xfId="60" xr:uid="{00000000-0005-0000-0000-00001C000000}"/>
    <cellStyle name="Accent2 - 40% 2" xfId="61" xr:uid="{00000000-0005-0000-0000-00001D000000}"/>
    <cellStyle name="Accent2 - 60%" xfId="62" xr:uid="{00000000-0005-0000-0000-00001E000000}"/>
    <cellStyle name="Accent2 - 60% 2" xfId="63" xr:uid="{00000000-0005-0000-0000-00001F000000}"/>
    <cellStyle name="Accent3" xfId="64" xr:uid="{00000000-0005-0000-0000-000020000000}"/>
    <cellStyle name="Accent3 - 20%" xfId="65" xr:uid="{00000000-0005-0000-0000-000021000000}"/>
    <cellStyle name="Accent3 - 20% 2" xfId="66" xr:uid="{00000000-0005-0000-0000-000022000000}"/>
    <cellStyle name="Accent3 - 40%" xfId="67" xr:uid="{00000000-0005-0000-0000-000023000000}"/>
    <cellStyle name="Accent3 - 40% 2" xfId="68" xr:uid="{00000000-0005-0000-0000-000024000000}"/>
    <cellStyle name="Accent3 - 60%" xfId="69" xr:uid="{00000000-0005-0000-0000-000025000000}"/>
    <cellStyle name="Accent3 - 60% 2" xfId="70" xr:uid="{00000000-0005-0000-0000-000026000000}"/>
    <cellStyle name="Accent4" xfId="71" xr:uid="{00000000-0005-0000-0000-000027000000}"/>
    <cellStyle name="Accent4 - 20%" xfId="72" xr:uid="{00000000-0005-0000-0000-000028000000}"/>
    <cellStyle name="Accent4 - 20% 2" xfId="73" xr:uid="{00000000-0005-0000-0000-000029000000}"/>
    <cellStyle name="Accent4 - 40%" xfId="74" xr:uid="{00000000-0005-0000-0000-00002A000000}"/>
    <cellStyle name="Accent4 - 40% 2" xfId="75" xr:uid="{00000000-0005-0000-0000-00002B000000}"/>
    <cellStyle name="Accent4 - 60%" xfId="76" xr:uid="{00000000-0005-0000-0000-00002C000000}"/>
    <cellStyle name="Accent4 - 60% 2" xfId="77" xr:uid="{00000000-0005-0000-0000-00002D000000}"/>
    <cellStyle name="Accent5" xfId="78" xr:uid="{00000000-0005-0000-0000-00002E000000}"/>
    <cellStyle name="Accent5 - 20%" xfId="79" xr:uid="{00000000-0005-0000-0000-00002F000000}"/>
    <cellStyle name="Accent5 - 20% 2" xfId="80" xr:uid="{00000000-0005-0000-0000-000030000000}"/>
    <cellStyle name="Accent5 - 40%" xfId="81" xr:uid="{00000000-0005-0000-0000-000031000000}"/>
    <cellStyle name="Accent5 - 60%" xfId="82" xr:uid="{00000000-0005-0000-0000-000032000000}"/>
    <cellStyle name="Accent5 - 60% 2" xfId="83" xr:uid="{00000000-0005-0000-0000-000033000000}"/>
    <cellStyle name="Accent6" xfId="84" xr:uid="{00000000-0005-0000-0000-000034000000}"/>
    <cellStyle name="Accent6 - 20%" xfId="85" xr:uid="{00000000-0005-0000-0000-000035000000}"/>
    <cellStyle name="Accent6 - 40%" xfId="86" xr:uid="{00000000-0005-0000-0000-000036000000}"/>
    <cellStyle name="Accent6 - 40% 2" xfId="87" xr:uid="{00000000-0005-0000-0000-000037000000}"/>
    <cellStyle name="Accent6 - 60%" xfId="88" xr:uid="{00000000-0005-0000-0000-000038000000}"/>
    <cellStyle name="Accent6 - 60% 2" xfId="89" xr:uid="{00000000-0005-0000-0000-000039000000}"/>
    <cellStyle name="Bad" xfId="90" xr:uid="{00000000-0005-0000-0000-00003A000000}"/>
    <cellStyle name="Calculation" xfId="91" xr:uid="{00000000-0005-0000-0000-00003B000000}"/>
    <cellStyle name="Calculation 2" xfId="259" xr:uid="{00000000-0005-0000-0000-00003C000000}"/>
    <cellStyle name="Calculation 2 2" xfId="426" xr:uid="{00000000-0005-0000-0000-00003D000000}"/>
    <cellStyle name="Calculation 2 2 2" xfId="607" xr:uid="{00000000-0005-0000-0000-00003E000000}"/>
    <cellStyle name="Calculation 2 3" xfId="416" xr:uid="{00000000-0005-0000-0000-00003F000000}"/>
    <cellStyle name="Calculation 3" xfId="467" xr:uid="{00000000-0005-0000-0000-000040000000}"/>
    <cellStyle name="Calculation 3 2" xfId="608" xr:uid="{00000000-0005-0000-0000-000041000000}"/>
    <cellStyle name="Calculation 4" xfId="524" xr:uid="{00000000-0005-0000-0000-000042000000}"/>
    <cellStyle name="Check Cell" xfId="92" xr:uid="{00000000-0005-0000-0000-000043000000}"/>
    <cellStyle name="Currency" xfId="780" builtinId="4"/>
    <cellStyle name="Emphasis 1" xfId="93" xr:uid="{00000000-0005-0000-0000-000044000000}"/>
    <cellStyle name="Emphasis 1 2" xfId="94" xr:uid="{00000000-0005-0000-0000-000045000000}"/>
    <cellStyle name="Emphasis 2" xfId="95" xr:uid="{00000000-0005-0000-0000-000046000000}"/>
    <cellStyle name="Emphasis 2 2" xfId="96" xr:uid="{00000000-0005-0000-0000-000047000000}"/>
    <cellStyle name="Emphasis 3" xfId="97" xr:uid="{00000000-0005-0000-0000-000048000000}"/>
    <cellStyle name="Explanatory Text" xfId="98" xr:uid="{00000000-0005-0000-0000-000049000000}"/>
    <cellStyle name="Good" xfId="99" xr:uid="{00000000-0005-0000-0000-00004A000000}"/>
    <cellStyle name="Heading 1" xfId="100" xr:uid="{00000000-0005-0000-0000-00004B000000}"/>
    <cellStyle name="Heading 2" xfId="101" xr:uid="{00000000-0005-0000-0000-00004C000000}"/>
    <cellStyle name="Heading 3" xfId="102" xr:uid="{00000000-0005-0000-0000-00004D000000}"/>
    <cellStyle name="Heading 4" xfId="103" xr:uid="{00000000-0005-0000-0000-00004E000000}"/>
    <cellStyle name="Input" xfId="104" xr:uid="{00000000-0005-0000-0000-00004F000000}"/>
    <cellStyle name="Input 2" xfId="260" xr:uid="{00000000-0005-0000-0000-000050000000}"/>
    <cellStyle name="Input 2 2" xfId="438" xr:uid="{00000000-0005-0000-0000-000051000000}"/>
    <cellStyle name="Input 2 2 2" xfId="609" xr:uid="{00000000-0005-0000-0000-000052000000}"/>
    <cellStyle name="Input 2 3" xfId="269" xr:uid="{00000000-0005-0000-0000-000053000000}"/>
    <cellStyle name="Input 3" xfId="457" xr:uid="{00000000-0005-0000-0000-000054000000}"/>
    <cellStyle name="Input 3 2" xfId="610" xr:uid="{00000000-0005-0000-0000-000055000000}"/>
    <cellStyle name="Input 4" xfId="523" xr:uid="{00000000-0005-0000-0000-000056000000}"/>
    <cellStyle name="Linked Cell" xfId="105" xr:uid="{00000000-0005-0000-0000-000057000000}"/>
    <cellStyle name="Neutral" xfId="106" xr:uid="{00000000-0005-0000-0000-000058000000}"/>
    <cellStyle name="Normal" xfId="0" builtinId="0"/>
    <cellStyle name="Normal 2" xfId="225" xr:uid="{00000000-0005-0000-0000-000059000000}"/>
    <cellStyle name="Normal 2 2" xfId="237" xr:uid="{00000000-0005-0000-0000-00005A000000}"/>
    <cellStyle name="Normal 2 2 2" xfId="589" xr:uid="{00000000-0005-0000-0000-00005B000000}"/>
    <cellStyle name="Normal 2 2 3" xfId="537" xr:uid="{00000000-0005-0000-0000-00005C000000}"/>
    <cellStyle name="Normal 2 3" xfId="583" xr:uid="{00000000-0005-0000-0000-00005D000000}"/>
    <cellStyle name="Normal 2 4" xfId="536" xr:uid="{00000000-0005-0000-0000-00005E000000}"/>
    <cellStyle name="Normal 3" xfId="226" xr:uid="{00000000-0005-0000-0000-00005F000000}"/>
    <cellStyle name="Normal 3 2" xfId="238" xr:uid="{00000000-0005-0000-0000-000060000000}"/>
    <cellStyle name="Normal 3 2 2" xfId="590" xr:uid="{00000000-0005-0000-0000-000061000000}"/>
    <cellStyle name="Normal 3 2 3" xfId="539" xr:uid="{00000000-0005-0000-0000-000062000000}"/>
    <cellStyle name="Normal 3 3" xfId="584" xr:uid="{00000000-0005-0000-0000-000063000000}"/>
    <cellStyle name="Normal 3 4" xfId="538" xr:uid="{00000000-0005-0000-0000-000064000000}"/>
    <cellStyle name="Note" xfId="107" xr:uid="{00000000-0005-0000-0000-000065000000}"/>
    <cellStyle name="Note 2" xfId="261" xr:uid="{00000000-0005-0000-0000-000066000000}"/>
    <cellStyle name="Note 2 2" xfId="444" xr:uid="{00000000-0005-0000-0000-000067000000}"/>
    <cellStyle name="Note 2 2 2" xfId="611" xr:uid="{00000000-0005-0000-0000-000068000000}"/>
    <cellStyle name="Note 2 3" xfId="442" xr:uid="{00000000-0005-0000-0000-000069000000}"/>
    <cellStyle name="Note 3" xfId="455" xr:uid="{00000000-0005-0000-0000-00006A000000}"/>
    <cellStyle name="Note 3 2" xfId="612" xr:uid="{00000000-0005-0000-0000-00006B000000}"/>
    <cellStyle name="Note 4" xfId="522" xr:uid="{00000000-0005-0000-0000-00006C000000}"/>
    <cellStyle name="Output" xfId="108" xr:uid="{00000000-0005-0000-0000-00006D000000}"/>
    <cellStyle name="Output 2" xfId="340" xr:uid="{00000000-0005-0000-0000-00006E000000}"/>
    <cellStyle name="Output 2 2" xfId="613" xr:uid="{00000000-0005-0000-0000-00006F000000}"/>
    <cellStyle name="Output 3" xfId="454" xr:uid="{00000000-0005-0000-0000-000070000000}"/>
    <cellStyle name="Output 3 2" xfId="614" xr:uid="{00000000-0005-0000-0000-000071000000}"/>
    <cellStyle name="Output 4" xfId="521" xr:uid="{00000000-0005-0000-0000-000072000000}"/>
    <cellStyle name="SAPBEXaggData" xfId="109" xr:uid="{00000000-0005-0000-0000-000073000000}"/>
    <cellStyle name="SAPBEXaggData 2" xfId="110" xr:uid="{00000000-0005-0000-0000-000074000000}"/>
    <cellStyle name="SAPBEXaggData 2 2" xfId="342" xr:uid="{00000000-0005-0000-0000-000075000000}"/>
    <cellStyle name="SAPBEXaggData 2 2 2" xfId="615" xr:uid="{00000000-0005-0000-0000-000076000000}"/>
    <cellStyle name="SAPBEXaggData 2 3" xfId="274" xr:uid="{00000000-0005-0000-0000-000077000000}"/>
    <cellStyle name="SAPBEXaggData 2 3 2" xfId="616" xr:uid="{00000000-0005-0000-0000-000078000000}"/>
    <cellStyle name="SAPBEXaggData 2 4" xfId="519" xr:uid="{00000000-0005-0000-0000-000079000000}"/>
    <cellStyle name="SAPBEXaggData 3" xfId="341" xr:uid="{00000000-0005-0000-0000-00007A000000}"/>
    <cellStyle name="SAPBEXaggData 3 2" xfId="617" xr:uid="{00000000-0005-0000-0000-00007B000000}"/>
    <cellStyle name="SAPBEXaggData 4" xfId="453" xr:uid="{00000000-0005-0000-0000-00007C000000}"/>
    <cellStyle name="SAPBEXaggData 4 2" xfId="618" xr:uid="{00000000-0005-0000-0000-00007D000000}"/>
    <cellStyle name="SAPBEXaggData 5" xfId="520" xr:uid="{00000000-0005-0000-0000-00007E000000}"/>
    <cellStyle name="SAPBEXaggDataEmph" xfId="111" xr:uid="{00000000-0005-0000-0000-00007F000000}"/>
    <cellStyle name="SAPBEXaggDataEmph 2" xfId="112" xr:uid="{00000000-0005-0000-0000-000080000000}"/>
    <cellStyle name="SAPBEXaggDataEmph 2 2" xfId="344" xr:uid="{00000000-0005-0000-0000-000081000000}"/>
    <cellStyle name="SAPBEXaggDataEmph 2 2 2" xfId="619" xr:uid="{00000000-0005-0000-0000-000082000000}"/>
    <cellStyle name="SAPBEXaggDataEmph 2 3" xfId="276" xr:uid="{00000000-0005-0000-0000-000083000000}"/>
    <cellStyle name="SAPBEXaggDataEmph 2 3 2" xfId="620" xr:uid="{00000000-0005-0000-0000-000084000000}"/>
    <cellStyle name="SAPBEXaggDataEmph 2 4" xfId="503" xr:uid="{00000000-0005-0000-0000-000085000000}"/>
    <cellStyle name="SAPBEXaggDataEmph 3" xfId="343" xr:uid="{00000000-0005-0000-0000-000086000000}"/>
    <cellStyle name="SAPBEXaggDataEmph 3 2" xfId="621" xr:uid="{00000000-0005-0000-0000-000087000000}"/>
    <cellStyle name="SAPBEXaggDataEmph 4" xfId="275" xr:uid="{00000000-0005-0000-0000-000088000000}"/>
    <cellStyle name="SAPBEXaggDataEmph 4 2" xfId="622" xr:uid="{00000000-0005-0000-0000-000089000000}"/>
    <cellStyle name="SAPBEXaggDataEmph 5" xfId="518" xr:uid="{00000000-0005-0000-0000-00008A000000}"/>
    <cellStyle name="SAPBEXaggItem" xfId="113" xr:uid="{00000000-0005-0000-0000-00008B000000}"/>
    <cellStyle name="SAPBEXaggItem 2" xfId="114" xr:uid="{00000000-0005-0000-0000-00008C000000}"/>
    <cellStyle name="SAPBEXaggItem 2 2" xfId="346" xr:uid="{00000000-0005-0000-0000-00008D000000}"/>
    <cellStyle name="SAPBEXaggItem 2 2 2" xfId="623" xr:uid="{00000000-0005-0000-0000-00008E000000}"/>
    <cellStyle name="SAPBEXaggItem 2 3" xfId="278" xr:uid="{00000000-0005-0000-0000-00008F000000}"/>
    <cellStyle name="SAPBEXaggItem 2 3 2" xfId="624" xr:uid="{00000000-0005-0000-0000-000090000000}"/>
    <cellStyle name="SAPBEXaggItem 2 4" xfId="432" xr:uid="{00000000-0005-0000-0000-000091000000}"/>
    <cellStyle name="SAPBEXaggItem 3" xfId="345" xr:uid="{00000000-0005-0000-0000-000092000000}"/>
    <cellStyle name="SAPBEXaggItem 3 2" xfId="625" xr:uid="{00000000-0005-0000-0000-000093000000}"/>
    <cellStyle name="SAPBEXaggItem 4" xfId="277" xr:uid="{00000000-0005-0000-0000-000094000000}"/>
    <cellStyle name="SAPBEXaggItem 4 2" xfId="626" xr:uid="{00000000-0005-0000-0000-000095000000}"/>
    <cellStyle name="SAPBEXaggItem 5" xfId="499" xr:uid="{00000000-0005-0000-0000-000096000000}"/>
    <cellStyle name="SAPBEXaggItemX" xfId="115" xr:uid="{00000000-0005-0000-0000-000097000000}"/>
    <cellStyle name="SAPBEXaggItemX 2" xfId="116" xr:uid="{00000000-0005-0000-0000-000098000000}"/>
    <cellStyle name="SAPBEXaggItemX 2 2" xfId="348" xr:uid="{00000000-0005-0000-0000-000099000000}"/>
    <cellStyle name="SAPBEXaggItemX 2 2 2" xfId="627" xr:uid="{00000000-0005-0000-0000-00009A000000}"/>
    <cellStyle name="SAPBEXaggItemX 2 3" xfId="280" xr:uid="{00000000-0005-0000-0000-00009B000000}"/>
    <cellStyle name="SAPBEXaggItemX 2 3 2" xfId="628" xr:uid="{00000000-0005-0000-0000-00009C000000}"/>
    <cellStyle name="SAPBEXaggItemX 2 4" xfId="505" xr:uid="{00000000-0005-0000-0000-00009D000000}"/>
    <cellStyle name="SAPBEXaggItemX 3" xfId="347" xr:uid="{00000000-0005-0000-0000-00009E000000}"/>
    <cellStyle name="SAPBEXaggItemX 3 2" xfId="629" xr:uid="{00000000-0005-0000-0000-00009F000000}"/>
    <cellStyle name="SAPBEXaggItemX 4" xfId="279" xr:uid="{00000000-0005-0000-0000-0000A0000000}"/>
    <cellStyle name="SAPBEXaggItemX 4 2" xfId="630" xr:uid="{00000000-0005-0000-0000-0000A1000000}"/>
    <cellStyle name="SAPBEXaggItemX 5" xfId="484" xr:uid="{00000000-0005-0000-0000-0000A2000000}"/>
    <cellStyle name="SAPBEXchaText" xfId="117" xr:uid="{00000000-0005-0000-0000-0000A3000000}"/>
    <cellStyle name="SAPBEXchaText 2" xfId="118" xr:uid="{00000000-0005-0000-0000-0000A4000000}"/>
    <cellStyle name="SAPBEXchaText 2 2" xfId="349" xr:uid="{00000000-0005-0000-0000-0000A5000000}"/>
    <cellStyle name="SAPBEXchaText 2 2 2" xfId="631" xr:uid="{00000000-0005-0000-0000-0000A6000000}"/>
    <cellStyle name="SAPBEXchaText 2 3" xfId="281" xr:uid="{00000000-0005-0000-0000-0000A7000000}"/>
    <cellStyle name="SAPBEXchaText 2 3 2" xfId="632" xr:uid="{00000000-0005-0000-0000-0000A8000000}"/>
    <cellStyle name="SAPBEXchaText 2 4" xfId="430" xr:uid="{00000000-0005-0000-0000-0000A9000000}"/>
    <cellStyle name="SAPBEXexcBad7" xfId="119" xr:uid="{00000000-0005-0000-0000-0000AA000000}"/>
    <cellStyle name="SAPBEXexcBad7 2" xfId="120" xr:uid="{00000000-0005-0000-0000-0000AB000000}"/>
    <cellStyle name="SAPBEXexcBad7 2 2" xfId="351" xr:uid="{00000000-0005-0000-0000-0000AC000000}"/>
    <cellStyle name="SAPBEXexcBad7 2 2 2" xfId="633" xr:uid="{00000000-0005-0000-0000-0000AD000000}"/>
    <cellStyle name="SAPBEXexcBad7 2 3" xfId="283" xr:uid="{00000000-0005-0000-0000-0000AE000000}"/>
    <cellStyle name="SAPBEXexcBad7 2 3 2" xfId="634" xr:uid="{00000000-0005-0000-0000-0000AF000000}"/>
    <cellStyle name="SAPBEXexcBad7 2 4" xfId="500" xr:uid="{00000000-0005-0000-0000-0000B0000000}"/>
    <cellStyle name="SAPBEXexcBad7 3" xfId="350" xr:uid="{00000000-0005-0000-0000-0000B1000000}"/>
    <cellStyle name="SAPBEXexcBad7 3 2" xfId="635" xr:uid="{00000000-0005-0000-0000-0000B2000000}"/>
    <cellStyle name="SAPBEXexcBad7 4" xfId="282" xr:uid="{00000000-0005-0000-0000-0000B3000000}"/>
    <cellStyle name="SAPBEXexcBad7 4 2" xfId="636" xr:uid="{00000000-0005-0000-0000-0000B4000000}"/>
    <cellStyle name="SAPBEXexcBad7 5" xfId="504" xr:uid="{00000000-0005-0000-0000-0000B5000000}"/>
    <cellStyle name="SAPBEXexcBad8" xfId="121" xr:uid="{00000000-0005-0000-0000-0000B6000000}"/>
    <cellStyle name="SAPBEXexcBad8 2" xfId="122" xr:uid="{00000000-0005-0000-0000-0000B7000000}"/>
    <cellStyle name="SAPBEXexcBad8 2 2" xfId="353" xr:uid="{00000000-0005-0000-0000-0000B8000000}"/>
    <cellStyle name="SAPBEXexcBad8 2 2 2" xfId="637" xr:uid="{00000000-0005-0000-0000-0000B9000000}"/>
    <cellStyle name="SAPBEXexcBad8 2 3" xfId="285" xr:uid="{00000000-0005-0000-0000-0000BA000000}"/>
    <cellStyle name="SAPBEXexcBad8 2 3 2" xfId="638" xr:uid="{00000000-0005-0000-0000-0000BB000000}"/>
    <cellStyle name="SAPBEXexcBad8 2 4" xfId="483" xr:uid="{00000000-0005-0000-0000-0000BC000000}"/>
    <cellStyle name="SAPBEXexcBad8 3" xfId="352" xr:uid="{00000000-0005-0000-0000-0000BD000000}"/>
    <cellStyle name="SAPBEXexcBad8 3 2" xfId="639" xr:uid="{00000000-0005-0000-0000-0000BE000000}"/>
    <cellStyle name="SAPBEXexcBad8 4" xfId="284" xr:uid="{00000000-0005-0000-0000-0000BF000000}"/>
    <cellStyle name="SAPBEXexcBad8 4 2" xfId="640" xr:uid="{00000000-0005-0000-0000-0000C0000000}"/>
    <cellStyle name="SAPBEXexcBad8 5" xfId="496" xr:uid="{00000000-0005-0000-0000-0000C1000000}"/>
    <cellStyle name="SAPBEXexcBad9" xfId="123" xr:uid="{00000000-0005-0000-0000-0000C2000000}"/>
    <cellStyle name="SAPBEXexcBad9 2" xfId="124" xr:uid="{00000000-0005-0000-0000-0000C3000000}"/>
    <cellStyle name="SAPBEXexcBad9 2 2" xfId="262" xr:uid="{00000000-0005-0000-0000-0000C4000000}"/>
    <cellStyle name="SAPBEXexcBad9 2 2 2" xfId="449" xr:uid="{00000000-0005-0000-0000-0000C5000000}"/>
    <cellStyle name="SAPBEXexcBad9 2 2 2 2" xfId="641" xr:uid="{00000000-0005-0000-0000-0000C6000000}"/>
    <cellStyle name="SAPBEXexcBad9 2 2 3" xfId="273" xr:uid="{00000000-0005-0000-0000-0000C7000000}"/>
    <cellStyle name="SAPBEXexcBad9 2 3" xfId="355" xr:uid="{00000000-0005-0000-0000-0000C8000000}"/>
    <cellStyle name="SAPBEXexcBad9 2 3 2" xfId="642" xr:uid="{00000000-0005-0000-0000-0000C9000000}"/>
    <cellStyle name="SAPBEXexcBad9 2 4" xfId="287" xr:uid="{00000000-0005-0000-0000-0000CA000000}"/>
    <cellStyle name="SAPBEXexcBad9 2 4 2" xfId="643" xr:uid="{00000000-0005-0000-0000-0000CB000000}"/>
    <cellStyle name="SAPBEXexcBad9 2 5" xfId="501" xr:uid="{00000000-0005-0000-0000-0000CC000000}"/>
    <cellStyle name="SAPBEXexcBad9 3" xfId="354" xr:uid="{00000000-0005-0000-0000-0000CD000000}"/>
    <cellStyle name="SAPBEXexcBad9 3 2" xfId="644" xr:uid="{00000000-0005-0000-0000-0000CE000000}"/>
    <cellStyle name="SAPBEXexcBad9 4" xfId="286" xr:uid="{00000000-0005-0000-0000-0000CF000000}"/>
    <cellStyle name="SAPBEXexcBad9 4 2" xfId="645" xr:uid="{00000000-0005-0000-0000-0000D0000000}"/>
    <cellStyle name="SAPBEXexcBad9 5" xfId="506" xr:uid="{00000000-0005-0000-0000-0000D1000000}"/>
    <cellStyle name="SAPBEXexcCritical4" xfId="125" xr:uid="{00000000-0005-0000-0000-0000D2000000}"/>
    <cellStyle name="SAPBEXexcCritical4 2" xfId="126" xr:uid="{00000000-0005-0000-0000-0000D3000000}"/>
    <cellStyle name="SAPBEXexcCritical4 2 2" xfId="357" xr:uid="{00000000-0005-0000-0000-0000D4000000}"/>
    <cellStyle name="SAPBEXexcCritical4 2 2 2" xfId="646" xr:uid="{00000000-0005-0000-0000-0000D5000000}"/>
    <cellStyle name="SAPBEXexcCritical4 2 3" xfId="289" xr:uid="{00000000-0005-0000-0000-0000D6000000}"/>
    <cellStyle name="SAPBEXexcCritical4 2 3 2" xfId="647" xr:uid="{00000000-0005-0000-0000-0000D7000000}"/>
    <cellStyle name="SAPBEXexcCritical4 2 4" xfId="431" xr:uid="{00000000-0005-0000-0000-0000D8000000}"/>
    <cellStyle name="SAPBEXexcCritical4 3" xfId="356" xr:uid="{00000000-0005-0000-0000-0000D9000000}"/>
    <cellStyle name="SAPBEXexcCritical4 3 2" xfId="648" xr:uid="{00000000-0005-0000-0000-0000DA000000}"/>
    <cellStyle name="SAPBEXexcCritical4 4" xfId="288" xr:uid="{00000000-0005-0000-0000-0000DB000000}"/>
    <cellStyle name="SAPBEXexcCritical4 4 2" xfId="649" xr:uid="{00000000-0005-0000-0000-0000DC000000}"/>
    <cellStyle name="SAPBEXexcCritical4 5" xfId="428" xr:uid="{00000000-0005-0000-0000-0000DD000000}"/>
    <cellStyle name="SAPBEXexcCritical5" xfId="127" xr:uid="{00000000-0005-0000-0000-0000DE000000}"/>
    <cellStyle name="SAPBEXexcCritical5 2" xfId="128" xr:uid="{00000000-0005-0000-0000-0000DF000000}"/>
    <cellStyle name="SAPBEXexcCritical5 2 2" xfId="359" xr:uid="{00000000-0005-0000-0000-0000E0000000}"/>
    <cellStyle name="SAPBEXexcCritical5 2 2 2" xfId="650" xr:uid="{00000000-0005-0000-0000-0000E1000000}"/>
    <cellStyle name="SAPBEXexcCritical5 2 3" xfId="291" xr:uid="{00000000-0005-0000-0000-0000E2000000}"/>
    <cellStyle name="SAPBEXexcCritical5 2 3 2" xfId="651" xr:uid="{00000000-0005-0000-0000-0000E3000000}"/>
    <cellStyle name="SAPBEXexcCritical5 2 4" xfId="489" xr:uid="{00000000-0005-0000-0000-0000E4000000}"/>
    <cellStyle name="SAPBEXexcCritical5 3" xfId="358" xr:uid="{00000000-0005-0000-0000-0000E5000000}"/>
    <cellStyle name="SAPBEXexcCritical5 3 2" xfId="652" xr:uid="{00000000-0005-0000-0000-0000E6000000}"/>
    <cellStyle name="SAPBEXexcCritical5 4" xfId="290" xr:uid="{00000000-0005-0000-0000-0000E7000000}"/>
    <cellStyle name="SAPBEXexcCritical5 4 2" xfId="653" xr:uid="{00000000-0005-0000-0000-0000E8000000}"/>
    <cellStyle name="SAPBEXexcCritical5 5" xfId="448" xr:uid="{00000000-0005-0000-0000-0000E9000000}"/>
    <cellStyle name="SAPBEXexcCritical6" xfId="129" xr:uid="{00000000-0005-0000-0000-0000EA000000}"/>
    <cellStyle name="SAPBEXexcCritical6 2" xfId="130" xr:uid="{00000000-0005-0000-0000-0000EB000000}"/>
    <cellStyle name="SAPBEXexcCritical6 2 2" xfId="361" xr:uid="{00000000-0005-0000-0000-0000EC000000}"/>
    <cellStyle name="SAPBEXexcCritical6 2 2 2" xfId="654" xr:uid="{00000000-0005-0000-0000-0000ED000000}"/>
    <cellStyle name="SAPBEXexcCritical6 2 3" xfId="293" xr:uid="{00000000-0005-0000-0000-0000EE000000}"/>
    <cellStyle name="SAPBEXexcCritical6 2 3 2" xfId="655" xr:uid="{00000000-0005-0000-0000-0000EF000000}"/>
    <cellStyle name="SAPBEXexcCritical6 2 4" xfId="507" xr:uid="{00000000-0005-0000-0000-0000F0000000}"/>
    <cellStyle name="SAPBEXexcCritical6 3" xfId="360" xr:uid="{00000000-0005-0000-0000-0000F1000000}"/>
    <cellStyle name="SAPBEXexcCritical6 3 2" xfId="656" xr:uid="{00000000-0005-0000-0000-0000F2000000}"/>
    <cellStyle name="SAPBEXexcCritical6 4" xfId="292" xr:uid="{00000000-0005-0000-0000-0000F3000000}"/>
    <cellStyle name="SAPBEXexcCritical6 4 2" xfId="657" xr:uid="{00000000-0005-0000-0000-0000F4000000}"/>
    <cellStyle name="SAPBEXexcCritical6 5" xfId="493" xr:uid="{00000000-0005-0000-0000-0000F5000000}"/>
    <cellStyle name="SAPBEXexcGood1" xfId="131" xr:uid="{00000000-0005-0000-0000-0000F6000000}"/>
    <cellStyle name="SAPBEXexcGood1 2" xfId="132" xr:uid="{00000000-0005-0000-0000-0000F7000000}"/>
    <cellStyle name="SAPBEXexcGood1 2 2" xfId="363" xr:uid="{00000000-0005-0000-0000-0000F8000000}"/>
    <cellStyle name="SAPBEXexcGood1 2 2 2" xfId="658" xr:uid="{00000000-0005-0000-0000-0000F9000000}"/>
    <cellStyle name="SAPBEXexcGood1 2 3" xfId="295" xr:uid="{00000000-0005-0000-0000-0000FA000000}"/>
    <cellStyle name="SAPBEXexcGood1 2 3 2" xfId="659" xr:uid="{00000000-0005-0000-0000-0000FB000000}"/>
    <cellStyle name="SAPBEXexcGood1 2 4" xfId="488" xr:uid="{00000000-0005-0000-0000-0000FC000000}"/>
    <cellStyle name="SAPBEXexcGood1 3" xfId="362" xr:uid="{00000000-0005-0000-0000-0000FD000000}"/>
    <cellStyle name="SAPBEXexcGood1 3 2" xfId="660" xr:uid="{00000000-0005-0000-0000-0000FE000000}"/>
    <cellStyle name="SAPBEXexcGood1 4" xfId="294" xr:uid="{00000000-0005-0000-0000-0000FF000000}"/>
    <cellStyle name="SAPBEXexcGood1 4 2" xfId="661" xr:uid="{00000000-0005-0000-0000-000000010000}"/>
    <cellStyle name="SAPBEXexcGood1 5" xfId="446" xr:uid="{00000000-0005-0000-0000-000001010000}"/>
    <cellStyle name="SAPBEXexcGood2" xfId="133" xr:uid="{00000000-0005-0000-0000-000002010000}"/>
    <cellStyle name="SAPBEXexcGood2 2" xfId="134" xr:uid="{00000000-0005-0000-0000-000003010000}"/>
    <cellStyle name="SAPBEXexcGood2 2 2" xfId="365" xr:uid="{00000000-0005-0000-0000-000004010000}"/>
    <cellStyle name="SAPBEXexcGood2 2 2 2" xfId="662" xr:uid="{00000000-0005-0000-0000-000005010000}"/>
    <cellStyle name="SAPBEXexcGood2 2 3" xfId="297" xr:uid="{00000000-0005-0000-0000-000006010000}"/>
    <cellStyle name="SAPBEXexcGood2 2 3 2" xfId="663" xr:uid="{00000000-0005-0000-0000-000007010000}"/>
    <cellStyle name="SAPBEXexcGood2 2 4" xfId="492" xr:uid="{00000000-0005-0000-0000-000008010000}"/>
    <cellStyle name="SAPBEXexcGood2 3" xfId="364" xr:uid="{00000000-0005-0000-0000-000009010000}"/>
    <cellStyle name="SAPBEXexcGood2 3 2" xfId="664" xr:uid="{00000000-0005-0000-0000-00000A010000}"/>
    <cellStyle name="SAPBEXexcGood2 4" xfId="296" xr:uid="{00000000-0005-0000-0000-00000B010000}"/>
    <cellStyle name="SAPBEXexcGood2 4 2" xfId="665" xr:uid="{00000000-0005-0000-0000-00000C010000}"/>
    <cellStyle name="SAPBEXexcGood2 5" xfId="502" xr:uid="{00000000-0005-0000-0000-00000D010000}"/>
    <cellStyle name="SAPBEXexcGood3" xfId="135" xr:uid="{00000000-0005-0000-0000-00000E010000}"/>
    <cellStyle name="SAPBEXexcGood3 2" xfId="136" xr:uid="{00000000-0005-0000-0000-00000F010000}"/>
    <cellStyle name="SAPBEXexcGood3 2 2" xfId="367" xr:uid="{00000000-0005-0000-0000-000010010000}"/>
    <cellStyle name="SAPBEXexcGood3 2 2 2" xfId="666" xr:uid="{00000000-0005-0000-0000-000011010000}"/>
    <cellStyle name="SAPBEXexcGood3 2 3" xfId="299" xr:uid="{00000000-0005-0000-0000-000012010000}"/>
    <cellStyle name="SAPBEXexcGood3 2 3 2" xfId="667" xr:uid="{00000000-0005-0000-0000-000013010000}"/>
    <cellStyle name="SAPBEXexcGood3 2 4" xfId="272" xr:uid="{00000000-0005-0000-0000-000014010000}"/>
    <cellStyle name="SAPBEXexcGood3 3" xfId="366" xr:uid="{00000000-0005-0000-0000-000015010000}"/>
    <cellStyle name="SAPBEXexcGood3 3 2" xfId="668" xr:uid="{00000000-0005-0000-0000-000016010000}"/>
    <cellStyle name="SAPBEXexcGood3 4" xfId="298" xr:uid="{00000000-0005-0000-0000-000017010000}"/>
    <cellStyle name="SAPBEXexcGood3 4 2" xfId="669" xr:uid="{00000000-0005-0000-0000-000018010000}"/>
    <cellStyle name="SAPBEXexcGood3 5" xfId="494" xr:uid="{00000000-0005-0000-0000-000019010000}"/>
    <cellStyle name="SAPBEXfilterDrill" xfId="137" xr:uid="{00000000-0005-0000-0000-00001A010000}"/>
    <cellStyle name="SAPBEXfilterDrill 2" xfId="138" xr:uid="{00000000-0005-0000-0000-00001B010000}"/>
    <cellStyle name="SAPBEXfilterDrill 2 2" xfId="263" xr:uid="{00000000-0005-0000-0000-00001C010000}"/>
    <cellStyle name="SAPBEXfilterDrill 2 2 2" xfId="271" xr:uid="{00000000-0005-0000-0000-00001D010000}"/>
    <cellStyle name="SAPBEXfilterDrill 2 2 2 2" xfId="670" xr:uid="{00000000-0005-0000-0000-00001E010000}"/>
    <cellStyle name="SAPBEXfilterDrill 2 2 3" xfId="485" xr:uid="{00000000-0005-0000-0000-00001F010000}"/>
    <cellStyle name="SAPBEXfilterDrill 2 3" xfId="368" xr:uid="{00000000-0005-0000-0000-000020010000}"/>
    <cellStyle name="SAPBEXfilterDrill 2 3 2" xfId="671" xr:uid="{00000000-0005-0000-0000-000021010000}"/>
    <cellStyle name="SAPBEXfilterDrill 2 4" xfId="516" xr:uid="{00000000-0005-0000-0000-000022010000}"/>
    <cellStyle name="SAPBEXfilterDrill 2 4 2" xfId="672" xr:uid="{00000000-0005-0000-0000-000023010000}"/>
    <cellStyle name="SAPBEXfilterDrill 2 5" xfId="534" xr:uid="{00000000-0005-0000-0000-000024010000}"/>
    <cellStyle name="SAPBEXfilterItem" xfId="139" xr:uid="{00000000-0005-0000-0000-000025010000}"/>
    <cellStyle name="SAPBEXfilterItem 2" xfId="140" xr:uid="{00000000-0005-0000-0000-000026010000}"/>
    <cellStyle name="SAPBEXfilterItem 2 2" xfId="264" xr:uid="{00000000-0005-0000-0000-000027010000}"/>
    <cellStyle name="SAPBEXfilterItem 2 2 2" xfId="445" xr:uid="{00000000-0005-0000-0000-000028010000}"/>
    <cellStyle name="SAPBEXfilterItem 2 2 2 2" xfId="673" xr:uid="{00000000-0005-0000-0000-000029010000}"/>
    <cellStyle name="SAPBEXfilterItem 2 2 3" xfId="447" xr:uid="{00000000-0005-0000-0000-00002A010000}"/>
    <cellStyle name="SAPBEXfilterItem 2 3" xfId="370" xr:uid="{00000000-0005-0000-0000-00002B010000}"/>
    <cellStyle name="SAPBEXfilterItem 2 3 2" xfId="674" xr:uid="{00000000-0005-0000-0000-00002C010000}"/>
    <cellStyle name="SAPBEXfilterItem 2 4" xfId="300" xr:uid="{00000000-0005-0000-0000-00002D010000}"/>
    <cellStyle name="SAPBEXfilterItem 2 4 2" xfId="675" xr:uid="{00000000-0005-0000-0000-00002E010000}"/>
    <cellStyle name="SAPBEXfilterItem 2 5" xfId="495" xr:uid="{00000000-0005-0000-0000-00002F010000}"/>
    <cellStyle name="SAPBEXfilterText" xfId="141" xr:uid="{00000000-0005-0000-0000-000030010000}"/>
    <cellStyle name="SAPBEXfilterText 2" xfId="142" xr:uid="{00000000-0005-0000-0000-000031010000}"/>
    <cellStyle name="SAPBEXfilterText 2 2" xfId="265" xr:uid="{00000000-0005-0000-0000-000032010000}"/>
    <cellStyle name="SAPBEXfilterText 2 2 2" xfId="450" xr:uid="{00000000-0005-0000-0000-000033010000}"/>
    <cellStyle name="SAPBEXfilterText 2 2 2 2" xfId="676" xr:uid="{00000000-0005-0000-0000-000034010000}"/>
    <cellStyle name="SAPBEXfilterText 2 2 3" xfId="452" xr:uid="{00000000-0005-0000-0000-000035010000}"/>
    <cellStyle name="SAPBEXfilterText 2 3" xfId="372" xr:uid="{00000000-0005-0000-0000-000036010000}"/>
    <cellStyle name="SAPBEXfilterText 2 3 2" xfId="677" xr:uid="{00000000-0005-0000-0000-000037010000}"/>
    <cellStyle name="SAPBEXfilterText 2 4" xfId="301" xr:uid="{00000000-0005-0000-0000-000038010000}"/>
    <cellStyle name="SAPBEXfilterText 2 4 2" xfId="678" xr:uid="{00000000-0005-0000-0000-000039010000}"/>
    <cellStyle name="SAPBEXfilterText 2 5" xfId="497" xr:uid="{00000000-0005-0000-0000-00003A010000}"/>
    <cellStyle name="SAPBEXformats" xfId="143" xr:uid="{00000000-0005-0000-0000-00003B010000}"/>
    <cellStyle name="SAPBEXformats 2" xfId="144" xr:uid="{00000000-0005-0000-0000-00003C010000}"/>
    <cellStyle name="SAPBEXformats 2 2" xfId="374" xr:uid="{00000000-0005-0000-0000-00003D010000}"/>
    <cellStyle name="SAPBEXformats 2 2 2" xfId="679" xr:uid="{00000000-0005-0000-0000-00003E010000}"/>
    <cellStyle name="SAPBEXformats 2 3" xfId="303" xr:uid="{00000000-0005-0000-0000-00003F010000}"/>
    <cellStyle name="SAPBEXformats 2 3 2" xfId="680" xr:uid="{00000000-0005-0000-0000-000040010000}"/>
    <cellStyle name="SAPBEXformats 2 4" xfId="451" xr:uid="{00000000-0005-0000-0000-000041010000}"/>
    <cellStyle name="SAPBEXformats 3" xfId="373" xr:uid="{00000000-0005-0000-0000-000042010000}"/>
    <cellStyle name="SAPBEXformats 3 2" xfId="681" xr:uid="{00000000-0005-0000-0000-000043010000}"/>
    <cellStyle name="SAPBEXformats 4" xfId="302" xr:uid="{00000000-0005-0000-0000-000044010000}"/>
    <cellStyle name="SAPBEXformats 4 2" xfId="682" xr:uid="{00000000-0005-0000-0000-000045010000}"/>
    <cellStyle name="SAPBEXformats 5" xfId="441" xr:uid="{00000000-0005-0000-0000-000046010000}"/>
    <cellStyle name="SAPBEXheaderItem" xfId="145" xr:uid="{00000000-0005-0000-0000-000047010000}"/>
    <cellStyle name="SAPBEXheaderItem 2" xfId="146" xr:uid="{00000000-0005-0000-0000-000048010000}"/>
    <cellStyle name="SAPBEXheaderItem 2 2" xfId="266" xr:uid="{00000000-0005-0000-0000-000049010000}"/>
    <cellStyle name="SAPBEXheaderItem 2 2 2" xfId="427" xr:uid="{00000000-0005-0000-0000-00004A010000}"/>
    <cellStyle name="SAPBEXheaderItem 2 2 2 2" xfId="683" xr:uid="{00000000-0005-0000-0000-00004B010000}"/>
    <cellStyle name="SAPBEXheaderItem 2 2 3" xfId="419" xr:uid="{00000000-0005-0000-0000-00004C010000}"/>
    <cellStyle name="SAPBEXheaderItem 2 3" xfId="376" xr:uid="{00000000-0005-0000-0000-00004D010000}"/>
    <cellStyle name="SAPBEXheaderItem 2 3 2" xfId="684" xr:uid="{00000000-0005-0000-0000-00004E010000}"/>
    <cellStyle name="SAPBEXheaderItem 2 4" xfId="514" xr:uid="{00000000-0005-0000-0000-00004F010000}"/>
    <cellStyle name="SAPBEXheaderItem 2 4 2" xfId="685" xr:uid="{00000000-0005-0000-0000-000050010000}"/>
    <cellStyle name="SAPBEXheaderItem 2 5" xfId="533" xr:uid="{00000000-0005-0000-0000-000051010000}"/>
    <cellStyle name="SAPBEXheaderText" xfId="147" xr:uid="{00000000-0005-0000-0000-000052010000}"/>
    <cellStyle name="SAPBEXheaderText 2" xfId="148" xr:uid="{00000000-0005-0000-0000-000053010000}"/>
    <cellStyle name="SAPBEXheaderText 2 2" xfId="267" xr:uid="{00000000-0005-0000-0000-000054010000}"/>
    <cellStyle name="SAPBEXheaderText 2 2 2" xfId="270" xr:uid="{00000000-0005-0000-0000-000055010000}"/>
    <cellStyle name="SAPBEXheaderText 2 2 2 2" xfId="686" xr:uid="{00000000-0005-0000-0000-000056010000}"/>
    <cellStyle name="SAPBEXheaderText 2 2 3" xfId="486" xr:uid="{00000000-0005-0000-0000-000057010000}"/>
    <cellStyle name="SAPBEXheaderText 2 3" xfId="377" xr:uid="{00000000-0005-0000-0000-000058010000}"/>
    <cellStyle name="SAPBEXheaderText 2 3 2" xfId="687" xr:uid="{00000000-0005-0000-0000-000059010000}"/>
    <cellStyle name="SAPBEXheaderText 2 4" xfId="306" xr:uid="{00000000-0005-0000-0000-00005A010000}"/>
    <cellStyle name="SAPBEXheaderText 2 4 2" xfId="688" xr:uid="{00000000-0005-0000-0000-00005B010000}"/>
    <cellStyle name="SAPBEXheaderText 2 5" xfId="433" xr:uid="{00000000-0005-0000-0000-00005C010000}"/>
    <cellStyle name="SAPBEXHLevel0" xfId="149" xr:uid="{00000000-0005-0000-0000-00005D010000}"/>
    <cellStyle name="SAPBEXHLevel0 2" xfId="150" xr:uid="{00000000-0005-0000-0000-00005E010000}"/>
    <cellStyle name="SAPBEXHLevel0 2 2" xfId="379" xr:uid="{00000000-0005-0000-0000-00005F010000}"/>
    <cellStyle name="SAPBEXHLevel0 2 2 2" xfId="689" xr:uid="{00000000-0005-0000-0000-000060010000}"/>
    <cellStyle name="SAPBEXHLevel0 2 3" xfId="307" xr:uid="{00000000-0005-0000-0000-000061010000}"/>
    <cellStyle name="SAPBEXHLevel0 2 3 2" xfId="690" xr:uid="{00000000-0005-0000-0000-000062010000}"/>
    <cellStyle name="SAPBEXHLevel0 2 4" xfId="436" xr:uid="{00000000-0005-0000-0000-000063010000}"/>
    <cellStyle name="SAPBEXHLevel0 3" xfId="378" xr:uid="{00000000-0005-0000-0000-000064010000}"/>
    <cellStyle name="SAPBEXHLevel0 3 2" xfId="691" xr:uid="{00000000-0005-0000-0000-000065010000}"/>
    <cellStyle name="SAPBEXHLevel0 4" xfId="513" xr:uid="{00000000-0005-0000-0000-000066010000}"/>
    <cellStyle name="SAPBEXHLevel0 4 2" xfId="692" xr:uid="{00000000-0005-0000-0000-000067010000}"/>
    <cellStyle name="SAPBEXHLevel0 5" xfId="532" xr:uid="{00000000-0005-0000-0000-000068010000}"/>
    <cellStyle name="SAPBEXHLevel0X" xfId="151" xr:uid="{00000000-0005-0000-0000-000069010000}"/>
    <cellStyle name="SAPBEXHLevel0X 2" xfId="152" xr:uid="{00000000-0005-0000-0000-00006A010000}"/>
    <cellStyle name="SAPBEXHLevel0X 2 2" xfId="381" xr:uid="{00000000-0005-0000-0000-00006B010000}"/>
    <cellStyle name="SAPBEXHLevel0X 2 2 2" xfId="693" xr:uid="{00000000-0005-0000-0000-00006C010000}"/>
    <cellStyle name="SAPBEXHLevel0X 2 3" xfId="512" xr:uid="{00000000-0005-0000-0000-00006D010000}"/>
    <cellStyle name="SAPBEXHLevel0X 2 3 2" xfId="694" xr:uid="{00000000-0005-0000-0000-00006E010000}"/>
    <cellStyle name="SAPBEXHLevel0X 2 4" xfId="531" xr:uid="{00000000-0005-0000-0000-00006F010000}"/>
    <cellStyle name="SAPBEXHLevel0X 3" xfId="153" xr:uid="{00000000-0005-0000-0000-000070010000}"/>
    <cellStyle name="SAPBEXHLevel0X 3 2" xfId="382" xr:uid="{00000000-0005-0000-0000-000071010000}"/>
    <cellStyle name="SAPBEXHLevel0X 3 2 2" xfId="695" xr:uid="{00000000-0005-0000-0000-000072010000}"/>
    <cellStyle name="SAPBEXHLevel0X 3 3" xfId="309" xr:uid="{00000000-0005-0000-0000-000073010000}"/>
    <cellStyle name="SAPBEXHLevel0X 3 3 2" xfId="696" xr:uid="{00000000-0005-0000-0000-000074010000}"/>
    <cellStyle name="SAPBEXHLevel0X 3 4" xfId="439" xr:uid="{00000000-0005-0000-0000-000075010000}"/>
    <cellStyle name="SAPBEXHLevel0X 4" xfId="380" xr:uid="{00000000-0005-0000-0000-000076010000}"/>
    <cellStyle name="SAPBEXHLevel0X 4 2" xfId="697" xr:uid="{00000000-0005-0000-0000-000077010000}"/>
    <cellStyle name="SAPBEXHLevel0X 5" xfId="308" xr:uid="{00000000-0005-0000-0000-000078010000}"/>
    <cellStyle name="SAPBEXHLevel0X 5 2" xfId="698" xr:uid="{00000000-0005-0000-0000-000079010000}"/>
    <cellStyle name="SAPBEXHLevel0X 6" xfId="435" xr:uid="{00000000-0005-0000-0000-00007A010000}"/>
    <cellStyle name="SAPBEXHLevel1" xfId="154" xr:uid="{00000000-0005-0000-0000-00007B010000}"/>
    <cellStyle name="SAPBEXHLevel1 2" xfId="155" xr:uid="{00000000-0005-0000-0000-00007C010000}"/>
    <cellStyle name="SAPBEXHLevel1 2 2" xfId="384" xr:uid="{00000000-0005-0000-0000-00007D010000}"/>
    <cellStyle name="SAPBEXHLevel1 2 2 2" xfId="699" xr:uid="{00000000-0005-0000-0000-00007E010000}"/>
    <cellStyle name="SAPBEXHLevel1 2 3" xfId="311" xr:uid="{00000000-0005-0000-0000-00007F010000}"/>
    <cellStyle name="SAPBEXHLevel1 2 3 2" xfId="700" xr:uid="{00000000-0005-0000-0000-000080010000}"/>
    <cellStyle name="SAPBEXHLevel1 2 4" xfId="482" xr:uid="{00000000-0005-0000-0000-000081010000}"/>
    <cellStyle name="SAPBEXHLevel1 3" xfId="383" xr:uid="{00000000-0005-0000-0000-000082010000}"/>
    <cellStyle name="SAPBEXHLevel1 3 2" xfId="701" xr:uid="{00000000-0005-0000-0000-000083010000}"/>
    <cellStyle name="SAPBEXHLevel1 4" xfId="310" xr:uid="{00000000-0005-0000-0000-000084010000}"/>
    <cellStyle name="SAPBEXHLevel1 4 2" xfId="702" xr:uid="{00000000-0005-0000-0000-000085010000}"/>
    <cellStyle name="SAPBEXHLevel1 5" xfId="434" xr:uid="{00000000-0005-0000-0000-000086010000}"/>
    <cellStyle name="SAPBEXHLevel1X" xfId="156" xr:uid="{00000000-0005-0000-0000-000087010000}"/>
    <cellStyle name="SAPBEXHLevel1X 2" xfId="157" xr:uid="{00000000-0005-0000-0000-000088010000}"/>
    <cellStyle name="SAPBEXHLevel1X 2 2" xfId="386" xr:uid="{00000000-0005-0000-0000-000089010000}"/>
    <cellStyle name="SAPBEXHLevel1X 2 2 2" xfId="703" xr:uid="{00000000-0005-0000-0000-00008A010000}"/>
    <cellStyle name="SAPBEXHLevel1X 2 3" xfId="313" xr:uid="{00000000-0005-0000-0000-00008B010000}"/>
    <cellStyle name="SAPBEXHLevel1X 2 3 2" xfId="704" xr:uid="{00000000-0005-0000-0000-00008C010000}"/>
    <cellStyle name="SAPBEXHLevel1X 2 4" xfId="480" xr:uid="{00000000-0005-0000-0000-00008D010000}"/>
    <cellStyle name="SAPBEXHLevel1X 3" xfId="158" xr:uid="{00000000-0005-0000-0000-00008E010000}"/>
    <cellStyle name="SAPBEXHLevel1X 3 2" xfId="387" xr:uid="{00000000-0005-0000-0000-00008F010000}"/>
    <cellStyle name="SAPBEXHLevel1X 3 2 2" xfId="705" xr:uid="{00000000-0005-0000-0000-000090010000}"/>
    <cellStyle name="SAPBEXHLevel1X 3 3" xfId="314" xr:uid="{00000000-0005-0000-0000-000091010000}"/>
    <cellStyle name="SAPBEXHLevel1X 3 3 2" xfId="706" xr:uid="{00000000-0005-0000-0000-000092010000}"/>
    <cellStyle name="SAPBEXHLevel1X 3 4" xfId="479" xr:uid="{00000000-0005-0000-0000-000093010000}"/>
    <cellStyle name="SAPBEXHLevel1X 4" xfId="385" xr:uid="{00000000-0005-0000-0000-000094010000}"/>
    <cellStyle name="SAPBEXHLevel1X 4 2" xfId="707" xr:uid="{00000000-0005-0000-0000-000095010000}"/>
    <cellStyle name="SAPBEXHLevel1X 5" xfId="312" xr:uid="{00000000-0005-0000-0000-000096010000}"/>
    <cellStyle name="SAPBEXHLevel1X 5 2" xfId="708" xr:uid="{00000000-0005-0000-0000-000097010000}"/>
    <cellStyle name="SAPBEXHLevel1X 6" xfId="481" xr:uid="{00000000-0005-0000-0000-000098010000}"/>
    <cellStyle name="SAPBEXHLevel2" xfId="159" xr:uid="{00000000-0005-0000-0000-000099010000}"/>
    <cellStyle name="SAPBEXHLevel2 2" xfId="160" xr:uid="{00000000-0005-0000-0000-00009A010000}"/>
    <cellStyle name="SAPBEXHLevel2 2 2" xfId="389" xr:uid="{00000000-0005-0000-0000-00009B010000}"/>
    <cellStyle name="SAPBEXHLevel2 2 2 2" xfId="709" xr:uid="{00000000-0005-0000-0000-00009C010000}"/>
    <cellStyle name="SAPBEXHLevel2 2 3" xfId="316" xr:uid="{00000000-0005-0000-0000-00009D010000}"/>
    <cellStyle name="SAPBEXHLevel2 2 3 2" xfId="710" xr:uid="{00000000-0005-0000-0000-00009E010000}"/>
    <cellStyle name="SAPBEXHLevel2 2 4" xfId="477" xr:uid="{00000000-0005-0000-0000-00009F010000}"/>
    <cellStyle name="SAPBEXHLevel2 3" xfId="388" xr:uid="{00000000-0005-0000-0000-0000A0010000}"/>
    <cellStyle name="SAPBEXHLevel2 3 2" xfId="711" xr:uid="{00000000-0005-0000-0000-0000A1010000}"/>
    <cellStyle name="SAPBEXHLevel2 4" xfId="315" xr:uid="{00000000-0005-0000-0000-0000A2010000}"/>
    <cellStyle name="SAPBEXHLevel2 4 2" xfId="712" xr:uid="{00000000-0005-0000-0000-0000A3010000}"/>
    <cellStyle name="SAPBEXHLevel2 5" xfId="478" xr:uid="{00000000-0005-0000-0000-0000A4010000}"/>
    <cellStyle name="SAPBEXHLevel2X" xfId="161" xr:uid="{00000000-0005-0000-0000-0000A5010000}"/>
    <cellStyle name="SAPBEXHLevel2X 2" xfId="162" xr:uid="{00000000-0005-0000-0000-0000A6010000}"/>
    <cellStyle name="SAPBEXHLevel2X 2 2" xfId="391" xr:uid="{00000000-0005-0000-0000-0000A7010000}"/>
    <cellStyle name="SAPBEXHLevel2X 2 2 2" xfId="713" xr:uid="{00000000-0005-0000-0000-0000A8010000}"/>
    <cellStyle name="SAPBEXHLevel2X 2 3" xfId="318" xr:uid="{00000000-0005-0000-0000-0000A9010000}"/>
    <cellStyle name="SAPBEXHLevel2X 2 3 2" xfId="714" xr:uid="{00000000-0005-0000-0000-0000AA010000}"/>
    <cellStyle name="SAPBEXHLevel2X 2 4" xfId="487" xr:uid="{00000000-0005-0000-0000-0000AB010000}"/>
    <cellStyle name="SAPBEXHLevel2X 3" xfId="163" xr:uid="{00000000-0005-0000-0000-0000AC010000}"/>
    <cellStyle name="SAPBEXHLevel2X 3 2" xfId="392" xr:uid="{00000000-0005-0000-0000-0000AD010000}"/>
    <cellStyle name="SAPBEXHLevel2X 3 2 2" xfId="715" xr:uid="{00000000-0005-0000-0000-0000AE010000}"/>
    <cellStyle name="SAPBEXHLevel2X 3 3" xfId="319" xr:uid="{00000000-0005-0000-0000-0000AF010000}"/>
    <cellStyle name="SAPBEXHLevel2X 3 3 2" xfId="716" xr:uid="{00000000-0005-0000-0000-0000B0010000}"/>
    <cellStyle name="SAPBEXHLevel2X 3 4" xfId="508" xr:uid="{00000000-0005-0000-0000-0000B1010000}"/>
    <cellStyle name="SAPBEXHLevel2X 4" xfId="390" xr:uid="{00000000-0005-0000-0000-0000B2010000}"/>
    <cellStyle name="SAPBEXHLevel2X 4 2" xfId="717" xr:uid="{00000000-0005-0000-0000-0000B3010000}"/>
    <cellStyle name="SAPBEXHLevel2X 5" xfId="317" xr:uid="{00000000-0005-0000-0000-0000B4010000}"/>
    <cellStyle name="SAPBEXHLevel2X 5 2" xfId="718" xr:uid="{00000000-0005-0000-0000-0000B5010000}"/>
    <cellStyle name="SAPBEXHLevel2X 6" xfId="476" xr:uid="{00000000-0005-0000-0000-0000B6010000}"/>
    <cellStyle name="SAPBEXHLevel3" xfId="164" xr:uid="{00000000-0005-0000-0000-0000B7010000}"/>
    <cellStyle name="SAPBEXHLevel3 2" xfId="165" xr:uid="{00000000-0005-0000-0000-0000B8010000}"/>
    <cellStyle name="SAPBEXHLevel3 2 2" xfId="394" xr:uid="{00000000-0005-0000-0000-0000B9010000}"/>
    <cellStyle name="SAPBEXHLevel3 2 2 2" xfId="719" xr:uid="{00000000-0005-0000-0000-0000BA010000}"/>
    <cellStyle name="SAPBEXHLevel3 2 3" xfId="321" xr:uid="{00000000-0005-0000-0000-0000BB010000}"/>
    <cellStyle name="SAPBEXHLevel3 2 3 2" xfId="720" xr:uid="{00000000-0005-0000-0000-0000BC010000}"/>
    <cellStyle name="SAPBEXHLevel3 2 4" xfId="474" xr:uid="{00000000-0005-0000-0000-0000BD010000}"/>
    <cellStyle name="SAPBEXHLevel3 3" xfId="393" xr:uid="{00000000-0005-0000-0000-0000BE010000}"/>
    <cellStyle name="SAPBEXHLevel3 3 2" xfId="721" xr:uid="{00000000-0005-0000-0000-0000BF010000}"/>
    <cellStyle name="SAPBEXHLevel3 4" xfId="320" xr:uid="{00000000-0005-0000-0000-0000C0010000}"/>
    <cellStyle name="SAPBEXHLevel3 4 2" xfId="722" xr:uid="{00000000-0005-0000-0000-0000C1010000}"/>
    <cellStyle name="SAPBEXHLevel3 5" xfId="475" xr:uid="{00000000-0005-0000-0000-0000C2010000}"/>
    <cellStyle name="SAPBEXHLevel3X" xfId="166" xr:uid="{00000000-0005-0000-0000-0000C3010000}"/>
    <cellStyle name="SAPBEXHLevel3X 2" xfId="167" xr:uid="{00000000-0005-0000-0000-0000C4010000}"/>
    <cellStyle name="SAPBEXHLevel3X 2 2" xfId="396" xr:uid="{00000000-0005-0000-0000-0000C5010000}"/>
    <cellStyle name="SAPBEXHLevel3X 2 2 2" xfId="723" xr:uid="{00000000-0005-0000-0000-0000C6010000}"/>
    <cellStyle name="SAPBEXHLevel3X 2 3" xfId="511" xr:uid="{00000000-0005-0000-0000-0000C7010000}"/>
    <cellStyle name="SAPBEXHLevel3X 2 3 2" xfId="724" xr:uid="{00000000-0005-0000-0000-0000C8010000}"/>
    <cellStyle name="SAPBEXHLevel3X 2 4" xfId="530" xr:uid="{00000000-0005-0000-0000-0000C9010000}"/>
    <cellStyle name="SAPBEXHLevel3X 3" xfId="168" xr:uid="{00000000-0005-0000-0000-0000CA010000}"/>
    <cellStyle name="SAPBEXHLevel3X 3 2" xfId="397" xr:uid="{00000000-0005-0000-0000-0000CB010000}"/>
    <cellStyle name="SAPBEXHLevel3X 3 2 2" xfId="725" xr:uid="{00000000-0005-0000-0000-0000CC010000}"/>
    <cellStyle name="SAPBEXHLevel3X 3 3" xfId="323" xr:uid="{00000000-0005-0000-0000-0000CD010000}"/>
    <cellStyle name="SAPBEXHLevel3X 3 3 2" xfId="726" xr:uid="{00000000-0005-0000-0000-0000CE010000}"/>
    <cellStyle name="SAPBEXHLevel3X 3 4" xfId="472" xr:uid="{00000000-0005-0000-0000-0000CF010000}"/>
    <cellStyle name="SAPBEXHLevel3X 4" xfId="395" xr:uid="{00000000-0005-0000-0000-0000D0010000}"/>
    <cellStyle name="SAPBEXHLevel3X 4 2" xfId="727" xr:uid="{00000000-0005-0000-0000-0000D1010000}"/>
    <cellStyle name="SAPBEXHLevel3X 5" xfId="322" xr:uid="{00000000-0005-0000-0000-0000D2010000}"/>
    <cellStyle name="SAPBEXHLevel3X 5 2" xfId="728" xr:uid="{00000000-0005-0000-0000-0000D3010000}"/>
    <cellStyle name="SAPBEXHLevel3X 6" xfId="473" xr:uid="{00000000-0005-0000-0000-0000D4010000}"/>
    <cellStyle name="SAPBEXinputData" xfId="169" xr:uid="{00000000-0005-0000-0000-0000D5010000}"/>
    <cellStyle name="SAPBEXinputData 2" xfId="170" xr:uid="{00000000-0005-0000-0000-0000D6010000}"/>
    <cellStyle name="SAPBEXinputData 3" xfId="171" xr:uid="{00000000-0005-0000-0000-0000D7010000}"/>
    <cellStyle name="SAPBEXItemHeader" xfId="172" xr:uid="{00000000-0005-0000-0000-0000D8010000}"/>
    <cellStyle name="SAPBEXItemHeader 2" xfId="399" xr:uid="{00000000-0005-0000-0000-0000D9010000}"/>
    <cellStyle name="SAPBEXItemHeader 2 2" xfId="729" xr:uid="{00000000-0005-0000-0000-0000DA010000}"/>
    <cellStyle name="SAPBEXItemHeader 3" xfId="324" xr:uid="{00000000-0005-0000-0000-0000DB010000}"/>
    <cellStyle name="SAPBEXItemHeader 3 2" xfId="730" xr:uid="{00000000-0005-0000-0000-0000DC010000}"/>
    <cellStyle name="SAPBEXItemHeader 4" xfId="471" xr:uid="{00000000-0005-0000-0000-0000DD010000}"/>
    <cellStyle name="SAPBEXresData" xfId="173" xr:uid="{00000000-0005-0000-0000-0000DE010000}"/>
    <cellStyle name="SAPBEXresData 2" xfId="174" xr:uid="{00000000-0005-0000-0000-0000DF010000}"/>
    <cellStyle name="SAPBEXresData 2 2" xfId="401" xr:uid="{00000000-0005-0000-0000-0000E0010000}"/>
    <cellStyle name="SAPBEXresData 2 2 2" xfId="731" xr:uid="{00000000-0005-0000-0000-0000E1010000}"/>
    <cellStyle name="SAPBEXresData 2 3" xfId="326" xr:uid="{00000000-0005-0000-0000-0000E2010000}"/>
    <cellStyle name="SAPBEXresData 2 3 2" xfId="732" xr:uid="{00000000-0005-0000-0000-0000E3010000}"/>
    <cellStyle name="SAPBEXresData 2 4" xfId="469" xr:uid="{00000000-0005-0000-0000-0000E4010000}"/>
    <cellStyle name="SAPBEXresData 3" xfId="400" xr:uid="{00000000-0005-0000-0000-0000E5010000}"/>
    <cellStyle name="SAPBEXresData 3 2" xfId="733" xr:uid="{00000000-0005-0000-0000-0000E6010000}"/>
    <cellStyle name="SAPBEXresData 4" xfId="325" xr:uid="{00000000-0005-0000-0000-0000E7010000}"/>
    <cellStyle name="SAPBEXresData 4 2" xfId="734" xr:uid="{00000000-0005-0000-0000-0000E8010000}"/>
    <cellStyle name="SAPBEXresData 5" xfId="470" xr:uid="{00000000-0005-0000-0000-0000E9010000}"/>
    <cellStyle name="SAPBEXresDataEmph" xfId="175" xr:uid="{00000000-0005-0000-0000-0000EA010000}"/>
    <cellStyle name="SAPBEXresDataEmph 2" xfId="176" xr:uid="{00000000-0005-0000-0000-0000EB010000}"/>
    <cellStyle name="SAPBEXresDataEmph 3" xfId="402" xr:uid="{00000000-0005-0000-0000-0000EC010000}"/>
    <cellStyle name="SAPBEXresDataEmph 3 2" xfId="735" xr:uid="{00000000-0005-0000-0000-0000ED010000}"/>
    <cellStyle name="SAPBEXresDataEmph 4" xfId="327" xr:uid="{00000000-0005-0000-0000-0000EE010000}"/>
    <cellStyle name="SAPBEXresDataEmph 4 2" xfId="736" xr:uid="{00000000-0005-0000-0000-0000EF010000}"/>
    <cellStyle name="SAPBEXresDataEmph 5" xfId="468" xr:uid="{00000000-0005-0000-0000-0000F0010000}"/>
    <cellStyle name="SAPBEXresItem" xfId="177" xr:uid="{00000000-0005-0000-0000-0000F1010000}"/>
    <cellStyle name="SAPBEXresItem 2" xfId="178" xr:uid="{00000000-0005-0000-0000-0000F2010000}"/>
    <cellStyle name="SAPBEXresItem 2 2" xfId="404" xr:uid="{00000000-0005-0000-0000-0000F3010000}"/>
    <cellStyle name="SAPBEXresItem 2 2 2" xfId="737" xr:uid="{00000000-0005-0000-0000-0000F4010000}"/>
    <cellStyle name="SAPBEXresItem 2 3" xfId="330" xr:uid="{00000000-0005-0000-0000-0000F5010000}"/>
    <cellStyle name="SAPBEXresItem 2 3 2" xfId="738" xr:uid="{00000000-0005-0000-0000-0000F6010000}"/>
    <cellStyle name="SAPBEXresItem 2 4" xfId="465" xr:uid="{00000000-0005-0000-0000-0000F7010000}"/>
    <cellStyle name="SAPBEXresItem 3" xfId="403" xr:uid="{00000000-0005-0000-0000-0000F8010000}"/>
    <cellStyle name="SAPBEXresItem 3 2" xfId="739" xr:uid="{00000000-0005-0000-0000-0000F9010000}"/>
    <cellStyle name="SAPBEXresItem 4" xfId="329" xr:uid="{00000000-0005-0000-0000-0000FA010000}"/>
    <cellStyle name="SAPBEXresItem 4 2" xfId="740" xr:uid="{00000000-0005-0000-0000-0000FB010000}"/>
    <cellStyle name="SAPBEXresItem 5" xfId="466" xr:uid="{00000000-0005-0000-0000-0000FC010000}"/>
    <cellStyle name="SAPBEXresItemX" xfId="179" xr:uid="{00000000-0005-0000-0000-0000FD010000}"/>
    <cellStyle name="SAPBEXresItemX 2" xfId="180" xr:uid="{00000000-0005-0000-0000-0000FE010000}"/>
    <cellStyle name="SAPBEXresItemX 2 2" xfId="406" xr:uid="{00000000-0005-0000-0000-0000FF010000}"/>
    <cellStyle name="SAPBEXresItemX 2 2 2" xfId="741" xr:uid="{00000000-0005-0000-0000-000000020000}"/>
    <cellStyle name="SAPBEXresItemX 2 3" xfId="332" xr:uid="{00000000-0005-0000-0000-000001020000}"/>
    <cellStyle name="SAPBEXresItemX 2 3 2" xfId="742" xr:uid="{00000000-0005-0000-0000-000002020000}"/>
    <cellStyle name="SAPBEXresItemX 2 4" xfId="517" xr:uid="{00000000-0005-0000-0000-000003020000}"/>
    <cellStyle name="SAPBEXresItemX 3" xfId="405" xr:uid="{00000000-0005-0000-0000-000004020000}"/>
    <cellStyle name="SAPBEXresItemX 3 2" xfId="743" xr:uid="{00000000-0005-0000-0000-000005020000}"/>
    <cellStyle name="SAPBEXresItemX 4" xfId="331" xr:uid="{00000000-0005-0000-0000-000006020000}"/>
    <cellStyle name="SAPBEXresItemX 4 2" xfId="744" xr:uid="{00000000-0005-0000-0000-000007020000}"/>
    <cellStyle name="SAPBEXresItemX 5" xfId="464" xr:uid="{00000000-0005-0000-0000-000008020000}"/>
    <cellStyle name="SAPBEXstdData" xfId="181" xr:uid="{00000000-0005-0000-0000-000009020000}"/>
    <cellStyle name="SAPBEXstdData 2" xfId="182" xr:uid="{00000000-0005-0000-0000-00000A020000}"/>
    <cellStyle name="SAPBEXstdData 2 2" xfId="408" xr:uid="{00000000-0005-0000-0000-00000B020000}"/>
    <cellStyle name="SAPBEXstdData 2 2 2" xfId="745" xr:uid="{00000000-0005-0000-0000-00000C020000}"/>
    <cellStyle name="SAPBEXstdData 2 3" xfId="334" xr:uid="{00000000-0005-0000-0000-00000D020000}"/>
    <cellStyle name="SAPBEXstdData 2 3 2" xfId="746" xr:uid="{00000000-0005-0000-0000-00000E020000}"/>
    <cellStyle name="SAPBEXstdData 2 4" xfId="462" xr:uid="{00000000-0005-0000-0000-00000F020000}"/>
    <cellStyle name="SAPBEXstdData 3" xfId="407" xr:uid="{00000000-0005-0000-0000-000010020000}"/>
    <cellStyle name="SAPBEXstdData 3 2" xfId="747" xr:uid="{00000000-0005-0000-0000-000011020000}"/>
    <cellStyle name="SAPBEXstdData 4" xfId="333" xr:uid="{00000000-0005-0000-0000-000012020000}"/>
    <cellStyle name="SAPBEXstdData 4 2" xfId="748" xr:uid="{00000000-0005-0000-0000-000013020000}"/>
    <cellStyle name="SAPBEXstdData 5" xfId="463" xr:uid="{00000000-0005-0000-0000-000014020000}"/>
    <cellStyle name="SAPBEXstdDataEmph" xfId="183" xr:uid="{00000000-0005-0000-0000-000015020000}"/>
    <cellStyle name="SAPBEXstdDataEmph 2" xfId="184" xr:uid="{00000000-0005-0000-0000-000016020000}"/>
    <cellStyle name="SAPBEXstdDataEmph 2 2" xfId="410" xr:uid="{00000000-0005-0000-0000-000017020000}"/>
    <cellStyle name="SAPBEXstdDataEmph 2 2 2" xfId="749" xr:uid="{00000000-0005-0000-0000-000018020000}"/>
    <cellStyle name="SAPBEXstdDataEmph 2 3" xfId="336" xr:uid="{00000000-0005-0000-0000-000019020000}"/>
    <cellStyle name="SAPBEXstdDataEmph 2 3 2" xfId="750" xr:uid="{00000000-0005-0000-0000-00001A020000}"/>
    <cellStyle name="SAPBEXstdDataEmph 2 4" xfId="460" xr:uid="{00000000-0005-0000-0000-00001B020000}"/>
    <cellStyle name="SAPBEXstdDataEmph 3" xfId="409" xr:uid="{00000000-0005-0000-0000-00001C020000}"/>
    <cellStyle name="SAPBEXstdDataEmph 3 2" xfId="751" xr:uid="{00000000-0005-0000-0000-00001D020000}"/>
    <cellStyle name="SAPBEXstdDataEmph 4" xfId="335" xr:uid="{00000000-0005-0000-0000-00001E020000}"/>
    <cellStyle name="SAPBEXstdDataEmph 4 2" xfId="752" xr:uid="{00000000-0005-0000-0000-00001F020000}"/>
    <cellStyle name="SAPBEXstdDataEmph 5" xfId="461" xr:uid="{00000000-0005-0000-0000-000020020000}"/>
    <cellStyle name="SAPBEXstdItem" xfId="185" xr:uid="{00000000-0005-0000-0000-000021020000}"/>
    <cellStyle name="SAPBEXstdItem 2" xfId="186" xr:uid="{00000000-0005-0000-0000-000022020000}"/>
    <cellStyle name="SAPBEXstdItem 2 2" xfId="412" xr:uid="{00000000-0005-0000-0000-000023020000}"/>
    <cellStyle name="SAPBEXstdItem 2 2 2" xfId="753" xr:uid="{00000000-0005-0000-0000-000024020000}"/>
    <cellStyle name="SAPBEXstdItem 2 3" xfId="337" xr:uid="{00000000-0005-0000-0000-000025020000}"/>
    <cellStyle name="SAPBEXstdItem 2 3 2" xfId="754" xr:uid="{00000000-0005-0000-0000-000026020000}"/>
    <cellStyle name="SAPBEXstdItem 2 4" xfId="459" xr:uid="{00000000-0005-0000-0000-000027020000}"/>
    <cellStyle name="SAPBEXstdItem 3" xfId="411" xr:uid="{00000000-0005-0000-0000-000028020000}"/>
    <cellStyle name="SAPBEXstdItem 3 2" xfId="755" xr:uid="{00000000-0005-0000-0000-000029020000}"/>
    <cellStyle name="SAPBEXstdItem 4" xfId="510" xr:uid="{00000000-0005-0000-0000-00002A020000}"/>
    <cellStyle name="SAPBEXstdItem 4 2" xfId="756" xr:uid="{00000000-0005-0000-0000-00002B020000}"/>
    <cellStyle name="SAPBEXstdItem 5" xfId="529" xr:uid="{00000000-0005-0000-0000-00002C020000}"/>
    <cellStyle name="SAPBEXstdItemX" xfId="187" xr:uid="{00000000-0005-0000-0000-00002D020000}"/>
    <cellStyle name="SAPBEXstdItemX 2" xfId="188" xr:uid="{00000000-0005-0000-0000-00002E020000}"/>
    <cellStyle name="SAPBEXstdItemX 2 2" xfId="414" xr:uid="{00000000-0005-0000-0000-00002F020000}"/>
    <cellStyle name="SAPBEXstdItemX 2 2 2" xfId="757" xr:uid="{00000000-0005-0000-0000-000030020000}"/>
    <cellStyle name="SAPBEXstdItemX 2 3" xfId="491" xr:uid="{00000000-0005-0000-0000-000031020000}"/>
    <cellStyle name="SAPBEXstdItemX 2 3 2" xfId="758" xr:uid="{00000000-0005-0000-0000-000032020000}"/>
    <cellStyle name="SAPBEXstdItemX 2 4" xfId="526" xr:uid="{00000000-0005-0000-0000-000033020000}"/>
    <cellStyle name="SAPBEXstdItemX 3" xfId="413" xr:uid="{00000000-0005-0000-0000-000034020000}"/>
    <cellStyle name="SAPBEXstdItemX 3 2" xfId="759" xr:uid="{00000000-0005-0000-0000-000035020000}"/>
    <cellStyle name="SAPBEXstdItemX 4" xfId="498" xr:uid="{00000000-0005-0000-0000-000036020000}"/>
    <cellStyle name="SAPBEXstdItemX 4 2" xfId="760" xr:uid="{00000000-0005-0000-0000-000037020000}"/>
    <cellStyle name="SAPBEXstdItemX 5" xfId="527" xr:uid="{00000000-0005-0000-0000-000038020000}"/>
    <cellStyle name="SAPBEXtitle" xfId="189" xr:uid="{00000000-0005-0000-0000-000039020000}"/>
    <cellStyle name="SAPBEXtitle 2" xfId="190" xr:uid="{00000000-0005-0000-0000-00003A020000}"/>
    <cellStyle name="SAPBEXtitle 2 2" xfId="268" xr:uid="{00000000-0005-0000-0000-00003B020000}"/>
    <cellStyle name="SAPBEXtitle 2 2 2" xfId="443" xr:uid="{00000000-0005-0000-0000-00003C020000}"/>
    <cellStyle name="SAPBEXtitle 2 2 2 2" xfId="761" xr:uid="{00000000-0005-0000-0000-00003D020000}"/>
    <cellStyle name="SAPBEXtitle 2 2 3" xfId="437" xr:uid="{00000000-0005-0000-0000-00003E020000}"/>
    <cellStyle name="SAPBEXtitle 2 3" xfId="415" xr:uid="{00000000-0005-0000-0000-00003F020000}"/>
    <cellStyle name="SAPBEXtitle 2 3 2" xfId="762" xr:uid="{00000000-0005-0000-0000-000040020000}"/>
    <cellStyle name="SAPBEXtitle 2 4" xfId="490" xr:uid="{00000000-0005-0000-0000-000041020000}"/>
    <cellStyle name="SAPBEXtitle 2 4 2" xfId="763" xr:uid="{00000000-0005-0000-0000-000042020000}"/>
    <cellStyle name="SAPBEXtitle 2 5" xfId="525" xr:uid="{00000000-0005-0000-0000-000043020000}"/>
    <cellStyle name="SAPBEXunassignedItem" xfId="191" xr:uid="{00000000-0005-0000-0000-000044020000}"/>
    <cellStyle name="SAPBEXundefined" xfId="192" xr:uid="{00000000-0005-0000-0000-000045020000}"/>
    <cellStyle name="SAPBEXundefined 2" xfId="193" xr:uid="{00000000-0005-0000-0000-000046020000}"/>
    <cellStyle name="SAPBEXundefined 2 2" xfId="418" xr:uid="{00000000-0005-0000-0000-000047020000}"/>
    <cellStyle name="SAPBEXundefined 2 2 2" xfId="764" xr:uid="{00000000-0005-0000-0000-000048020000}"/>
    <cellStyle name="SAPBEXundefined 2 3" xfId="509" xr:uid="{00000000-0005-0000-0000-000049020000}"/>
    <cellStyle name="SAPBEXundefined 2 3 2" xfId="765" xr:uid="{00000000-0005-0000-0000-00004A020000}"/>
    <cellStyle name="SAPBEXundefined 2 4" xfId="528" xr:uid="{00000000-0005-0000-0000-00004B020000}"/>
    <cellStyle name="SAPBEXundefined 3" xfId="417" xr:uid="{00000000-0005-0000-0000-00004C020000}"/>
    <cellStyle name="SAPBEXundefined 3 2" xfId="766" xr:uid="{00000000-0005-0000-0000-00004D020000}"/>
    <cellStyle name="SAPBEXundefined 4" xfId="338" xr:uid="{00000000-0005-0000-0000-00004E020000}"/>
    <cellStyle name="SAPBEXundefined 4 2" xfId="767" xr:uid="{00000000-0005-0000-0000-00004F020000}"/>
    <cellStyle name="SAPBEXundefined 5" xfId="458" xr:uid="{00000000-0005-0000-0000-000050020000}"/>
    <cellStyle name="Sheet Title" xfId="194" xr:uid="{00000000-0005-0000-0000-000051020000}"/>
    <cellStyle name="Title" xfId="195" xr:uid="{00000000-0005-0000-0000-000052020000}"/>
    <cellStyle name="Total" xfId="196" xr:uid="{00000000-0005-0000-0000-000053020000}"/>
    <cellStyle name="Total 2" xfId="420" xr:uid="{00000000-0005-0000-0000-000054020000}"/>
    <cellStyle name="Total 2 2" xfId="768" xr:uid="{00000000-0005-0000-0000-000055020000}"/>
    <cellStyle name="Total 3" xfId="339" xr:uid="{00000000-0005-0000-0000-000056020000}"/>
    <cellStyle name="Total 3 2" xfId="769" xr:uid="{00000000-0005-0000-0000-000057020000}"/>
    <cellStyle name="Total 4" xfId="456" xr:uid="{00000000-0005-0000-0000-000058020000}"/>
    <cellStyle name="Warning Text" xfId="197" xr:uid="{00000000-0005-0000-0000-000059020000}"/>
    <cellStyle name="Акцент1 2" xfId="198" xr:uid="{00000000-0005-0000-0000-00005A020000}"/>
    <cellStyle name="Акцент2 2" xfId="199" xr:uid="{00000000-0005-0000-0000-00005B020000}"/>
    <cellStyle name="Акцент3 2" xfId="200" xr:uid="{00000000-0005-0000-0000-00005C020000}"/>
    <cellStyle name="Акцент4 2" xfId="201" xr:uid="{00000000-0005-0000-0000-00005D020000}"/>
    <cellStyle name="Акцент5 2" xfId="202" xr:uid="{00000000-0005-0000-0000-00005E020000}"/>
    <cellStyle name="Акцент6 2" xfId="203" xr:uid="{00000000-0005-0000-0000-00005F020000}"/>
    <cellStyle name="Ввод  2" xfId="204" xr:uid="{00000000-0005-0000-0000-000060020000}"/>
    <cellStyle name="Ввод  2 2" xfId="422" xr:uid="{00000000-0005-0000-0000-000061020000}"/>
    <cellStyle name="Ввод  2 2 2" xfId="770" xr:uid="{00000000-0005-0000-0000-000062020000}"/>
    <cellStyle name="Ввод  2 3" xfId="369" xr:uid="{00000000-0005-0000-0000-000063020000}"/>
    <cellStyle name="Ввод  2 3 2" xfId="771" xr:uid="{00000000-0005-0000-0000-000064020000}"/>
    <cellStyle name="Ввод  2 4" xfId="515" xr:uid="{00000000-0005-0000-0000-000065020000}"/>
    <cellStyle name="Вывод 2" xfId="205" xr:uid="{00000000-0005-0000-0000-000066020000}"/>
    <cellStyle name="Вывод 2 2" xfId="423" xr:uid="{00000000-0005-0000-0000-000067020000}"/>
    <cellStyle name="Вывод 2 2 2" xfId="772" xr:uid="{00000000-0005-0000-0000-000068020000}"/>
    <cellStyle name="Вывод 2 3" xfId="371" xr:uid="{00000000-0005-0000-0000-000069020000}"/>
    <cellStyle name="Вывод 2 3 2" xfId="773" xr:uid="{00000000-0005-0000-0000-00006A020000}"/>
    <cellStyle name="Вывод 2 4" xfId="304" xr:uid="{00000000-0005-0000-0000-00006B020000}"/>
    <cellStyle name="Вычисление 2" xfId="206" xr:uid="{00000000-0005-0000-0000-00006C020000}"/>
    <cellStyle name="Вычисление 2 2" xfId="424" xr:uid="{00000000-0005-0000-0000-00006D020000}"/>
    <cellStyle name="Вычисление 2 2 2" xfId="774" xr:uid="{00000000-0005-0000-0000-00006E020000}"/>
    <cellStyle name="Вычисление 2 3" xfId="375" xr:uid="{00000000-0005-0000-0000-00006F020000}"/>
    <cellStyle name="Вычисление 2 3 2" xfId="775" xr:uid="{00000000-0005-0000-0000-000070020000}"/>
    <cellStyle name="Вычисление 2 4" xfId="305" xr:uid="{00000000-0005-0000-0000-000071020000}"/>
    <cellStyle name="Денежный 2" xfId="222" xr:uid="{00000000-0005-0000-0000-000072020000}"/>
    <cellStyle name="Заголовок 1 2" xfId="207" xr:uid="{00000000-0005-0000-0000-000073020000}"/>
    <cellStyle name="Заголовок 2 2" xfId="208" xr:uid="{00000000-0005-0000-0000-000074020000}"/>
    <cellStyle name="Заголовок 3 2" xfId="209" xr:uid="{00000000-0005-0000-0000-000075020000}"/>
    <cellStyle name="Заголовок 4 2" xfId="210" xr:uid="{00000000-0005-0000-0000-000076020000}"/>
    <cellStyle name="Итог 2" xfId="211" xr:uid="{00000000-0005-0000-0000-000077020000}"/>
    <cellStyle name="Итог 2 2" xfId="425" xr:uid="{00000000-0005-0000-0000-000078020000}"/>
    <cellStyle name="Итог 2 2 2" xfId="776" xr:uid="{00000000-0005-0000-0000-000079020000}"/>
    <cellStyle name="Итог 2 3" xfId="398" xr:uid="{00000000-0005-0000-0000-00007A020000}"/>
    <cellStyle name="Итог 2 3 2" xfId="777" xr:uid="{00000000-0005-0000-0000-00007B020000}"/>
    <cellStyle name="Итог 2 4" xfId="328" xr:uid="{00000000-0005-0000-0000-00007C020000}"/>
    <cellStyle name="Контрольная ячейка 2" xfId="212" xr:uid="{00000000-0005-0000-0000-00007D020000}"/>
    <cellStyle name="Нейтральный 2" xfId="213" xr:uid="{00000000-0005-0000-0000-00007E020000}"/>
    <cellStyle name="Обычный 10" xfId="17" xr:uid="{00000000-0005-0000-0000-000080020000}"/>
    <cellStyle name="Обычный 10 2" xfId="570" xr:uid="{00000000-0005-0000-0000-000081020000}"/>
    <cellStyle name="Обычный 11" xfId="606" xr:uid="{00000000-0005-0000-0000-000082020000}"/>
    <cellStyle name="Обычный 12" xfId="14" xr:uid="{00000000-0005-0000-0000-000083020000}"/>
    <cellStyle name="Обычный 12 2" xfId="25" xr:uid="{00000000-0005-0000-0000-000084020000}"/>
    <cellStyle name="Обычный 12 2 2" xfId="578" xr:uid="{00000000-0005-0000-0000-000085020000}"/>
    <cellStyle name="Обычный 12 3" xfId="540" xr:uid="{00000000-0005-0000-0000-000086020000}"/>
    <cellStyle name="Обычный 13" xfId="2" xr:uid="{00000000-0005-0000-0000-000087020000}"/>
    <cellStyle name="Обычный 2" xfId="1" xr:uid="{00000000-0005-0000-0000-000088020000}"/>
    <cellStyle name="Обычный 2 2" xfId="4" xr:uid="{00000000-0005-0000-0000-000089020000}"/>
    <cellStyle name="Обычный 2 2 2" xfId="5" xr:uid="{00000000-0005-0000-0000-00008A020000}"/>
    <cellStyle name="Обычный 2 2 2 2" xfId="12" xr:uid="{00000000-0005-0000-0000-00008B020000}"/>
    <cellStyle name="Обычный 2 2 2 2 2" xfId="254" xr:uid="{00000000-0005-0000-0000-00008C020000}"/>
    <cellStyle name="Обычный 2 2 2 2 2 2" xfId="605" xr:uid="{00000000-0005-0000-0000-00008D020000}"/>
    <cellStyle name="Обычный 2 2 2 2 2 3" xfId="543" xr:uid="{00000000-0005-0000-0000-00008E020000}"/>
    <cellStyle name="Обычный 2 2 2 2 3" xfId="24" xr:uid="{00000000-0005-0000-0000-00008F020000}"/>
    <cellStyle name="Обычный 2 2 2 2 3 2" xfId="577" xr:uid="{00000000-0005-0000-0000-000090020000}"/>
    <cellStyle name="Обычный 2 2 2 2 4" xfId="542" xr:uid="{00000000-0005-0000-0000-000091020000}"/>
    <cellStyle name="Обычный 2 2 2 3" xfId="256" xr:uid="{00000000-0005-0000-0000-000092020000}"/>
    <cellStyle name="Обычный 2 2 3" xfId="28" xr:uid="{00000000-0005-0000-0000-000093020000}"/>
    <cellStyle name="Обычный 2 2 3 2" xfId="235" xr:uid="{00000000-0005-0000-0000-000094020000}"/>
    <cellStyle name="Обычный 2 2 3 2 2" xfId="587" xr:uid="{00000000-0005-0000-0000-000095020000}"/>
    <cellStyle name="Обычный 2 2 3 2 3" xfId="545" xr:uid="{00000000-0005-0000-0000-000096020000}"/>
    <cellStyle name="Обычный 2 2 3 3" xfId="581" xr:uid="{00000000-0005-0000-0000-000097020000}"/>
    <cellStyle name="Обычный 2 2 3 4" xfId="544" xr:uid="{00000000-0005-0000-0000-000098020000}"/>
    <cellStyle name="Обычный 2 2 4" xfId="233" xr:uid="{00000000-0005-0000-0000-000099020000}"/>
    <cellStyle name="Обычный 2 2 4 2" xfId="585" xr:uid="{00000000-0005-0000-0000-00009A020000}"/>
    <cellStyle name="Обычный 2 2 4 3" xfId="546" xr:uid="{00000000-0005-0000-0000-00009B020000}"/>
    <cellStyle name="Обычный 2 2 5" xfId="241" xr:uid="{00000000-0005-0000-0000-00009C020000}"/>
    <cellStyle name="Обычный 2 2 5 2" xfId="593" xr:uid="{00000000-0005-0000-0000-00009D020000}"/>
    <cellStyle name="Обычный 2 2 5 3" xfId="547" xr:uid="{00000000-0005-0000-0000-00009E020000}"/>
    <cellStyle name="Обычный 2 2 6" xfId="248" xr:uid="{00000000-0005-0000-0000-00009F020000}"/>
    <cellStyle name="Обычный 2 2 6 2" xfId="599" xr:uid="{00000000-0005-0000-0000-0000A0020000}"/>
    <cellStyle name="Обычный 2 2 6 3" xfId="548" xr:uid="{00000000-0005-0000-0000-0000A1020000}"/>
    <cellStyle name="Обычный 2 2 7" xfId="18" xr:uid="{00000000-0005-0000-0000-0000A2020000}"/>
    <cellStyle name="Обычный 2 2 7 2" xfId="571" xr:uid="{00000000-0005-0000-0000-0000A3020000}"/>
    <cellStyle name="Обычный 2 2 8" xfId="541" xr:uid="{00000000-0005-0000-0000-0000A4020000}"/>
    <cellStyle name="Обычный 2 3" xfId="10" xr:uid="{00000000-0005-0000-0000-0000A5020000}"/>
    <cellStyle name="Обычный 2 3 2" xfId="232" xr:uid="{00000000-0005-0000-0000-0000A6020000}"/>
    <cellStyle name="Обычный 2 3 3" xfId="227" xr:uid="{00000000-0005-0000-0000-0000A7020000}"/>
    <cellStyle name="Обычный 2 3 4" xfId="246" xr:uid="{00000000-0005-0000-0000-0000A8020000}"/>
    <cellStyle name="Обычный 2 3 5" xfId="223" xr:uid="{00000000-0005-0000-0000-0000A9020000}"/>
    <cellStyle name="Обычный 2 4" xfId="230" xr:uid="{00000000-0005-0000-0000-0000AA020000}"/>
    <cellStyle name="Обычный 2 4 2" xfId="257" xr:uid="{00000000-0005-0000-0000-0000AB020000}"/>
    <cellStyle name="Обычный 2 4 3" xfId="258" xr:uid="{00000000-0005-0000-0000-0000AC020000}"/>
    <cellStyle name="Обычный 2 5" xfId="224" xr:uid="{00000000-0005-0000-0000-0000AD020000}"/>
    <cellStyle name="Обычный 2 6" xfId="31" xr:uid="{00000000-0005-0000-0000-0000AE020000}"/>
    <cellStyle name="Обычный 3" xfId="7" xr:uid="{00000000-0005-0000-0000-0000AF020000}"/>
    <cellStyle name="Обычный 3 2" xfId="9" xr:uid="{00000000-0005-0000-0000-0000B0020000}"/>
    <cellStyle name="Обычный 3 2 2" xfId="245" xr:uid="{00000000-0005-0000-0000-0000B1020000}"/>
    <cellStyle name="Обычный 3 2 2 2" xfId="597" xr:uid="{00000000-0005-0000-0000-0000B2020000}"/>
    <cellStyle name="Обычный 3 2 2 3" xfId="550" xr:uid="{00000000-0005-0000-0000-0000B3020000}"/>
    <cellStyle name="Обычный 3 2 3" xfId="252" xr:uid="{00000000-0005-0000-0000-0000B4020000}"/>
    <cellStyle name="Обычный 3 2 3 2" xfId="603" xr:uid="{00000000-0005-0000-0000-0000B5020000}"/>
    <cellStyle name="Обычный 3 2 3 3" xfId="551" xr:uid="{00000000-0005-0000-0000-0000B6020000}"/>
    <cellStyle name="Обычный 3 2 4" xfId="214" xr:uid="{00000000-0005-0000-0000-0000B7020000}"/>
    <cellStyle name="Обычный 3 2 5" xfId="22" xr:uid="{00000000-0005-0000-0000-0000B8020000}"/>
    <cellStyle name="Обычный 3 2 5 2" xfId="575" xr:uid="{00000000-0005-0000-0000-0000B9020000}"/>
    <cellStyle name="Обычный 3 2 6" xfId="549" xr:uid="{00000000-0005-0000-0000-0000BA020000}"/>
    <cellStyle name="Обычный 3 3" xfId="234" xr:uid="{00000000-0005-0000-0000-0000BB020000}"/>
    <cellStyle name="Обычный 3 3 2" xfId="586" xr:uid="{00000000-0005-0000-0000-0000BC020000}"/>
    <cellStyle name="Обычный 3 3 3" xfId="552" xr:uid="{00000000-0005-0000-0000-0000BD020000}"/>
    <cellStyle name="Обычный 3 4" xfId="243" xr:uid="{00000000-0005-0000-0000-0000BE020000}"/>
    <cellStyle name="Обычный 3 4 2" xfId="595" xr:uid="{00000000-0005-0000-0000-0000BF020000}"/>
    <cellStyle name="Обычный 3 4 3" xfId="553" xr:uid="{00000000-0005-0000-0000-0000C0020000}"/>
    <cellStyle name="Обычный 3 5" xfId="250" xr:uid="{00000000-0005-0000-0000-0000C1020000}"/>
    <cellStyle name="Обычный 3 5 2" xfId="601" xr:uid="{00000000-0005-0000-0000-0000C2020000}"/>
    <cellStyle name="Обычный 3 5 3" xfId="554" xr:uid="{00000000-0005-0000-0000-0000C3020000}"/>
    <cellStyle name="Обычный 3 6" xfId="20" xr:uid="{00000000-0005-0000-0000-0000C4020000}"/>
    <cellStyle name="Обычный 3 6 2" xfId="573" xr:uid="{00000000-0005-0000-0000-0000C5020000}"/>
    <cellStyle name="Обычный 3 7" xfId="535" xr:uid="{00000000-0005-0000-0000-0000C6020000}"/>
    <cellStyle name="Обычный 4" xfId="8" xr:uid="{00000000-0005-0000-0000-0000C7020000}"/>
    <cellStyle name="Обычный 4 2" xfId="244" xr:uid="{00000000-0005-0000-0000-0000C8020000}"/>
    <cellStyle name="Обычный 4 2 2" xfId="596" xr:uid="{00000000-0005-0000-0000-0000C9020000}"/>
    <cellStyle name="Обычный 4 2 3" xfId="556" xr:uid="{00000000-0005-0000-0000-0000CA020000}"/>
    <cellStyle name="Обычный 4 3" xfId="251" xr:uid="{00000000-0005-0000-0000-0000CB020000}"/>
    <cellStyle name="Обычный 4 3 2" xfId="602" xr:uid="{00000000-0005-0000-0000-0000CC020000}"/>
    <cellStyle name="Обычный 4 3 3" xfId="557" xr:uid="{00000000-0005-0000-0000-0000CD020000}"/>
    <cellStyle name="Обычный 4 4" xfId="215" xr:uid="{00000000-0005-0000-0000-0000CE020000}"/>
    <cellStyle name="Обычный 4 5" xfId="21" xr:uid="{00000000-0005-0000-0000-0000CF020000}"/>
    <cellStyle name="Обычный 4 5 2" xfId="574" xr:uid="{00000000-0005-0000-0000-0000D0020000}"/>
    <cellStyle name="Обычный 4 6" xfId="555" xr:uid="{00000000-0005-0000-0000-0000D1020000}"/>
    <cellStyle name="Обычный 5" xfId="6" xr:uid="{00000000-0005-0000-0000-0000D2020000}"/>
    <cellStyle name="Обычный 5 2" xfId="242" xr:uid="{00000000-0005-0000-0000-0000D3020000}"/>
    <cellStyle name="Обычный 5 2 2" xfId="594" xr:uid="{00000000-0005-0000-0000-0000D4020000}"/>
    <cellStyle name="Обычный 5 2 3" xfId="559" xr:uid="{00000000-0005-0000-0000-0000D5020000}"/>
    <cellStyle name="Обычный 5 3" xfId="249" xr:uid="{00000000-0005-0000-0000-0000D6020000}"/>
    <cellStyle name="Обычный 5 3 2" xfId="600" xr:uid="{00000000-0005-0000-0000-0000D7020000}"/>
    <cellStyle name="Обычный 5 3 3" xfId="560" xr:uid="{00000000-0005-0000-0000-0000D8020000}"/>
    <cellStyle name="Обычный 5 4" xfId="30" xr:uid="{00000000-0005-0000-0000-0000D9020000}"/>
    <cellStyle name="Обычный 5 5" xfId="19" xr:uid="{00000000-0005-0000-0000-0000DA020000}"/>
    <cellStyle name="Обычный 5 5 2" xfId="572" xr:uid="{00000000-0005-0000-0000-0000DB020000}"/>
    <cellStyle name="Обычный 5 6" xfId="558" xr:uid="{00000000-0005-0000-0000-0000DC020000}"/>
    <cellStyle name="Обычный 6" xfId="11" xr:uid="{00000000-0005-0000-0000-0000DD020000}"/>
    <cellStyle name="Обычный 6 2" xfId="239" xr:uid="{00000000-0005-0000-0000-0000DE020000}"/>
    <cellStyle name="Обычный 6 2 2" xfId="591" xr:uid="{00000000-0005-0000-0000-0000DF020000}"/>
    <cellStyle name="Обычный 6 2 3" xfId="562" xr:uid="{00000000-0005-0000-0000-0000E0020000}"/>
    <cellStyle name="Обычный 6 3" xfId="247" xr:uid="{00000000-0005-0000-0000-0000E1020000}"/>
    <cellStyle name="Обычный 6 3 2" xfId="598" xr:uid="{00000000-0005-0000-0000-0000E2020000}"/>
    <cellStyle name="Обычный 6 3 3" xfId="563" xr:uid="{00000000-0005-0000-0000-0000E3020000}"/>
    <cellStyle name="Обычный 6 4" xfId="253" xr:uid="{00000000-0005-0000-0000-0000E4020000}"/>
    <cellStyle name="Обычный 6 4 2" xfId="604" xr:uid="{00000000-0005-0000-0000-0000E5020000}"/>
    <cellStyle name="Обычный 6 4 3" xfId="564" xr:uid="{00000000-0005-0000-0000-0000E6020000}"/>
    <cellStyle name="Обычный 6 5" xfId="23" xr:uid="{00000000-0005-0000-0000-0000E7020000}"/>
    <cellStyle name="Обычный 6 5 2" xfId="576" xr:uid="{00000000-0005-0000-0000-0000E8020000}"/>
    <cellStyle name="Обычный 6 6" xfId="561" xr:uid="{00000000-0005-0000-0000-0000E9020000}"/>
    <cellStyle name="Обычный 7" xfId="13" xr:uid="{00000000-0005-0000-0000-0000EA020000}"/>
    <cellStyle name="Обычный 7 2" xfId="15" xr:uid="{00000000-0005-0000-0000-0000EB020000}"/>
    <cellStyle name="Обычный 7 2 2" xfId="236" xr:uid="{00000000-0005-0000-0000-0000EC020000}"/>
    <cellStyle name="Обычный 7 2 2 2" xfId="588" xr:uid="{00000000-0005-0000-0000-0000ED020000}"/>
    <cellStyle name="Обычный 7 2 2 3" xfId="566" xr:uid="{00000000-0005-0000-0000-0000EE020000}"/>
    <cellStyle name="Обычный 7 2 3" xfId="26" xr:uid="{00000000-0005-0000-0000-0000EF020000}"/>
    <cellStyle name="Обычный 7 2 3 2" xfId="579" xr:uid="{00000000-0005-0000-0000-0000F0020000}"/>
    <cellStyle name="Обычный 7 2 4" xfId="565" xr:uid="{00000000-0005-0000-0000-0000F1020000}"/>
    <cellStyle name="Обычный 7 3" xfId="255" xr:uid="{00000000-0005-0000-0000-0000F2020000}"/>
    <cellStyle name="Обычный 7 4" xfId="29" xr:uid="{00000000-0005-0000-0000-0000F3020000}"/>
    <cellStyle name="Обычный 7 4 2" xfId="582" xr:uid="{00000000-0005-0000-0000-0000F4020000}"/>
    <cellStyle name="Обычный 7 4 3" xfId="567" xr:uid="{00000000-0005-0000-0000-0000F5020000}"/>
    <cellStyle name="Обычный 8" xfId="3" xr:uid="{00000000-0005-0000-0000-0000F6020000}"/>
    <cellStyle name="Обычный 8 2" xfId="240" xr:uid="{00000000-0005-0000-0000-0000F7020000}"/>
    <cellStyle name="Обычный 8 2 2" xfId="592" xr:uid="{00000000-0005-0000-0000-0000F8020000}"/>
    <cellStyle name="Обычный 8 3" xfId="568" xr:uid="{00000000-0005-0000-0000-0000F9020000}"/>
    <cellStyle name="Обычный 9" xfId="16" xr:uid="{00000000-0005-0000-0000-0000FA020000}"/>
    <cellStyle name="Обычный 9 2" xfId="27" xr:uid="{00000000-0005-0000-0000-0000FB020000}"/>
    <cellStyle name="Обычный 9 2 2" xfId="580" xr:uid="{00000000-0005-0000-0000-0000FC020000}"/>
    <cellStyle name="Обычный 9 3" xfId="569" xr:uid="{00000000-0005-0000-0000-0000FD020000}"/>
    <cellStyle name="Плохой 2" xfId="216" xr:uid="{00000000-0005-0000-0000-0000FE020000}"/>
    <cellStyle name="Примечание 2" xfId="217" xr:uid="{00000000-0005-0000-0000-0000FF020000}"/>
    <cellStyle name="Примечание 2 2" xfId="429" xr:uid="{00000000-0005-0000-0000-000000030000}"/>
    <cellStyle name="Примечание 2 2 2" xfId="778" xr:uid="{00000000-0005-0000-0000-000001030000}"/>
    <cellStyle name="Примечание 2 3" xfId="421" xr:uid="{00000000-0005-0000-0000-000002030000}"/>
    <cellStyle name="Примечание 2 3 2" xfId="779" xr:uid="{00000000-0005-0000-0000-000003030000}"/>
    <cellStyle name="Примечание 2 4" xfId="440" xr:uid="{00000000-0005-0000-0000-000004030000}"/>
    <cellStyle name="Связанная ячейка 2" xfId="218" xr:uid="{00000000-0005-0000-0000-000005030000}"/>
    <cellStyle name="Текст предупреждения 2" xfId="219" xr:uid="{00000000-0005-0000-0000-000006030000}"/>
    <cellStyle name="Финансовый 2" xfId="220" xr:uid="{00000000-0005-0000-0000-000007030000}"/>
    <cellStyle name="Хороший 2" xfId="221" xr:uid="{00000000-0005-0000-0000-000008030000}"/>
    <cellStyle name="Хороший 2 2" xfId="231" xr:uid="{00000000-0005-0000-0000-000009030000}"/>
    <cellStyle name="Хороший 2 3" xfId="229" xr:uid="{00000000-0005-0000-0000-00000A030000}"/>
    <cellStyle name="Хороший 3" xfId="228" xr:uid="{00000000-0005-0000-0000-00000B03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9"/>
  <sheetViews>
    <sheetView workbookViewId="0">
      <selection activeCell="G33" sqref="G33"/>
    </sheetView>
  </sheetViews>
  <sheetFormatPr defaultRowHeight="15" x14ac:dyDescent="0.25"/>
  <sheetData>
    <row r="1" spans="1:1" x14ac:dyDescent="0.25">
      <c r="A1" t="s">
        <v>59</v>
      </c>
    </row>
    <row r="3" spans="1:1" x14ac:dyDescent="0.25">
      <c r="A3" t="s">
        <v>60</v>
      </c>
    </row>
    <row r="5" spans="1:1" x14ac:dyDescent="0.25">
      <c r="A5" t="s">
        <v>61</v>
      </c>
    </row>
    <row r="7" spans="1:1" x14ac:dyDescent="0.25">
      <c r="A7" t="s">
        <v>62</v>
      </c>
    </row>
    <row r="8" spans="1:1" x14ac:dyDescent="0.25">
      <c r="A8" t="s">
        <v>63</v>
      </c>
    </row>
    <row r="9" spans="1:1" x14ac:dyDescent="0.25">
      <c r="A9" t="s">
        <v>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Лист1"/>
  <dimension ref="A1:J80"/>
  <sheetViews>
    <sheetView workbookViewId="0">
      <selection activeCell="D25" sqref="D25"/>
    </sheetView>
  </sheetViews>
  <sheetFormatPr defaultRowHeight="15" x14ac:dyDescent="0.25"/>
  <cols>
    <col min="1" max="1" width="13.7109375" customWidth="1"/>
    <col min="2" max="2" width="33.85546875" bestFit="1" customWidth="1"/>
    <col min="3" max="3" width="35" bestFit="1" customWidth="1"/>
    <col min="4" max="5" width="16.28515625" style="12" customWidth="1"/>
    <col min="6" max="13" width="16.28515625" customWidth="1"/>
  </cols>
  <sheetData>
    <row r="1" spans="1:5" x14ac:dyDescent="0.25">
      <c r="A1" s="10"/>
      <c r="B1" s="10"/>
      <c r="C1" s="10"/>
      <c r="D1" s="13"/>
      <c r="E1" s="13"/>
    </row>
    <row r="2" spans="1:5" x14ac:dyDescent="0.25">
      <c r="A2" s="246" t="s">
        <v>31</v>
      </c>
      <c r="B2" s="246" t="s">
        <v>22</v>
      </c>
      <c r="C2" s="246" t="s">
        <v>3</v>
      </c>
      <c r="D2" s="249" t="s">
        <v>23</v>
      </c>
      <c r="E2" s="250"/>
    </row>
    <row r="3" spans="1:5" x14ac:dyDescent="0.25">
      <c r="A3" s="247"/>
      <c r="B3" s="247"/>
      <c r="C3" s="247"/>
      <c r="D3" s="251"/>
      <c r="E3" s="252"/>
    </row>
    <row r="4" spans="1:5" x14ac:dyDescent="0.25">
      <c r="A4" s="248"/>
      <c r="B4" s="248"/>
      <c r="C4" s="248"/>
      <c r="D4" s="11">
        <v>20</v>
      </c>
      <c r="E4" s="11">
        <v>40</v>
      </c>
    </row>
    <row r="5" spans="1:5" x14ac:dyDescent="0.25">
      <c r="A5" s="9" t="s">
        <v>13</v>
      </c>
      <c r="B5" s="9" t="s">
        <v>36</v>
      </c>
      <c r="C5" s="11" t="s">
        <v>21</v>
      </c>
      <c r="D5" s="187">
        <v>4336</v>
      </c>
      <c r="E5" s="189">
        <v>7272</v>
      </c>
    </row>
    <row r="6" spans="1:5" x14ac:dyDescent="0.25">
      <c r="A6" s="8" t="s">
        <v>14</v>
      </c>
      <c r="B6" s="9" t="s">
        <v>40</v>
      </c>
      <c r="C6" s="11" t="s">
        <v>21</v>
      </c>
      <c r="D6" s="187">
        <v>4086</v>
      </c>
      <c r="E6" s="189">
        <v>6872</v>
      </c>
    </row>
    <row r="7" spans="1:5" x14ac:dyDescent="0.25">
      <c r="A7" s="8" t="s">
        <v>15</v>
      </c>
      <c r="B7" s="9" t="s">
        <v>36</v>
      </c>
      <c r="C7" s="11" t="s">
        <v>21</v>
      </c>
      <c r="D7" s="187">
        <v>4086</v>
      </c>
      <c r="E7" s="189">
        <v>6872</v>
      </c>
    </row>
    <row r="8" spans="1:5" x14ac:dyDescent="0.25">
      <c r="A8" s="8" t="s">
        <v>16</v>
      </c>
      <c r="B8" s="9" t="s">
        <v>36</v>
      </c>
      <c r="C8" s="11" t="s">
        <v>21</v>
      </c>
      <c r="D8" s="187">
        <v>4436</v>
      </c>
      <c r="E8" s="189">
        <v>7372</v>
      </c>
    </row>
    <row r="9" spans="1:5" x14ac:dyDescent="0.25">
      <c r="A9" s="8" t="s">
        <v>17</v>
      </c>
      <c r="B9" s="9" t="s">
        <v>36</v>
      </c>
      <c r="C9" s="11" t="s">
        <v>21</v>
      </c>
      <c r="D9" s="187">
        <v>4586</v>
      </c>
      <c r="E9" s="189">
        <v>7572</v>
      </c>
    </row>
    <row r="10" spans="1:5" x14ac:dyDescent="0.25">
      <c r="A10" s="8" t="s">
        <v>18</v>
      </c>
      <c r="B10" s="9" t="s">
        <v>36</v>
      </c>
      <c r="C10" s="11" t="s">
        <v>21</v>
      </c>
      <c r="D10" s="187">
        <v>4586</v>
      </c>
      <c r="E10" s="189">
        <v>7572</v>
      </c>
    </row>
    <row r="11" spans="1:5" x14ac:dyDescent="0.25">
      <c r="D11" s="188"/>
      <c r="E11" s="190"/>
    </row>
    <row r="12" spans="1:5" x14ac:dyDescent="0.25">
      <c r="A12" s="9" t="s">
        <v>13</v>
      </c>
      <c r="B12" s="9" t="s">
        <v>37</v>
      </c>
      <c r="C12" s="11" t="s">
        <v>11</v>
      </c>
      <c r="D12" s="187">
        <v>3600</v>
      </c>
      <c r="E12" s="189">
        <v>6400</v>
      </c>
    </row>
    <row r="13" spans="1:5" x14ac:dyDescent="0.25">
      <c r="A13" s="8" t="s">
        <v>14</v>
      </c>
      <c r="B13" s="9" t="s">
        <v>37</v>
      </c>
      <c r="C13" s="11" t="s">
        <v>11</v>
      </c>
      <c r="D13" s="187">
        <v>3600</v>
      </c>
      <c r="E13" s="189">
        <v>6000</v>
      </c>
    </row>
    <row r="14" spans="1:5" x14ac:dyDescent="0.25">
      <c r="A14" s="8" t="s">
        <v>15</v>
      </c>
      <c r="B14" s="9" t="s">
        <v>37</v>
      </c>
      <c r="C14" s="11" t="s">
        <v>11</v>
      </c>
      <c r="D14" s="187">
        <v>3600</v>
      </c>
      <c r="E14" s="189">
        <v>6000</v>
      </c>
    </row>
    <row r="15" spans="1:5" x14ac:dyDescent="0.25">
      <c r="A15" s="8" t="s">
        <v>16</v>
      </c>
      <c r="B15" s="9" t="s">
        <v>52</v>
      </c>
      <c r="C15" s="11" t="s">
        <v>11</v>
      </c>
      <c r="D15" s="187" t="s">
        <v>33</v>
      </c>
      <c r="E15" s="187" t="s">
        <v>33</v>
      </c>
    </row>
    <row r="16" spans="1:5" x14ac:dyDescent="0.25">
      <c r="A16" s="8" t="s">
        <v>17</v>
      </c>
      <c r="B16" s="9" t="s">
        <v>37</v>
      </c>
      <c r="C16" s="11" t="s">
        <v>11</v>
      </c>
      <c r="D16" s="187">
        <v>3600</v>
      </c>
      <c r="E16" s="189">
        <v>6000</v>
      </c>
    </row>
    <row r="17" spans="1:10" x14ac:dyDescent="0.25">
      <c r="A17" s="8" t="s">
        <v>18</v>
      </c>
      <c r="B17" s="9" t="s">
        <v>37</v>
      </c>
      <c r="C17" s="11" t="s">
        <v>11</v>
      </c>
      <c r="D17" s="187" t="s">
        <v>33</v>
      </c>
      <c r="E17" s="187" t="s">
        <v>33</v>
      </c>
    </row>
    <row r="18" spans="1:10" x14ac:dyDescent="0.25">
      <c r="D18" s="188"/>
      <c r="E18" s="190"/>
    </row>
    <row r="19" spans="1:10" x14ac:dyDescent="0.25">
      <c r="A19" s="9" t="s">
        <v>13</v>
      </c>
      <c r="B19" s="9" t="s">
        <v>38</v>
      </c>
      <c r="C19" s="11" t="s">
        <v>21</v>
      </c>
      <c r="D19" s="187">
        <v>4350</v>
      </c>
      <c r="E19" s="189">
        <v>6215</v>
      </c>
    </row>
    <row r="20" spans="1:10" x14ac:dyDescent="0.25">
      <c r="A20" s="8" t="s">
        <v>14</v>
      </c>
      <c r="B20" s="9" t="s">
        <v>38</v>
      </c>
      <c r="C20" s="11" t="s">
        <v>21</v>
      </c>
      <c r="D20" s="187" t="s">
        <v>33</v>
      </c>
      <c r="E20" s="189" t="s">
        <v>33</v>
      </c>
    </row>
    <row r="21" spans="1:10" x14ac:dyDescent="0.25">
      <c r="A21" s="8" t="s">
        <v>15</v>
      </c>
      <c r="B21" s="9" t="s">
        <v>38</v>
      </c>
      <c r="C21" s="11" t="s">
        <v>21</v>
      </c>
      <c r="D21" s="187">
        <v>4350</v>
      </c>
      <c r="E21" s="189">
        <v>6215</v>
      </c>
    </row>
    <row r="22" spans="1:10" x14ac:dyDescent="0.25">
      <c r="A22" s="8" t="s">
        <v>16</v>
      </c>
      <c r="B22" s="9" t="s">
        <v>38</v>
      </c>
      <c r="C22" s="11" t="s">
        <v>21</v>
      </c>
      <c r="D22" s="187" t="s">
        <v>33</v>
      </c>
      <c r="E22" s="189" t="s">
        <v>33</v>
      </c>
    </row>
    <row r="23" spans="1:10" x14ac:dyDescent="0.25">
      <c r="A23" s="8" t="s">
        <v>17</v>
      </c>
      <c r="B23" s="9" t="s">
        <v>38</v>
      </c>
      <c r="C23" s="11" t="s">
        <v>21</v>
      </c>
      <c r="D23" s="187" t="s">
        <v>33</v>
      </c>
      <c r="E23" s="189" t="s">
        <v>33</v>
      </c>
    </row>
    <row r="24" spans="1:10" x14ac:dyDescent="0.25">
      <c r="A24" s="8" t="s">
        <v>18</v>
      </c>
      <c r="B24" s="9" t="s">
        <v>38</v>
      </c>
      <c r="C24" s="11" t="s">
        <v>21</v>
      </c>
      <c r="D24" s="187" t="s">
        <v>33</v>
      </c>
      <c r="E24" s="189" t="s">
        <v>33</v>
      </c>
    </row>
    <row r="25" spans="1:10" x14ac:dyDescent="0.25">
      <c r="D25" s="188"/>
      <c r="E25" s="190"/>
      <c r="I25" s="12"/>
      <c r="J25" s="12"/>
    </row>
    <row r="26" spans="1:10" x14ac:dyDescent="0.25">
      <c r="A26" s="9" t="s">
        <v>13</v>
      </c>
      <c r="B26" s="9" t="s">
        <v>12</v>
      </c>
      <c r="C26" s="11" t="s">
        <v>30</v>
      </c>
      <c r="D26" s="187">
        <v>5500</v>
      </c>
      <c r="E26" s="189">
        <v>7500</v>
      </c>
      <c r="F26" s="14"/>
      <c r="G26" s="14"/>
    </row>
    <row r="27" spans="1:10" x14ac:dyDescent="0.25">
      <c r="A27" s="8" t="s">
        <v>14</v>
      </c>
      <c r="B27" s="9" t="s">
        <v>12</v>
      </c>
      <c r="C27" s="11" t="s">
        <v>30</v>
      </c>
      <c r="D27" s="187">
        <v>5500</v>
      </c>
      <c r="E27" s="189">
        <v>7500</v>
      </c>
      <c r="F27" s="14"/>
      <c r="G27" s="14"/>
    </row>
    <row r="28" spans="1:10" x14ac:dyDescent="0.25">
      <c r="A28" s="8" t="s">
        <v>15</v>
      </c>
      <c r="B28" s="9" t="s">
        <v>12</v>
      </c>
      <c r="C28" s="11" t="s">
        <v>30</v>
      </c>
      <c r="D28" s="187">
        <v>5500</v>
      </c>
      <c r="E28" s="189">
        <v>7500</v>
      </c>
      <c r="F28" s="14"/>
      <c r="G28" s="14"/>
    </row>
    <row r="29" spans="1:10" x14ac:dyDescent="0.25">
      <c r="A29" s="8" t="s">
        <v>16</v>
      </c>
      <c r="B29" s="9" t="s">
        <v>12</v>
      </c>
      <c r="C29" s="11" t="s">
        <v>30</v>
      </c>
      <c r="D29" s="187">
        <v>5500</v>
      </c>
      <c r="E29" s="189">
        <v>8500</v>
      </c>
      <c r="F29" s="14"/>
      <c r="G29" s="14"/>
    </row>
    <row r="30" spans="1:10" x14ac:dyDescent="0.25">
      <c r="A30" s="8" t="s">
        <v>17</v>
      </c>
      <c r="B30" s="9" t="s">
        <v>12</v>
      </c>
      <c r="C30" s="11" t="s">
        <v>30</v>
      </c>
      <c r="D30" s="187">
        <v>5500</v>
      </c>
      <c r="E30" s="189">
        <v>7500</v>
      </c>
      <c r="F30" s="14"/>
      <c r="G30" s="14"/>
    </row>
    <row r="31" spans="1:10" x14ac:dyDescent="0.25">
      <c r="A31" s="8" t="s">
        <v>18</v>
      </c>
      <c r="B31" s="9" t="s">
        <v>12</v>
      </c>
      <c r="C31" s="11" t="s">
        <v>30</v>
      </c>
      <c r="D31" s="187">
        <v>5500</v>
      </c>
      <c r="E31" s="189">
        <v>8500</v>
      </c>
      <c r="F31" s="14"/>
      <c r="G31" s="14"/>
    </row>
    <row r="32" spans="1:10" x14ac:dyDescent="0.25">
      <c r="D32" s="188"/>
      <c r="E32" s="190"/>
    </row>
    <row r="33" spans="1:10" x14ac:dyDescent="0.25">
      <c r="A33" s="9" t="s">
        <v>13</v>
      </c>
      <c r="B33" s="9" t="s">
        <v>35</v>
      </c>
      <c r="C33" s="11" t="s">
        <v>11</v>
      </c>
      <c r="D33" s="187">
        <v>4725</v>
      </c>
      <c r="E33" s="189">
        <v>7875</v>
      </c>
      <c r="F33" s="43"/>
      <c r="G33" s="43"/>
      <c r="H33" s="36"/>
      <c r="J33" s="39"/>
    </row>
    <row r="34" spans="1:10" x14ac:dyDescent="0.25">
      <c r="A34" s="8" t="s">
        <v>14</v>
      </c>
      <c r="B34" s="9" t="s">
        <v>35</v>
      </c>
      <c r="C34" s="11" t="s">
        <v>11</v>
      </c>
      <c r="D34" s="187">
        <v>4725</v>
      </c>
      <c r="E34" s="189">
        <v>7875</v>
      </c>
      <c r="F34" s="43"/>
      <c r="G34" s="43"/>
      <c r="H34" s="36"/>
    </row>
    <row r="35" spans="1:10" x14ac:dyDescent="0.25">
      <c r="A35" s="8" t="s">
        <v>15</v>
      </c>
      <c r="B35" s="9" t="s">
        <v>35</v>
      </c>
      <c r="C35" s="11" t="s">
        <v>11</v>
      </c>
      <c r="D35" s="187">
        <v>4725</v>
      </c>
      <c r="E35" s="189">
        <v>7875</v>
      </c>
      <c r="F35" s="43"/>
      <c r="G35" s="43"/>
      <c r="H35" s="36"/>
    </row>
    <row r="36" spans="1:10" x14ac:dyDescent="0.25">
      <c r="A36" s="8" t="s">
        <v>16</v>
      </c>
      <c r="B36" s="9" t="s">
        <v>35</v>
      </c>
      <c r="C36" s="11" t="s">
        <v>11</v>
      </c>
      <c r="D36" s="187">
        <v>5250</v>
      </c>
      <c r="E36" s="189">
        <v>7875</v>
      </c>
      <c r="F36" s="43"/>
      <c r="G36" s="43"/>
      <c r="H36" s="36"/>
    </row>
    <row r="37" spans="1:10" x14ac:dyDescent="0.25">
      <c r="A37" s="8" t="s">
        <v>17</v>
      </c>
      <c r="B37" s="9" t="s">
        <v>35</v>
      </c>
      <c r="C37" s="11" t="s">
        <v>11</v>
      </c>
      <c r="D37" s="187">
        <v>4725</v>
      </c>
      <c r="E37" s="189">
        <v>7875</v>
      </c>
      <c r="F37" s="43"/>
      <c r="G37" s="43"/>
      <c r="H37" s="36"/>
    </row>
    <row r="38" spans="1:10" x14ac:dyDescent="0.25">
      <c r="A38" s="8" t="s">
        <v>18</v>
      </c>
      <c r="B38" s="9" t="s">
        <v>35</v>
      </c>
      <c r="C38" s="11" t="s">
        <v>11</v>
      </c>
      <c r="D38" s="187">
        <v>5775</v>
      </c>
      <c r="E38" s="189">
        <v>8400</v>
      </c>
      <c r="F38" s="43"/>
      <c r="G38" s="43"/>
      <c r="H38" s="36"/>
    </row>
    <row r="39" spans="1:10" x14ac:dyDescent="0.25">
      <c r="D39" s="188"/>
      <c r="E39" s="190"/>
    </row>
    <row r="40" spans="1:10" x14ac:dyDescent="0.25">
      <c r="A40" s="9" t="s">
        <v>13</v>
      </c>
      <c r="B40" s="9" t="s">
        <v>35</v>
      </c>
      <c r="C40" s="11" t="s">
        <v>34</v>
      </c>
      <c r="D40" s="187">
        <v>4725</v>
      </c>
      <c r="E40" s="189">
        <v>7875</v>
      </c>
    </row>
    <row r="41" spans="1:10" x14ac:dyDescent="0.25">
      <c r="A41" s="8" t="s">
        <v>14</v>
      </c>
      <c r="B41" s="9" t="s">
        <v>35</v>
      </c>
      <c r="C41" s="11" t="s">
        <v>34</v>
      </c>
      <c r="D41" s="187">
        <v>4725</v>
      </c>
      <c r="E41" s="189">
        <v>7875</v>
      </c>
    </row>
    <row r="42" spans="1:10" x14ac:dyDescent="0.25">
      <c r="A42" s="8" t="s">
        <v>15</v>
      </c>
      <c r="B42" s="9" t="s">
        <v>35</v>
      </c>
      <c r="C42" s="11" t="s">
        <v>34</v>
      </c>
      <c r="D42" s="187">
        <v>4725</v>
      </c>
      <c r="E42" s="189">
        <v>7875</v>
      </c>
    </row>
    <row r="43" spans="1:10" x14ac:dyDescent="0.25">
      <c r="A43" s="8" t="s">
        <v>16</v>
      </c>
      <c r="B43" s="9" t="s">
        <v>35</v>
      </c>
      <c r="C43" s="11" t="s">
        <v>34</v>
      </c>
      <c r="D43" s="187">
        <v>5250</v>
      </c>
      <c r="E43" s="189">
        <v>7875</v>
      </c>
    </row>
    <row r="44" spans="1:10" x14ac:dyDescent="0.25">
      <c r="A44" s="8" t="s">
        <v>17</v>
      </c>
      <c r="B44" s="9" t="s">
        <v>35</v>
      </c>
      <c r="C44" s="11" t="s">
        <v>34</v>
      </c>
      <c r="D44" s="187">
        <v>4725</v>
      </c>
      <c r="E44" s="189">
        <v>7875</v>
      </c>
    </row>
    <row r="45" spans="1:10" x14ac:dyDescent="0.25">
      <c r="A45" s="8" t="s">
        <v>18</v>
      </c>
      <c r="B45" s="9" t="s">
        <v>35</v>
      </c>
      <c r="C45" s="11" t="s">
        <v>34</v>
      </c>
      <c r="D45" s="187">
        <v>5775</v>
      </c>
      <c r="E45" s="189">
        <v>8400</v>
      </c>
    </row>
    <row r="46" spans="1:10" x14ac:dyDescent="0.25">
      <c r="D46" s="188"/>
      <c r="E46" s="190"/>
    </row>
    <row r="47" spans="1:10" x14ac:dyDescent="0.25">
      <c r="A47" s="9" t="s">
        <v>13</v>
      </c>
      <c r="B47" s="9" t="s">
        <v>35</v>
      </c>
      <c r="C47" s="11" t="s">
        <v>10</v>
      </c>
      <c r="D47" s="187">
        <v>4725</v>
      </c>
      <c r="E47" s="189">
        <v>7875</v>
      </c>
    </row>
    <row r="48" spans="1:10" x14ac:dyDescent="0.25">
      <c r="A48" s="8" t="s">
        <v>14</v>
      </c>
      <c r="B48" s="9" t="s">
        <v>35</v>
      </c>
      <c r="C48" s="11" t="s">
        <v>10</v>
      </c>
      <c r="D48" s="187">
        <v>4725</v>
      </c>
      <c r="E48" s="189">
        <v>7875</v>
      </c>
    </row>
    <row r="49" spans="1:5" x14ac:dyDescent="0.25">
      <c r="A49" s="8" t="s">
        <v>15</v>
      </c>
      <c r="B49" s="9" t="s">
        <v>35</v>
      </c>
      <c r="C49" s="11" t="s">
        <v>10</v>
      </c>
      <c r="D49" s="187">
        <v>4725</v>
      </c>
      <c r="E49" s="189">
        <v>7875</v>
      </c>
    </row>
    <row r="50" spans="1:5" x14ac:dyDescent="0.25">
      <c r="A50" s="8" t="s">
        <v>16</v>
      </c>
      <c r="B50" s="9" t="s">
        <v>35</v>
      </c>
      <c r="C50" s="11" t="s">
        <v>10</v>
      </c>
      <c r="D50" s="187">
        <v>5250</v>
      </c>
      <c r="E50" s="189">
        <v>7875</v>
      </c>
    </row>
    <row r="51" spans="1:5" x14ac:dyDescent="0.25">
      <c r="A51" s="8" t="s">
        <v>17</v>
      </c>
      <c r="B51" s="9" t="s">
        <v>35</v>
      </c>
      <c r="C51" s="11" t="s">
        <v>10</v>
      </c>
      <c r="D51" s="187">
        <v>4725</v>
      </c>
      <c r="E51" s="189">
        <v>7875</v>
      </c>
    </row>
    <row r="52" spans="1:5" x14ac:dyDescent="0.25">
      <c r="A52" s="8" t="s">
        <v>18</v>
      </c>
      <c r="B52" s="9" t="s">
        <v>35</v>
      </c>
      <c r="C52" s="11" t="s">
        <v>10</v>
      </c>
      <c r="D52" s="187">
        <v>5775</v>
      </c>
      <c r="E52" s="189">
        <v>8400</v>
      </c>
    </row>
    <row r="53" spans="1:5" x14ac:dyDescent="0.25">
      <c r="D53" s="188"/>
      <c r="E53" s="190"/>
    </row>
    <row r="54" spans="1:5" x14ac:dyDescent="0.25">
      <c r="A54" s="9" t="s">
        <v>13</v>
      </c>
      <c r="B54" s="9" t="s">
        <v>35</v>
      </c>
      <c r="C54" s="11" t="s">
        <v>7</v>
      </c>
      <c r="D54" s="187">
        <v>4725</v>
      </c>
      <c r="E54" s="189">
        <v>7875</v>
      </c>
    </row>
    <row r="55" spans="1:5" x14ac:dyDescent="0.25">
      <c r="A55" s="8" t="s">
        <v>14</v>
      </c>
      <c r="B55" s="9" t="s">
        <v>35</v>
      </c>
      <c r="C55" s="11" t="s">
        <v>7</v>
      </c>
      <c r="D55" s="187">
        <v>4725</v>
      </c>
      <c r="E55" s="189">
        <v>7875</v>
      </c>
    </row>
    <row r="56" spans="1:5" x14ac:dyDescent="0.25">
      <c r="A56" s="8" t="s">
        <v>15</v>
      </c>
      <c r="B56" s="9" t="s">
        <v>35</v>
      </c>
      <c r="C56" s="11" t="s">
        <v>7</v>
      </c>
      <c r="D56" s="187">
        <v>4725</v>
      </c>
      <c r="E56" s="189">
        <v>7875</v>
      </c>
    </row>
    <row r="57" spans="1:5" x14ac:dyDescent="0.25">
      <c r="A57" s="8" t="s">
        <v>16</v>
      </c>
      <c r="B57" s="9" t="s">
        <v>35</v>
      </c>
      <c r="C57" s="11" t="s">
        <v>7</v>
      </c>
      <c r="D57" s="187">
        <v>5250</v>
      </c>
      <c r="E57" s="189">
        <v>7875</v>
      </c>
    </row>
    <row r="58" spans="1:5" x14ac:dyDescent="0.25">
      <c r="A58" s="8" t="s">
        <v>17</v>
      </c>
      <c r="B58" s="9" t="s">
        <v>35</v>
      </c>
      <c r="C58" s="11" t="s">
        <v>7</v>
      </c>
      <c r="D58" s="187">
        <v>4725</v>
      </c>
      <c r="E58" s="189">
        <v>7875</v>
      </c>
    </row>
    <row r="59" spans="1:5" x14ac:dyDescent="0.25">
      <c r="A59" s="8" t="s">
        <v>18</v>
      </c>
      <c r="B59" s="9" t="s">
        <v>35</v>
      </c>
      <c r="C59" s="11" t="s">
        <v>7</v>
      </c>
      <c r="D59" s="187">
        <v>5775</v>
      </c>
      <c r="E59" s="189">
        <v>8400</v>
      </c>
    </row>
    <row r="60" spans="1:5" x14ac:dyDescent="0.25">
      <c r="D60" s="188"/>
      <c r="E60" s="190"/>
    </row>
    <row r="61" spans="1:5" x14ac:dyDescent="0.25">
      <c r="A61" s="9" t="s">
        <v>13</v>
      </c>
      <c r="B61" s="9" t="s">
        <v>53</v>
      </c>
      <c r="C61" s="11" t="s">
        <v>7</v>
      </c>
      <c r="D61" s="187">
        <v>5250</v>
      </c>
      <c r="E61" s="189">
        <v>7000</v>
      </c>
    </row>
    <row r="62" spans="1:5" x14ac:dyDescent="0.25">
      <c r="A62" s="8" t="s">
        <v>14</v>
      </c>
      <c r="B62" s="9" t="s">
        <v>53</v>
      </c>
      <c r="C62" s="11" t="s">
        <v>7</v>
      </c>
      <c r="D62" s="187">
        <v>5250</v>
      </c>
      <c r="E62" s="189">
        <v>7000</v>
      </c>
    </row>
    <row r="63" spans="1:5" x14ac:dyDescent="0.25">
      <c r="A63" s="8" t="s">
        <v>15</v>
      </c>
      <c r="B63" s="9" t="s">
        <v>53</v>
      </c>
      <c r="C63" s="11" t="s">
        <v>7</v>
      </c>
      <c r="D63" s="187">
        <v>4700</v>
      </c>
      <c r="E63" s="189">
        <v>5700</v>
      </c>
    </row>
    <row r="64" spans="1:5" x14ac:dyDescent="0.25">
      <c r="A64" s="8" t="s">
        <v>16</v>
      </c>
      <c r="B64" s="9" t="s">
        <v>53</v>
      </c>
      <c r="C64" s="11" t="s">
        <v>7</v>
      </c>
      <c r="D64" s="187" t="s">
        <v>33</v>
      </c>
      <c r="E64" s="189" t="s">
        <v>33</v>
      </c>
    </row>
    <row r="65" spans="1:5" x14ac:dyDescent="0.25">
      <c r="A65" s="8" t="s">
        <v>17</v>
      </c>
      <c r="B65" s="9" t="s">
        <v>53</v>
      </c>
      <c r="C65" s="11" t="s">
        <v>7</v>
      </c>
      <c r="D65" s="187" t="s">
        <v>33</v>
      </c>
      <c r="E65" s="189" t="s">
        <v>33</v>
      </c>
    </row>
    <row r="66" spans="1:5" x14ac:dyDescent="0.25">
      <c r="A66" s="8" t="s">
        <v>18</v>
      </c>
      <c r="B66" s="9" t="s">
        <v>53</v>
      </c>
      <c r="C66" s="11" t="s">
        <v>7</v>
      </c>
      <c r="D66" s="187" t="s">
        <v>33</v>
      </c>
      <c r="E66" s="189" t="s">
        <v>33</v>
      </c>
    </row>
    <row r="67" spans="1:5" x14ac:dyDescent="0.25">
      <c r="D67" s="188"/>
      <c r="E67" s="190"/>
    </row>
    <row r="68" spans="1:5" x14ac:dyDescent="0.25">
      <c r="A68" s="9" t="s">
        <v>13</v>
      </c>
      <c r="B68" s="9" t="s">
        <v>54</v>
      </c>
      <c r="C68" s="11" t="s">
        <v>56</v>
      </c>
      <c r="D68" s="187">
        <v>4430</v>
      </c>
      <c r="E68" s="189">
        <v>5720</v>
      </c>
    </row>
    <row r="69" spans="1:5" x14ac:dyDescent="0.25">
      <c r="A69" s="8" t="s">
        <v>14</v>
      </c>
      <c r="B69" s="9" t="s">
        <v>54</v>
      </c>
      <c r="C69" s="11" t="s">
        <v>56</v>
      </c>
      <c r="D69" s="187" t="s">
        <v>33</v>
      </c>
      <c r="E69" s="189" t="s">
        <v>33</v>
      </c>
    </row>
    <row r="70" spans="1:5" x14ac:dyDescent="0.25">
      <c r="A70" s="8" t="s">
        <v>15</v>
      </c>
      <c r="B70" s="9" t="s">
        <v>54</v>
      </c>
      <c r="C70" s="11" t="s">
        <v>56</v>
      </c>
      <c r="D70" s="187">
        <v>3914</v>
      </c>
      <c r="E70" s="189">
        <v>5720</v>
      </c>
    </row>
    <row r="71" spans="1:5" x14ac:dyDescent="0.25">
      <c r="A71" s="8" t="s">
        <v>16</v>
      </c>
      <c r="B71" s="9" t="s">
        <v>54</v>
      </c>
      <c r="C71" s="11" t="s">
        <v>56</v>
      </c>
      <c r="D71" s="187" t="s">
        <v>33</v>
      </c>
      <c r="E71" s="189" t="s">
        <v>33</v>
      </c>
    </row>
    <row r="72" spans="1:5" x14ac:dyDescent="0.25">
      <c r="A72" s="8" t="s">
        <v>17</v>
      </c>
      <c r="B72" s="9" t="s">
        <v>54</v>
      </c>
      <c r="C72" s="11" t="s">
        <v>56</v>
      </c>
      <c r="D72" s="187" t="s">
        <v>33</v>
      </c>
      <c r="E72" s="189" t="s">
        <v>33</v>
      </c>
    </row>
    <row r="73" spans="1:5" x14ac:dyDescent="0.25">
      <c r="A73" s="8" t="s">
        <v>18</v>
      </c>
      <c r="B73" s="9" t="s">
        <v>54</v>
      </c>
      <c r="C73" s="11" t="s">
        <v>56</v>
      </c>
      <c r="D73" s="187" t="s">
        <v>33</v>
      </c>
      <c r="E73" s="189" t="s">
        <v>33</v>
      </c>
    </row>
    <row r="74" spans="1:5" x14ac:dyDescent="0.25">
      <c r="D74" s="188"/>
      <c r="E74" s="190"/>
    </row>
    <row r="75" spans="1:5" x14ac:dyDescent="0.25">
      <c r="A75" s="8" t="s">
        <v>13</v>
      </c>
      <c r="B75" s="8" t="s">
        <v>12</v>
      </c>
      <c r="C75" s="8" t="s">
        <v>55</v>
      </c>
      <c r="D75" s="187">
        <v>5500</v>
      </c>
      <c r="E75" s="189">
        <v>7500</v>
      </c>
    </row>
    <row r="76" spans="1:5" x14ac:dyDescent="0.25">
      <c r="A76" s="8" t="s">
        <v>14</v>
      </c>
      <c r="B76" s="8" t="s">
        <v>12</v>
      </c>
      <c r="C76" s="8" t="s">
        <v>55</v>
      </c>
      <c r="D76" s="187">
        <v>5500</v>
      </c>
      <c r="E76" s="189">
        <v>7500</v>
      </c>
    </row>
    <row r="77" spans="1:5" x14ac:dyDescent="0.25">
      <c r="A77" s="8" t="s">
        <v>15</v>
      </c>
      <c r="B77" s="8" t="s">
        <v>12</v>
      </c>
      <c r="C77" s="8" t="s">
        <v>55</v>
      </c>
      <c r="D77" s="187">
        <v>5500</v>
      </c>
      <c r="E77" s="189">
        <v>7500</v>
      </c>
    </row>
    <row r="78" spans="1:5" x14ac:dyDescent="0.25">
      <c r="A78" s="8" t="s">
        <v>16</v>
      </c>
      <c r="B78" s="8" t="s">
        <v>12</v>
      </c>
      <c r="C78" s="8" t="s">
        <v>55</v>
      </c>
      <c r="D78" s="187">
        <v>5500</v>
      </c>
      <c r="E78" s="189">
        <v>8500</v>
      </c>
    </row>
    <row r="79" spans="1:5" x14ac:dyDescent="0.25">
      <c r="A79" s="8" t="s">
        <v>17</v>
      </c>
      <c r="B79" s="8" t="s">
        <v>12</v>
      </c>
      <c r="C79" s="8" t="s">
        <v>55</v>
      </c>
      <c r="D79" s="187">
        <v>5500</v>
      </c>
      <c r="E79" s="189">
        <v>7500</v>
      </c>
    </row>
    <row r="80" spans="1:5" x14ac:dyDescent="0.25">
      <c r="A80" s="8" t="s">
        <v>18</v>
      </c>
      <c r="B80" s="8" t="s">
        <v>12</v>
      </c>
      <c r="C80" s="8" t="s">
        <v>55</v>
      </c>
      <c r="D80" s="187">
        <v>5500</v>
      </c>
      <c r="E80" s="189">
        <v>8500</v>
      </c>
    </row>
  </sheetData>
  <autoFilter ref="A2:E75" xr:uid="{00000000-0009-0000-0000-000001000000}">
    <filterColumn colId="3" showButton="0"/>
  </autoFilter>
  <mergeCells count="4">
    <mergeCell ref="B2:B4"/>
    <mergeCell ref="C2:C4"/>
    <mergeCell ref="D2:E3"/>
    <mergeCell ref="A2:A4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A79621-6FCD-4B5D-AA35-4E29A07E5FF5}">
  <dimension ref="A1:M10"/>
  <sheetViews>
    <sheetView workbookViewId="0">
      <selection activeCell="L13" sqref="L13"/>
    </sheetView>
  </sheetViews>
  <sheetFormatPr defaultRowHeight="15" x14ac:dyDescent="0.25"/>
  <cols>
    <col min="1" max="1" width="17" bestFit="1" customWidth="1"/>
  </cols>
  <sheetData>
    <row r="1" spans="1:13" ht="15.75" thickBot="1" x14ac:dyDescent="0.3">
      <c r="A1" s="253" t="s">
        <v>58</v>
      </c>
      <c r="B1" s="253"/>
      <c r="C1" s="253"/>
      <c r="D1" s="253"/>
      <c r="E1" s="253"/>
      <c r="F1" s="253"/>
      <c r="G1" s="253"/>
      <c r="H1" s="253"/>
      <c r="I1" s="253"/>
      <c r="J1" s="253"/>
      <c r="K1" s="253"/>
      <c r="L1" s="253"/>
      <c r="M1" s="253"/>
    </row>
    <row r="2" spans="1:13" ht="15.75" thickBot="1" x14ac:dyDescent="0.3">
      <c r="A2" s="261"/>
      <c r="B2" s="254" t="s">
        <v>25</v>
      </c>
      <c r="C2" s="255"/>
      <c r="D2" s="256"/>
      <c r="E2" s="254" t="s">
        <v>26</v>
      </c>
      <c r="F2" s="255"/>
      <c r="G2" s="256"/>
      <c r="H2" s="257" t="s">
        <v>27</v>
      </c>
      <c r="I2" s="258"/>
      <c r="J2" s="259"/>
      <c r="K2" s="260" t="s">
        <v>28</v>
      </c>
      <c r="L2" s="255"/>
      <c r="M2" s="256"/>
    </row>
    <row r="3" spans="1:13" x14ac:dyDescent="0.25">
      <c r="A3" s="262"/>
      <c r="B3" s="219" t="s">
        <v>25</v>
      </c>
      <c r="C3" s="219" t="s">
        <v>25</v>
      </c>
      <c r="D3" s="219" t="s">
        <v>25</v>
      </c>
      <c r="E3" s="219" t="s">
        <v>26</v>
      </c>
      <c r="F3" s="219" t="s">
        <v>26</v>
      </c>
      <c r="G3" s="219" t="s">
        <v>26</v>
      </c>
      <c r="H3" s="218" t="s">
        <v>27</v>
      </c>
      <c r="I3" s="218" t="s">
        <v>27</v>
      </c>
      <c r="J3" s="218" t="s">
        <v>27</v>
      </c>
      <c r="K3" s="220" t="s">
        <v>28</v>
      </c>
      <c r="L3" s="220" t="s">
        <v>28</v>
      </c>
      <c r="M3" s="220" t="s">
        <v>28</v>
      </c>
    </row>
    <row r="4" spans="1:13" ht="15.75" thickBot="1" x14ac:dyDescent="0.3">
      <c r="A4" s="263"/>
      <c r="B4" s="130" t="s">
        <v>9</v>
      </c>
      <c r="C4" s="131" t="s">
        <v>8</v>
      </c>
      <c r="D4" s="132">
        <v>40</v>
      </c>
      <c r="E4" s="130" t="s">
        <v>9</v>
      </c>
      <c r="F4" s="131" t="s">
        <v>8</v>
      </c>
      <c r="G4" s="132">
        <v>40</v>
      </c>
      <c r="H4" s="130" t="s">
        <v>9</v>
      </c>
      <c r="I4" s="131" t="s">
        <v>8</v>
      </c>
      <c r="J4" s="132">
        <v>40</v>
      </c>
      <c r="K4" s="135" t="s">
        <v>9</v>
      </c>
      <c r="L4" s="131" t="s">
        <v>8</v>
      </c>
      <c r="M4" s="132">
        <v>40</v>
      </c>
    </row>
    <row r="5" spans="1:13" x14ac:dyDescent="0.25">
      <c r="A5" s="133" t="s">
        <v>44</v>
      </c>
      <c r="B5" s="136">
        <v>354626</v>
      </c>
      <c r="C5" s="127">
        <v>372164</v>
      </c>
      <c r="D5" s="137">
        <v>566328</v>
      </c>
      <c r="E5" s="136">
        <v>345130</v>
      </c>
      <c r="F5" s="128">
        <v>363122</v>
      </c>
      <c r="G5" s="129">
        <v>573573</v>
      </c>
      <c r="H5" s="147">
        <v>330537</v>
      </c>
      <c r="I5" s="128">
        <v>344442</v>
      </c>
      <c r="J5" s="129">
        <v>524386</v>
      </c>
      <c r="K5" s="142">
        <v>336212</v>
      </c>
      <c r="L5" s="128">
        <v>351706</v>
      </c>
      <c r="M5" s="129">
        <v>535736</v>
      </c>
    </row>
    <row r="6" spans="1:13" x14ac:dyDescent="0.25">
      <c r="A6" s="133" t="s">
        <v>45</v>
      </c>
      <c r="B6" s="138">
        <v>356456</v>
      </c>
      <c r="C6" s="93">
        <v>373994</v>
      </c>
      <c r="D6" s="139">
        <v>519968</v>
      </c>
      <c r="E6" s="145">
        <v>346960</v>
      </c>
      <c r="F6" s="122">
        <v>364952</v>
      </c>
      <c r="G6" s="123">
        <v>527213</v>
      </c>
      <c r="H6" s="138">
        <v>332367</v>
      </c>
      <c r="I6" s="122">
        <v>346272</v>
      </c>
      <c r="J6" s="123">
        <v>478026</v>
      </c>
      <c r="K6" s="143">
        <v>338042</v>
      </c>
      <c r="L6" s="122">
        <v>353536</v>
      </c>
      <c r="M6" s="123">
        <v>489376</v>
      </c>
    </row>
    <row r="7" spans="1:13" x14ac:dyDescent="0.25">
      <c r="A7" s="133" t="s">
        <v>46</v>
      </c>
      <c r="B7" s="138">
        <v>356456</v>
      </c>
      <c r="C7" s="93">
        <v>373994</v>
      </c>
      <c r="D7" s="139">
        <v>532168</v>
      </c>
      <c r="E7" s="145">
        <v>346960</v>
      </c>
      <c r="F7" s="122">
        <v>364952</v>
      </c>
      <c r="G7" s="123">
        <v>539413</v>
      </c>
      <c r="H7" s="138">
        <v>332367</v>
      </c>
      <c r="I7" s="122">
        <v>346272</v>
      </c>
      <c r="J7" s="123">
        <v>490226</v>
      </c>
      <c r="K7" s="143">
        <v>338042</v>
      </c>
      <c r="L7" s="122">
        <v>353536</v>
      </c>
      <c r="M7" s="123">
        <v>501576</v>
      </c>
    </row>
    <row r="8" spans="1:13" x14ac:dyDescent="0.25">
      <c r="A8" s="133" t="s">
        <v>48</v>
      </c>
      <c r="B8" s="138">
        <v>423556</v>
      </c>
      <c r="C8" s="93">
        <v>441094</v>
      </c>
      <c r="D8" s="139">
        <v>599268</v>
      </c>
      <c r="E8" s="145">
        <v>414060</v>
      </c>
      <c r="F8" s="122">
        <v>432052</v>
      </c>
      <c r="G8" s="139">
        <v>606513</v>
      </c>
      <c r="H8" s="138">
        <v>399467</v>
      </c>
      <c r="I8" s="122">
        <v>413372</v>
      </c>
      <c r="J8" s="123">
        <v>557326</v>
      </c>
      <c r="K8" s="143">
        <v>405142</v>
      </c>
      <c r="L8" s="122">
        <v>420636</v>
      </c>
      <c r="M8" s="123">
        <v>568676</v>
      </c>
    </row>
    <row r="9" spans="1:13" x14ac:dyDescent="0.25">
      <c r="A9" s="133" t="s">
        <v>47</v>
      </c>
      <c r="B9" s="138">
        <v>356456</v>
      </c>
      <c r="C9" s="93">
        <v>373994</v>
      </c>
      <c r="D9" s="139">
        <v>538268</v>
      </c>
      <c r="E9" s="145">
        <v>346960</v>
      </c>
      <c r="F9" s="122">
        <v>364952</v>
      </c>
      <c r="G9" s="123">
        <v>545513</v>
      </c>
      <c r="H9" s="145">
        <v>332367</v>
      </c>
      <c r="I9" s="93">
        <v>346272</v>
      </c>
      <c r="J9" s="123">
        <v>496326</v>
      </c>
      <c r="K9" s="143">
        <v>338042</v>
      </c>
      <c r="L9" s="122">
        <v>353536</v>
      </c>
      <c r="M9" s="123">
        <v>507676</v>
      </c>
    </row>
    <row r="10" spans="1:13" ht="15.75" thickBot="1" x14ac:dyDescent="0.3">
      <c r="A10" s="134" t="s">
        <v>49</v>
      </c>
      <c r="B10" s="140">
        <v>399156</v>
      </c>
      <c r="C10" s="125">
        <v>416694</v>
      </c>
      <c r="D10" s="141">
        <v>587068</v>
      </c>
      <c r="E10" s="146">
        <v>389660</v>
      </c>
      <c r="F10" s="124">
        <v>407652</v>
      </c>
      <c r="G10" s="126">
        <v>594313</v>
      </c>
      <c r="H10" s="140">
        <v>375067</v>
      </c>
      <c r="I10" s="124">
        <v>388972</v>
      </c>
      <c r="J10" s="126">
        <v>545126</v>
      </c>
      <c r="K10" s="144">
        <v>380742</v>
      </c>
      <c r="L10" s="124">
        <v>396236</v>
      </c>
      <c r="M10" s="126">
        <v>556476</v>
      </c>
    </row>
  </sheetData>
  <mergeCells count="6">
    <mergeCell ref="A1:M1"/>
    <mergeCell ref="B2:D2"/>
    <mergeCell ref="E2:G2"/>
    <mergeCell ref="H2:J2"/>
    <mergeCell ref="K2:M2"/>
    <mergeCell ref="A2:A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Лист2"/>
  <dimension ref="A1:I20"/>
  <sheetViews>
    <sheetView workbookViewId="0">
      <selection activeCell="N13" sqref="N13"/>
    </sheetView>
  </sheetViews>
  <sheetFormatPr defaultRowHeight="15" x14ac:dyDescent="0.25"/>
  <cols>
    <col min="1" max="1" width="33.85546875" bestFit="1" customWidth="1"/>
    <col min="2" max="2" width="14.28515625" customWidth="1"/>
    <col min="3" max="9" width="11.42578125" customWidth="1"/>
  </cols>
  <sheetData>
    <row r="1" spans="1:9" ht="15.75" thickBot="1" x14ac:dyDescent="0.3"/>
    <row r="2" spans="1:9" ht="15.75" thickBot="1" x14ac:dyDescent="0.3">
      <c r="A2" s="264" t="s">
        <v>22</v>
      </c>
      <c r="B2" s="267" t="s">
        <v>24</v>
      </c>
      <c r="C2" s="268"/>
      <c r="D2" s="268"/>
      <c r="E2" s="268"/>
      <c r="F2" s="268"/>
      <c r="G2" s="268"/>
      <c r="H2" s="268"/>
      <c r="I2" s="269"/>
    </row>
    <row r="3" spans="1:9" ht="15.75" thickBot="1" x14ac:dyDescent="0.3">
      <c r="A3" s="265"/>
      <c r="B3" s="270" t="s">
        <v>25</v>
      </c>
      <c r="C3" s="271"/>
      <c r="D3" s="270" t="s">
        <v>26</v>
      </c>
      <c r="E3" s="271"/>
      <c r="F3" s="270" t="s">
        <v>27</v>
      </c>
      <c r="G3" s="271"/>
      <c r="H3" s="270" t="s">
        <v>28</v>
      </c>
      <c r="I3" s="271"/>
    </row>
    <row r="4" spans="1:9" x14ac:dyDescent="0.25">
      <c r="A4" s="266"/>
      <c r="B4" s="218" t="s">
        <v>25</v>
      </c>
      <c r="C4" s="218" t="s">
        <v>25</v>
      </c>
      <c r="D4" s="218" t="s">
        <v>26</v>
      </c>
      <c r="E4" s="218" t="s">
        <v>26</v>
      </c>
      <c r="F4" s="218" t="s">
        <v>27</v>
      </c>
      <c r="G4" s="218" t="s">
        <v>27</v>
      </c>
      <c r="H4" s="218" t="s">
        <v>28</v>
      </c>
      <c r="I4" s="218" t="s">
        <v>28</v>
      </c>
    </row>
    <row r="5" spans="1:9" ht="15.75" thickBot="1" x14ac:dyDescent="0.3">
      <c r="A5" s="266"/>
      <c r="B5" s="30">
        <v>20</v>
      </c>
      <c r="C5" s="29">
        <v>40</v>
      </c>
      <c r="D5" s="30">
        <v>20</v>
      </c>
      <c r="E5" s="29">
        <v>40</v>
      </c>
      <c r="F5" s="30">
        <v>20</v>
      </c>
      <c r="G5" s="29">
        <v>40</v>
      </c>
      <c r="H5" s="30">
        <v>20</v>
      </c>
      <c r="I5" s="29">
        <v>40</v>
      </c>
    </row>
    <row r="6" spans="1:9" x14ac:dyDescent="0.25">
      <c r="A6" s="31" t="s">
        <v>43</v>
      </c>
      <c r="B6" s="98">
        <v>0</v>
      </c>
      <c r="C6" s="99">
        <v>0</v>
      </c>
      <c r="D6" s="98">
        <v>0</v>
      </c>
      <c r="E6" s="99">
        <v>0</v>
      </c>
      <c r="F6" s="98">
        <v>0</v>
      </c>
      <c r="G6" s="99">
        <v>0</v>
      </c>
      <c r="H6" s="98">
        <v>0</v>
      </c>
      <c r="I6" s="99">
        <v>0</v>
      </c>
    </row>
    <row r="7" spans="1:9" x14ac:dyDescent="0.25">
      <c r="A7" s="26" t="s">
        <v>54</v>
      </c>
      <c r="B7" s="100">
        <v>100</v>
      </c>
      <c r="C7" s="101">
        <v>100</v>
      </c>
      <c r="D7" s="100" t="s">
        <v>33</v>
      </c>
      <c r="E7" s="102" t="s">
        <v>33</v>
      </c>
      <c r="F7" s="100">
        <v>450</v>
      </c>
      <c r="G7" s="101">
        <v>450</v>
      </c>
      <c r="H7" s="100">
        <v>450</v>
      </c>
      <c r="I7" s="101">
        <v>450</v>
      </c>
    </row>
    <row r="8" spans="1:9" x14ac:dyDescent="0.25">
      <c r="A8" s="25" t="s">
        <v>53</v>
      </c>
      <c r="B8" s="103">
        <v>0</v>
      </c>
      <c r="C8" s="104">
        <v>0</v>
      </c>
      <c r="D8" s="103">
        <v>0</v>
      </c>
      <c r="E8" s="104">
        <v>0</v>
      </c>
      <c r="F8" s="103">
        <v>0</v>
      </c>
      <c r="G8" s="104">
        <v>0</v>
      </c>
      <c r="H8" s="103">
        <v>0</v>
      </c>
      <c r="I8" s="104">
        <v>0</v>
      </c>
    </row>
    <row r="9" spans="1:9" x14ac:dyDescent="0.25">
      <c r="A9" s="26" t="s">
        <v>52</v>
      </c>
      <c r="B9" s="100">
        <v>0</v>
      </c>
      <c r="C9" s="101">
        <v>0</v>
      </c>
      <c r="D9" s="100">
        <v>0</v>
      </c>
      <c r="E9" s="101">
        <v>0</v>
      </c>
      <c r="F9" s="100">
        <v>0</v>
      </c>
      <c r="G9" s="101">
        <v>0</v>
      </c>
      <c r="H9" s="100">
        <v>0</v>
      </c>
      <c r="I9" s="101">
        <v>0</v>
      </c>
    </row>
    <row r="10" spans="1:9" x14ac:dyDescent="0.25">
      <c r="A10" s="33" t="s">
        <v>12</v>
      </c>
      <c r="B10" s="105">
        <v>0</v>
      </c>
      <c r="C10" s="106">
        <v>0</v>
      </c>
      <c r="D10" s="105">
        <v>0</v>
      </c>
      <c r="E10" s="106">
        <v>0</v>
      </c>
      <c r="F10" s="105">
        <v>0</v>
      </c>
      <c r="G10" s="106">
        <v>0</v>
      </c>
      <c r="H10" s="105">
        <v>0</v>
      </c>
      <c r="I10" s="106">
        <v>0</v>
      </c>
    </row>
    <row r="11" spans="1:9" x14ac:dyDescent="0.25">
      <c r="A11" s="49" t="s">
        <v>35</v>
      </c>
      <c r="B11" s="107">
        <v>945</v>
      </c>
      <c r="C11" s="108">
        <v>630</v>
      </c>
      <c r="D11" s="107">
        <v>1260</v>
      </c>
      <c r="E11" s="109">
        <v>945</v>
      </c>
      <c r="F11" s="107">
        <v>945</v>
      </c>
      <c r="G11" s="108">
        <v>630</v>
      </c>
      <c r="H11" s="107">
        <v>630</v>
      </c>
      <c r="I11" s="110">
        <v>945</v>
      </c>
    </row>
    <row r="12" spans="1:9" x14ac:dyDescent="0.25">
      <c r="A12" s="46" t="s">
        <v>36</v>
      </c>
      <c r="B12" s="103">
        <v>700</v>
      </c>
      <c r="C12" s="111">
        <v>700</v>
      </c>
      <c r="D12" s="103">
        <v>0</v>
      </c>
      <c r="E12" s="111">
        <v>0</v>
      </c>
      <c r="F12" s="103">
        <v>150</v>
      </c>
      <c r="G12" s="111">
        <v>150</v>
      </c>
      <c r="H12" s="103">
        <v>300</v>
      </c>
      <c r="I12" s="104">
        <v>300</v>
      </c>
    </row>
    <row r="13" spans="1:9" x14ac:dyDescent="0.25">
      <c r="A13" s="48" t="s">
        <v>37</v>
      </c>
      <c r="B13" s="105">
        <v>0</v>
      </c>
      <c r="C13" s="113">
        <v>0</v>
      </c>
      <c r="D13" s="105">
        <v>0</v>
      </c>
      <c r="E13" s="113">
        <v>0</v>
      </c>
      <c r="F13" s="105">
        <v>0</v>
      </c>
      <c r="G13" s="113">
        <v>0</v>
      </c>
      <c r="H13" s="105">
        <v>0</v>
      </c>
      <c r="I13" s="106">
        <v>0</v>
      </c>
    </row>
    <row r="14" spans="1:9" x14ac:dyDescent="0.25">
      <c r="A14" s="47" t="s">
        <v>38</v>
      </c>
      <c r="B14" s="107">
        <v>0</v>
      </c>
      <c r="C14" s="112">
        <v>0</v>
      </c>
      <c r="D14" s="107">
        <v>0</v>
      </c>
      <c r="E14" s="112">
        <v>0</v>
      </c>
      <c r="F14" s="107">
        <v>0</v>
      </c>
      <c r="G14" s="112">
        <v>0</v>
      </c>
      <c r="H14" s="107">
        <v>0</v>
      </c>
      <c r="I14" s="108">
        <v>0</v>
      </c>
    </row>
    <row r="20" spans="2:9" x14ac:dyDescent="0.25">
      <c r="B20" s="43"/>
      <c r="C20" s="43"/>
      <c r="D20" s="43"/>
      <c r="E20" s="43"/>
      <c r="F20" s="43"/>
      <c r="G20" s="43"/>
      <c r="H20" s="43"/>
      <c r="I20" s="43"/>
    </row>
  </sheetData>
  <dataConsolidate link="1"/>
  <mergeCells count="6">
    <mergeCell ref="A2:A5"/>
    <mergeCell ref="B2:I2"/>
    <mergeCell ref="B3:C3"/>
    <mergeCell ref="D3:E3"/>
    <mergeCell ref="F3:G3"/>
    <mergeCell ref="H3:I3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Лист3"/>
  <dimension ref="A1:O24"/>
  <sheetViews>
    <sheetView zoomScaleNormal="100" workbookViewId="0">
      <selection activeCell="D4" sqref="D4"/>
    </sheetView>
  </sheetViews>
  <sheetFormatPr defaultRowHeight="15" x14ac:dyDescent="0.25"/>
  <cols>
    <col min="1" max="1" width="35" bestFit="1" customWidth="1"/>
    <col min="2" max="13" width="18.7109375" customWidth="1"/>
    <col min="15" max="15" width="11.5703125" customWidth="1"/>
  </cols>
  <sheetData>
    <row r="1" spans="1:15" ht="15.75" thickBot="1" x14ac:dyDescent="0.3">
      <c r="O1" t="s">
        <v>32</v>
      </c>
    </row>
    <row r="2" spans="1:15" ht="15.75" thickBot="1" x14ac:dyDescent="0.3">
      <c r="A2" s="264" t="s">
        <v>29</v>
      </c>
      <c r="B2" s="274" t="s">
        <v>24</v>
      </c>
      <c r="C2" s="268"/>
      <c r="D2" s="268"/>
      <c r="E2" s="268"/>
      <c r="F2" s="268"/>
      <c r="G2" s="268"/>
      <c r="H2" s="268"/>
      <c r="I2" s="268"/>
      <c r="J2" s="268"/>
      <c r="K2" s="268"/>
      <c r="L2" s="268"/>
      <c r="M2" s="269"/>
    </row>
    <row r="3" spans="1:15" x14ac:dyDescent="0.25">
      <c r="A3" s="272"/>
      <c r="B3" s="270" t="s">
        <v>25</v>
      </c>
      <c r="C3" s="275"/>
      <c r="D3" s="271"/>
      <c r="E3" s="270" t="s">
        <v>26</v>
      </c>
      <c r="F3" s="275"/>
      <c r="G3" s="271"/>
      <c r="H3" s="270" t="s">
        <v>27</v>
      </c>
      <c r="I3" s="275"/>
      <c r="J3" s="271"/>
      <c r="K3" s="275" t="s">
        <v>28</v>
      </c>
      <c r="L3" s="275"/>
      <c r="M3" s="271"/>
    </row>
    <row r="4" spans="1:15" x14ac:dyDescent="0.25">
      <c r="A4" s="273"/>
      <c r="B4" s="216" t="s">
        <v>25</v>
      </c>
      <c r="C4" s="216" t="s">
        <v>25</v>
      </c>
      <c r="D4" s="216" t="s">
        <v>25</v>
      </c>
      <c r="E4" s="216" t="s">
        <v>26</v>
      </c>
      <c r="F4" s="12" t="s">
        <v>26</v>
      </c>
      <c r="G4" s="217" t="s">
        <v>26</v>
      </c>
      <c r="H4" s="216" t="s">
        <v>27</v>
      </c>
      <c r="I4" s="12" t="s">
        <v>27</v>
      </c>
      <c r="J4" s="217" t="s">
        <v>27</v>
      </c>
      <c r="K4" s="12" t="s">
        <v>28</v>
      </c>
      <c r="L4" s="12" t="s">
        <v>28</v>
      </c>
      <c r="M4" s="217" t="s">
        <v>28</v>
      </c>
    </row>
    <row r="5" spans="1:15" ht="15.75" thickBot="1" x14ac:dyDescent="0.3">
      <c r="A5" s="273"/>
      <c r="B5" s="30" t="s">
        <v>9</v>
      </c>
      <c r="C5" s="88" t="s">
        <v>8</v>
      </c>
      <c r="D5" s="29">
        <v>40</v>
      </c>
      <c r="E5" s="30" t="s">
        <v>9</v>
      </c>
      <c r="F5" s="88" t="s">
        <v>8</v>
      </c>
      <c r="G5" s="29">
        <v>40</v>
      </c>
      <c r="H5" s="30" t="s">
        <v>9</v>
      </c>
      <c r="I5" s="88" t="s">
        <v>8</v>
      </c>
      <c r="J5" s="29">
        <v>40</v>
      </c>
      <c r="K5" s="89" t="s">
        <v>9</v>
      </c>
      <c r="L5" s="88" t="s">
        <v>8</v>
      </c>
      <c r="M5" s="29">
        <v>40</v>
      </c>
    </row>
    <row r="6" spans="1:15" x14ac:dyDescent="0.25">
      <c r="A6" s="62" t="s">
        <v>11</v>
      </c>
      <c r="B6" s="114">
        <v>122400</v>
      </c>
      <c r="C6" s="115">
        <v>139800</v>
      </c>
      <c r="D6" s="116">
        <v>224600</v>
      </c>
      <c r="E6" s="114">
        <v>124800</v>
      </c>
      <c r="F6" s="115">
        <v>143000</v>
      </c>
      <c r="G6" s="116">
        <v>211800</v>
      </c>
      <c r="H6" s="114">
        <v>99200</v>
      </c>
      <c r="I6" s="115">
        <v>113100</v>
      </c>
      <c r="J6" s="116">
        <v>176500</v>
      </c>
      <c r="K6" s="117">
        <v>105900</v>
      </c>
      <c r="L6" s="115">
        <v>122100</v>
      </c>
      <c r="M6" s="116">
        <v>196200</v>
      </c>
    </row>
    <row r="7" spans="1:15" x14ac:dyDescent="0.25">
      <c r="A7" s="27" t="s">
        <v>10</v>
      </c>
      <c r="B7" s="96">
        <v>141000</v>
      </c>
      <c r="C7" s="118">
        <v>156600</v>
      </c>
      <c r="D7" s="97">
        <v>261000</v>
      </c>
      <c r="E7" s="96">
        <v>125800</v>
      </c>
      <c r="F7" s="118">
        <v>141805</v>
      </c>
      <c r="G7" s="97">
        <v>211100</v>
      </c>
      <c r="H7" s="96">
        <v>103000</v>
      </c>
      <c r="I7" s="118">
        <v>115325</v>
      </c>
      <c r="J7" s="97">
        <v>184000</v>
      </c>
      <c r="K7" s="119">
        <v>109000</v>
      </c>
      <c r="L7" s="118">
        <v>122755</v>
      </c>
      <c r="M7" s="97">
        <v>203500</v>
      </c>
    </row>
    <row r="8" spans="1:15" x14ac:dyDescent="0.25">
      <c r="A8" s="28" t="s">
        <v>7</v>
      </c>
      <c r="B8" s="94">
        <v>125000</v>
      </c>
      <c r="C8" s="120">
        <v>140000</v>
      </c>
      <c r="D8" s="95">
        <v>227000</v>
      </c>
      <c r="E8" s="94">
        <v>120000</v>
      </c>
      <c r="F8" s="120">
        <v>137000</v>
      </c>
      <c r="G8" s="95">
        <v>200000</v>
      </c>
      <c r="H8" s="94">
        <v>101000</v>
      </c>
      <c r="I8" s="120">
        <v>115000</v>
      </c>
      <c r="J8" s="95">
        <v>175000</v>
      </c>
      <c r="K8" s="121">
        <v>105000</v>
      </c>
      <c r="L8" s="120">
        <v>120000</v>
      </c>
      <c r="M8" s="95">
        <v>192000</v>
      </c>
    </row>
    <row r="9" spans="1:15" x14ac:dyDescent="0.25">
      <c r="A9" s="27" t="s">
        <v>19</v>
      </c>
      <c r="B9" s="96">
        <v>134400</v>
      </c>
      <c r="C9" s="118">
        <v>149400</v>
      </c>
      <c r="D9" s="97">
        <v>235000</v>
      </c>
      <c r="E9" s="96">
        <v>107400</v>
      </c>
      <c r="F9" s="118">
        <v>123400</v>
      </c>
      <c r="G9" s="97">
        <v>187400</v>
      </c>
      <c r="H9" s="96">
        <v>103900</v>
      </c>
      <c r="I9" s="118">
        <v>114900</v>
      </c>
      <c r="J9" s="97">
        <v>182400</v>
      </c>
      <c r="K9" s="119">
        <v>108400</v>
      </c>
      <c r="L9" s="118">
        <v>122400</v>
      </c>
      <c r="M9" s="97">
        <v>200400</v>
      </c>
    </row>
    <row r="10" spans="1:15" x14ac:dyDescent="0.25">
      <c r="A10" s="28" t="s">
        <v>21</v>
      </c>
      <c r="B10" s="94">
        <v>134400</v>
      </c>
      <c r="C10" s="120">
        <v>149400</v>
      </c>
      <c r="D10" s="95">
        <v>235000</v>
      </c>
      <c r="E10" s="94">
        <v>107400</v>
      </c>
      <c r="F10" s="120">
        <v>123400</v>
      </c>
      <c r="G10" s="95">
        <v>187400</v>
      </c>
      <c r="H10" s="94">
        <v>103900</v>
      </c>
      <c r="I10" s="120">
        <v>114900</v>
      </c>
      <c r="J10" s="95">
        <v>182400</v>
      </c>
      <c r="K10" s="121">
        <v>108400</v>
      </c>
      <c r="L10" s="120">
        <v>122400</v>
      </c>
      <c r="M10" s="95">
        <v>200400</v>
      </c>
    </row>
    <row r="11" spans="1:15" x14ac:dyDescent="0.25">
      <c r="A11" s="27" t="s">
        <v>30</v>
      </c>
      <c r="B11" s="96">
        <v>167600</v>
      </c>
      <c r="C11" s="118">
        <v>181540</v>
      </c>
      <c r="D11" s="97">
        <v>292000</v>
      </c>
      <c r="E11" s="96">
        <v>144300</v>
      </c>
      <c r="F11" s="118">
        <v>160305</v>
      </c>
      <c r="G11" s="97">
        <v>247100</v>
      </c>
      <c r="H11" s="96">
        <v>93100</v>
      </c>
      <c r="I11" s="118">
        <v>104115</v>
      </c>
      <c r="J11" s="97">
        <v>168000</v>
      </c>
      <c r="K11" s="119">
        <v>97300</v>
      </c>
      <c r="L11" s="118">
        <v>109595</v>
      </c>
      <c r="M11" s="97">
        <v>195500</v>
      </c>
    </row>
    <row r="12" spans="1:15" x14ac:dyDescent="0.25">
      <c r="A12" s="28" t="s">
        <v>55</v>
      </c>
      <c r="B12" s="94">
        <v>173730</v>
      </c>
      <c r="C12" s="120">
        <v>191045</v>
      </c>
      <c r="D12" s="95">
        <v>303815</v>
      </c>
      <c r="E12" s="94">
        <v>150590</v>
      </c>
      <c r="F12" s="120">
        <v>168355</v>
      </c>
      <c r="G12" s="95">
        <v>259240</v>
      </c>
      <c r="H12" s="94">
        <v>97945</v>
      </c>
      <c r="I12" s="120">
        <v>111625</v>
      </c>
      <c r="J12" s="95">
        <v>177245</v>
      </c>
      <c r="K12" s="121">
        <v>102705</v>
      </c>
      <c r="L12" s="120">
        <v>117975</v>
      </c>
      <c r="M12" s="95">
        <v>205870</v>
      </c>
    </row>
    <row r="13" spans="1:15" x14ac:dyDescent="0.25">
      <c r="A13" s="27" t="s">
        <v>56</v>
      </c>
      <c r="B13" s="96">
        <v>122400</v>
      </c>
      <c r="C13" s="118">
        <v>139800</v>
      </c>
      <c r="D13" s="97">
        <v>155000</v>
      </c>
      <c r="E13" s="96" t="s">
        <v>33</v>
      </c>
      <c r="F13" s="118" t="s">
        <v>33</v>
      </c>
      <c r="G13" s="97" t="s">
        <v>33</v>
      </c>
      <c r="H13" s="96" t="s">
        <v>33</v>
      </c>
      <c r="I13" s="118" t="s">
        <v>33</v>
      </c>
      <c r="J13" s="97" t="s">
        <v>33</v>
      </c>
      <c r="K13" s="119" t="s">
        <v>33</v>
      </c>
      <c r="L13" s="118" t="s">
        <v>33</v>
      </c>
      <c r="M13" s="97" t="s">
        <v>33</v>
      </c>
    </row>
    <row r="14" spans="1:15" x14ac:dyDescent="0.25">
      <c r="K14" s="15"/>
      <c r="L14" s="15"/>
    </row>
    <row r="16" spans="1:15" x14ac:dyDescent="0.25">
      <c r="G16" s="43"/>
      <c r="H16" s="43"/>
    </row>
    <row r="24" spans="11:12" x14ac:dyDescent="0.25">
      <c r="K24" s="15"/>
      <c r="L24" s="15"/>
    </row>
  </sheetData>
  <mergeCells count="6">
    <mergeCell ref="A2:A5"/>
    <mergeCell ref="B2:M2"/>
    <mergeCell ref="B3:D3"/>
    <mergeCell ref="E3:G3"/>
    <mergeCell ref="H3:J3"/>
    <mergeCell ref="K3:M3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19"/>
  <sheetViews>
    <sheetView workbookViewId="0">
      <selection activeCell="I4" sqref="I4"/>
    </sheetView>
  </sheetViews>
  <sheetFormatPr defaultRowHeight="15" x14ac:dyDescent="0.25"/>
  <cols>
    <col min="1" max="1" width="21.5703125" bestFit="1" customWidth="1"/>
  </cols>
  <sheetData>
    <row r="1" spans="1:9" ht="15.75" thickBot="1" x14ac:dyDescent="0.3"/>
    <row r="2" spans="1:9" ht="15.75" thickBot="1" x14ac:dyDescent="0.3">
      <c r="A2" s="264" t="s">
        <v>29</v>
      </c>
      <c r="B2" s="274" t="s">
        <v>24</v>
      </c>
      <c r="C2" s="268"/>
      <c r="D2" s="268"/>
      <c r="E2" s="268"/>
      <c r="F2" s="268"/>
      <c r="G2" s="268"/>
      <c r="H2" s="268"/>
      <c r="I2" s="269"/>
    </row>
    <row r="3" spans="1:9" x14ac:dyDescent="0.25">
      <c r="A3" s="265"/>
      <c r="B3" s="254" t="s">
        <v>25</v>
      </c>
      <c r="C3" s="256"/>
      <c r="D3" s="254" t="s">
        <v>26</v>
      </c>
      <c r="E3" s="256"/>
      <c r="F3" s="254" t="s">
        <v>27</v>
      </c>
      <c r="G3" s="256"/>
      <c r="H3" s="254" t="s">
        <v>28</v>
      </c>
      <c r="I3" s="256"/>
    </row>
    <row r="4" spans="1:9" x14ac:dyDescent="0.25">
      <c r="A4" s="265"/>
      <c r="B4" s="221" t="s">
        <v>25</v>
      </c>
      <c r="C4" s="222" t="s">
        <v>25</v>
      </c>
      <c r="D4" s="221" t="s">
        <v>26</v>
      </c>
      <c r="E4" s="222" t="s">
        <v>26</v>
      </c>
      <c r="F4" s="221" t="s">
        <v>27</v>
      </c>
      <c r="G4" s="222" t="s">
        <v>27</v>
      </c>
      <c r="H4" s="221" t="s">
        <v>28</v>
      </c>
      <c r="I4" s="222" t="s">
        <v>28</v>
      </c>
    </row>
    <row r="5" spans="1:9" x14ac:dyDescent="0.25">
      <c r="A5" s="265"/>
      <c r="B5" s="21">
        <v>20</v>
      </c>
      <c r="C5" s="22">
        <v>40</v>
      </c>
      <c r="D5" s="21">
        <v>20</v>
      </c>
      <c r="E5" s="22">
        <v>40</v>
      </c>
      <c r="F5" s="21">
        <v>20</v>
      </c>
      <c r="G5" s="22">
        <v>40</v>
      </c>
      <c r="H5" s="21">
        <v>20</v>
      </c>
      <c r="I5" s="22">
        <v>40</v>
      </c>
    </row>
    <row r="6" spans="1:9" x14ac:dyDescent="0.25">
      <c r="A6" s="23" t="s">
        <v>11</v>
      </c>
      <c r="B6" s="94">
        <v>3394</v>
      </c>
      <c r="C6" s="95">
        <v>6801</v>
      </c>
      <c r="D6" s="94">
        <v>3394</v>
      </c>
      <c r="E6" s="95">
        <v>6801</v>
      </c>
      <c r="F6" s="94">
        <v>2140</v>
      </c>
      <c r="G6" s="95">
        <v>4427</v>
      </c>
      <c r="H6" s="94">
        <v>2439</v>
      </c>
      <c r="I6" s="95">
        <v>4939</v>
      </c>
    </row>
    <row r="7" spans="1:9" x14ac:dyDescent="0.25">
      <c r="A7" s="24" t="s">
        <v>10</v>
      </c>
      <c r="B7" s="96">
        <v>3822</v>
      </c>
      <c r="C7" s="97">
        <v>6910</v>
      </c>
      <c r="D7" s="96">
        <v>4144</v>
      </c>
      <c r="E7" s="97">
        <v>7551</v>
      </c>
      <c r="F7" s="96">
        <v>2740</v>
      </c>
      <c r="G7" s="97">
        <v>4829</v>
      </c>
      <c r="H7" s="96">
        <v>3189</v>
      </c>
      <c r="I7" s="97">
        <v>5689</v>
      </c>
    </row>
    <row r="8" spans="1:9" x14ac:dyDescent="0.25">
      <c r="A8" s="23" t="s">
        <v>7</v>
      </c>
      <c r="B8" s="94">
        <v>4100</v>
      </c>
      <c r="C8" s="95">
        <v>8200</v>
      </c>
      <c r="D8" s="94">
        <v>4100</v>
      </c>
      <c r="E8" s="95">
        <v>8200</v>
      </c>
      <c r="F8" s="94">
        <v>2400</v>
      </c>
      <c r="G8" s="95">
        <v>4900</v>
      </c>
      <c r="H8" s="94">
        <v>3000</v>
      </c>
      <c r="I8" s="95">
        <v>6000</v>
      </c>
    </row>
    <row r="9" spans="1:9" x14ac:dyDescent="0.25">
      <c r="A9" s="24" t="s">
        <v>19</v>
      </c>
      <c r="B9" s="96">
        <v>3394</v>
      </c>
      <c r="C9" s="97">
        <v>6801</v>
      </c>
      <c r="D9" s="96">
        <v>3394</v>
      </c>
      <c r="E9" s="97">
        <v>6801</v>
      </c>
      <c r="F9" s="96">
        <v>1990</v>
      </c>
      <c r="G9" s="97">
        <v>4079</v>
      </c>
      <c r="H9" s="96">
        <v>2439</v>
      </c>
      <c r="I9" s="97">
        <v>4939</v>
      </c>
    </row>
    <row r="10" spans="1:9" x14ac:dyDescent="0.25">
      <c r="A10" s="23" t="s">
        <v>21</v>
      </c>
      <c r="B10" s="94">
        <v>3394</v>
      </c>
      <c r="C10" s="95">
        <v>6801</v>
      </c>
      <c r="D10" s="94">
        <v>3394</v>
      </c>
      <c r="E10" s="95">
        <v>6801</v>
      </c>
      <c r="F10" s="94">
        <v>1990</v>
      </c>
      <c r="G10" s="95">
        <v>4079</v>
      </c>
      <c r="H10" s="94">
        <v>2439</v>
      </c>
      <c r="I10" s="95">
        <v>4939</v>
      </c>
    </row>
    <row r="11" spans="1:9" x14ac:dyDescent="0.25">
      <c r="A11" s="24" t="s">
        <v>30</v>
      </c>
      <c r="B11" s="96">
        <v>3822</v>
      </c>
      <c r="C11" s="97">
        <v>6910</v>
      </c>
      <c r="D11" s="96">
        <v>4144</v>
      </c>
      <c r="E11" s="97">
        <v>7551</v>
      </c>
      <c r="F11" s="96">
        <v>2740</v>
      </c>
      <c r="G11" s="97">
        <v>4829</v>
      </c>
      <c r="H11" s="96">
        <v>3189</v>
      </c>
      <c r="I11" s="97">
        <v>5689</v>
      </c>
    </row>
    <row r="12" spans="1:9" x14ac:dyDescent="0.25">
      <c r="A12" s="23" t="s">
        <v>55</v>
      </c>
      <c r="B12" s="94">
        <v>3822</v>
      </c>
      <c r="C12" s="95">
        <v>6910</v>
      </c>
      <c r="D12" s="94">
        <v>4144</v>
      </c>
      <c r="E12" s="95">
        <v>7551</v>
      </c>
      <c r="F12" s="94">
        <v>2740</v>
      </c>
      <c r="G12" s="95">
        <v>4829</v>
      </c>
      <c r="H12" s="94">
        <v>3189</v>
      </c>
      <c r="I12" s="95">
        <v>5689</v>
      </c>
    </row>
    <row r="13" spans="1:9" x14ac:dyDescent="0.25">
      <c r="B13" s="14"/>
      <c r="C13" s="14"/>
    </row>
    <row r="14" spans="1:9" x14ac:dyDescent="0.25">
      <c r="B14" s="276"/>
      <c r="C14" s="276"/>
      <c r="D14" s="276"/>
      <c r="E14" s="276"/>
      <c r="F14" s="276"/>
      <c r="G14" s="276"/>
      <c r="H14" s="276"/>
      <c r="I14" s="276"/>
    </row>
    <row r="19" spans="10:15" x14ac:dyDescent="0.25">
      <c r="J19" s="68"/>
      <c r="K19" s="68"/>
      <c r="L19" s="68"/>
      <c r="M19" s="68"/>
      <c r="N19" s="68"/>
      <c r="O19" s="68"/>
    </row>
  </sheetData>
  <mergeCells count="10">
    <mergeCell ref="B14:C14"/>
    <mergeCell ref="D14:E14"/>
    <mergeCell ref="F14:G14"/>
    <mergeCell ref="H14:I14"/>
    <mergeCell ref="A2:A5"/>
    <mergeCell ref="B2:I2"/>
    <mergeCell ref="B3:C3"/>
    <mergeCell ref="D3:E3"/>
    <mergeCell ref="F3:G3"/>
    <mergeCell ref="H3:I3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Лист4"/>
  <dimension ref="A1:AD75"/>
  <sheetViews>
    <sheetView zoomScale="110" zoomScaleNormal="110" workbookViewId="0">
      <selection activeCell="R1" sqref="R1:S2"/>
    </sheetView>
  </sheetViews>
  <sheetFormatPr defaultColWidth="9.140625" defaultRowHeight="15.75" x14ac:dyDescent="0.25"/>
  <cols>
    <col min="1" max="2" width="17.5703125" style="1" customWidth="1"/>
    <col min="3" max="3" width="21.42578125" style="1" customWidth="1"/>
    <col min="4" max="4" width="35" style="1" bestFit="1" customWidth="1"/>
    <col min="5" max="5" width="15.28515625" style="186" bestFit="1" customWidth="1"/>
    <col min="6" max="6" width="15.28515625" style="167" bestFit="1" customWidth="1"/>
    <col min="7" max="8" width="12.140625" style="167" customWidth="1"/>
    <col min="9" max="11" width="18.140625" style="167" customWidth="1"/>
    <col min="12" max="14" width="16.140625" style="167" customWidth="1"/>
    <col min="15" max="16" width="11" style="167" customWidth="1"/>
    <col min="17" max="17" width="10.42578125" style="37" customWidth="1"/>
    <col min="18" max="18" width="16.7109375" style="1" bestFit="1" customWidth="1"/>
    <col min="19" max="19" width="12.7109375" style="1" bestFit="1" customWidth="1"/>
    <col min="20" max="21" width="9.140625" style="1"/>
    <col min="22" max="22" width="10.140625" style="1" bestFit="1" customWidth="1"/>
    <col min="23" max="16384" width="9.140625" style="1"/>
  </cols>
  <sheetData>
    <row r="1" spans="1:21" ht="21" x14ac:dyDescent="0.35">
      <c r="A1" s="278" t="s">
        <v>3</v>
      </c>
      <c r="B1" s="278" t="s">
        <v>3</v>
      </c>
      <c r="C1" s="280" t="s">
        <v>0</v>
      </c>
      <c r="D1" s="280" t="s">
        <v>6</v>
      </c>
      <c r="E1" s="277" t="s">
        <v>23</v>
      </c>
      <c r="F1" s="277"/>
      <c r="G1" s="277" t="s">
        <v>2</v>
      </c>
      <c r="H1" s="277"/>
      <c r="I1" s="277" t="s">
        <v>4</v>
      </c>
      <c r="J1" s="277"/>
      <c r="K1" s="277"/>
      <c r="L1" s="277" t="s">
        <v>5</v>
      </c>
      <c r="M1" s="277"/>
      <c r="N1" s="277"/>
      <c r="O1" s="284" t="s">
        <v>20</v>
      </c>
      <c r="P1" s="285"/>
      <c r="R1" s="244" t="s">
        <v>66</v>
      </c>
      <c r="S1" s="245">
        <v>60</v>
      </c>
    </row>
    <row r="2" spans="1:21" ht="21.75" thickBot="1" x14ac:dyDescent="0.4">
      <c r="A2" s="279"/>
      <c r="B2" s="279"/>
      <c r="C2" s="281"/>
      <c r="D2" s="281"/>
      <c r="E2" s="226">
        <v>20</v>
      </c>
      <c r="F2" s="215">
        <v>40</v>
      </c>
      <c r="G2" s="215">
        <v>20</v>
      </c>
      <c r="H2" s="215">
        <v>40</v>
      </c>
      <c r="I2" s="215" t="s">
        <v>9</v>
      </c>
      <c r="J2" s="215" t="s">
        <v>8</v>
      </c>
      <c r="K2" s="215">
        <v>40</v>
      </c>
      <c r="L2" s="215" t="s">
        <v>9</v>
      </c>
      <c r="M2" s="215" t="s">
        <v>8</v>
      </c>
      <c r="N2" s="227">
        <v>40</v>
      </c>
      <c r="O2" s="227">
        <v>20</v>
      </c>
      <c r="P2" s="227">
        <v>40</v>
      </c>
      <c r="R2" s="244" t="s">
        <v>65</v>
      </c>
      <c r="S2" s="244" t="str" cm="1">
        <f t="array" aca="1" ref="S2" ca="1">_xlfn.TEXTAFTER(CELL("filename", A1), "]")</f>
        <v>Москва</v>
      </c>
    </row>
    <row r="3" spans="1:21" ht="30.75" thickBot="1" x14ac:dyDescent="0.3">
      <c r="A3" s="213" t="s">
        <v>13</v>
      </c>
      <c r="B3" s="287" t="s">
        <v>13</v>
      </c>
      <c r="C3" s="63" t="s">
        <v>43</v>
      </c>
      <c r="D3" s="64" t="s">
        <v>44</v>
      </c>
      <c r="E3" s="168" t="str" cm="1">
        <f t="array" ref="E3">IFERROR(_xlfn.XLOOKUP(1, (Фрахт!$A$5:$A$80 = $A3)* (Фрахт!$B$5:$B$80 = $C3) * (Фрахт!$C$5:$C$80 =$D3),  _xlfn.XLOOKUP(1,  (Фрахт!$D$4:$E$4 = E$2) * 1, Фрахт!$D$5:$E$80)) *  $S$1, "-")</f>
        <v>-</v>
      </c>
      <c r="F3" s="168" t="str" cm="1">
        <f t="array" ref="F3">IFERROR(_xlfn.XLOOKUP(1, (Фрахт!$A$5:$A$80 = $A3)* (Фрахт!$B$5:$B$80 = $C3) * (Фрахт!$C$5:$C$80 =$D3),  _xlfn.XLOOKUP(1,  (Фрахт!$D$4:$E$4 = F$2) * 1, Фрахт!$D$5:$E$80)) *  $S$1, "-")</f>
        <v>-</v>
      </c>
      <c r="G3" s="168" cm="1">
        <f t="array" aca="1" ref="G3" ca="1">IFERROR(_xlfn.XLOOKUP(1,  ('Drop off'!$A$6:$A$14 = $C3) * 1,  _xlfn.XLOOKUP(1,  ('Drop off'!$B$5:$I$5 = G$2) * ('Drop off'!$B$4:$I$4 = $S$2), 'Drop off'!$B$6:$I$14)) * $S$1, "-")</f>
        <v>0</v>
      </c>
      <c r="H3" s="168" cm="1">
        <f t="array" aca="1" ref="H3" ca="1">IFERROR(_xlfn.XLOOKUP(1,  ('Drop off'!$A$6:$A$14 = $C3) * 1,  _xlfn.XLOOKUP(1,  ('Drop off'!$B$5:$I$5 = H$2) * ('Drop off'!$B$4:$I$4 = $S$2), 'Drop off'!$B$6:$I$14)) * $S$1, "-")</f>
        <v>0</v>
      </c>
      <c r="I3" s="168" t="str" cm="1">
        <f t="array" aca="1" ref="I3" ca="1">IFERROR(_xlfn.XLOOKUP(1,  ('ж.д.'!$A$6:$A$14 = $D3) * 1,  _xlfn.XLOOKUP(1,  ('ж.д.'!$B$5:$M$5 = I$2) * ('ж.д.'!$B$4:$M$4 = $S$2), 'ж.д.'!$B$6:$M$14)), "-")</f>
        <v>-</v>
      </c>
      <c r="J3" s="168" t="str" cm="1">
        <f t="array" aca="1" ref="J3" ca="1">IFERROR(_xlfn.XLOOKUP(1,  ('ж.д.'!$A$6:$A$14 = $D3) * 1,  _xlfn.XLOOKUP(1,  ('ж.д.'!$B$5:$M$5 = J$2) * ('ж.д.'!$B$4:$M$4 = $S$2), 'ж.д.'!$B$6:$M$14)), "-")</f>
        <v>-</v>
      </c>
      <c r="K3" s="168" t="str" cm="1">
        <f t="array" aca="1" ref="K3" ca="1">IFERROR(_xlfn.XLOOKUP(1,  ('ж.д.'!$A$6:$A$14 = $D3) * 1,  _xlfn.XLOOKUP(1,  ('ж.д.'!$B$5:$M$5 = K$2) * ('ж.д.'!$B$4:$M$4 = $S$2), 'ж.д.'!$B$6:$M$14)), "-")</f>
        <v>-</v>
      </c>
      <c r="L3" s="191" cm="1">
        <f t="array" aca="1" ref="L3" ca="1">IF(ISNUMBER(SEARCH("Транс",$C3)),_xlfn.XLOOKUP(1,('Фрахт Транс'!$A$5:$A$10=$D3)*1,_xlfn.XLOOKUP(1,('Фрахт Транс'!$B$3:$M$3 = $S$2)*('Фрахт Транс'!$B$4:$M$4=L$2),'Фрахт Транс'!$B$5:$M$10)),SUM($E3, $G3, $I3, $O3))</f>
        <v>354626</v>
      </c>
      <c r="M3" s="191" cm="1">
        <f t="array" aca="1" ref="M3" ca="1">IF(ISNUMBER(SEARCH("Транс",$C3)),_xlfn.XLOOKUP(1,('Фрахт Транс'!$A$5:$A$10=$D3)*1,_xlfn.XLOOKUP(1,('Фрахт Транс'!$B$3:$M$3=$S$2)*('Фрахт Транс'!$B$4:$M$4=M$2),'Фрахт Транс'!$B$5:$M$10)),SUM($E3, $G3, $J3, $O3))</f>
        <v>372164</v>
      </c>
      <c r="N3" s="191" cm="1">
        <f t="array" aca="1" ref="N3" ca="1">IF(ISNUMBER(SEARCH("Транс",$C3)),_xlfn.XLOOKUP(1,('Фрахт Транс'!$A$5:$A$10=$D3)*1,_xlfn.XLOOKUP(1,('Фрахт Транс'!$B$3:$M$3=$S$2)*('Фрахт Транс'!$B$4:$M$4=N$2),'Фрахт Транс'!$B$5:$M$10)),SUM($F3, $H3, $K3, $P3))</f>
        <v>566328</v>
      </c>
      <c r="O3" s="192" t="str" cm="1">
        <f t="array" aca="1" ref="O3" ca="1">IFERROR(_xlfn.XLOOKUP(1,  (Охрана!$A$6:$A$14 = $D3) * 1,  _xlfn.XLOOKUP(1,  (Охрана!$B$5:$M$5 = O$2) * (Охрана!$B$4:$M$4 = $S$2), Охрана!$B$6:$M$14)), "-")</f>
        <v>-</v>
      </c>
      <c r="P3" s="192" t="str" cm="1">
        <f t="array" aca="1" ref="P3" ca="1">IFERROR(_xlfn.XLOOKUP(1,  (Охрана!$A$6:$A$14 = $D3) * 1,  _xlfn.XLOOKUP(1,  (Охрана!$B$5:$M$5 = P$2) * (Охрана!$B$4:$M$4 = $S$2), Охрана!$B$6:$M$14)), "-")</f>
        <v>-</v>
      </c>
      <c r="Q3" s="38"/>
      <c r="R3" s="6"/>
      <c r="U3" s="3"/>
    </row>
    <row r="4" spans="1:21" thickBot="1" x14ac:dyDescent="0.3">
      <c r="A4" s="213" t="s">
        <v>13</v>
      </c>
      <c r="B4" s="288"/>
      <c r="C4" s="32" t="s">
        <v>12</v>
      </c>
      <c r="D4" s="32" t="s">
        <v>30</v>
      </c>
      <c r="E4" s="169" cm="1">
        <f t="array" ref="E4">IFERROR(_xlfn.XLOOKUP(1, (Фрахт!$A$5:$A$80 = $A4)* (Фрахт!$B$5:$B$80 = $C4) * (Фрахт!$C$5:$C$80 =$D4),  _xlfn.XLOOKUP(1,  (Фрахт!$D$4:$E$4 = E$2) * 1, Фрахт!$D$5:$E$80)) *  $S$1, "-")</f>
        <v>330000</v>
      </c>
      <c r="F4" s="169" cm="1">
        <f t="array" ref="F4">IFERROR(_xlfn.XLOOKUP(1, (Фрахт!$A$5:$A$80 = $A4)* (Фрахт!$B$5:$B$80 = $C4) * (Фрахт!$C$5:$C$80 =$D4),  _xlfn.XLOOKUP(1,  (Фрахт!$D$4:$E$4 = F$2) * 1, Фрахт!$D$5:$E$80)) *  $S$1, "-")</f>
        <v>450000</v>
      </c>
      <c r="G4" s="149" cm="1">
        <f t="array" aca="1" ref="G4" ca="1">IFERROR(_xlfn.XLOOKUP(1,  ('Drop off'!$A$6:$A$14 = $C4) * 1,  _xlfn.XLOOKUP(1,  ('Drop off'!$B$5:$I$5 = G$2) * ('Drop off'!$B$4:$I$4 = $S$2), 'Drop off'!$B$6:$I$14)) * $S$1, "-")</f>
        <v>0</v>
      </c>
      <c r="H4" s="149" cm="1">
        <f t="array" aca="1" ref="H4" ca="1">IFERROR(_xlfn.XLOOKUP(1,  ('Drop off'!$A$6:$A$14 = $C4) * 1,  _xlfn.XLOOKUP(1,  ('Drop off'!$B$5:$I$5 = H$2) * ('Drop off'!$B$4:$I$4 = $S$2), 'Drop off'!$B$6:$I$14)) * $S$1, "-")</f>
        <v>0</v>
      </c>
      <c r="I4" s="149" cm="1">
        <f t="array" aca="1" ref="I4" ca="1">IFERROR(_xlfn.XLOOKUP(1,  ('ж.д.'!$A$6:$A$14 = $D4) * 1,  _xlfn.XLOOKUP(1,  ('ж.д.'!$B$5:$M$5 = I$2) * ('ж.д.'!$B$4:$M$4 = $S$2), 'ж.д.'!$B$6:$M$14)), "-")</f>
        <v>167600</v>
      </c>
      <c r="J4" s="149" cm="1">
        <f t="array" aca="1" ref="J4" ca="1">IFERROR(_xlfn.XLOOKUP(1,  ('ж.д.'!$A$6:$A$14 = $D4) * 1,  _xlfn.XLOOKUP(1,  ('ж.д.'!$B$5:$M$5 = J$2) * ('ж.д.'!$B$4:$M$4 = $S$2), 'ж.д.'!$B$6:$M$14)), "-")</f>
        <v>181540</v>
      </c>
      <c r="K4" s="149" cm="1">
        <f t="array" aca="1" ref="K4" ca="1">IFERROR(_xlfn.XLOOKUP(1,  ('ж.д.'!$A$6:$A$14 = $D4) * 1,  _xlfn.XLOOKUP(1,  ('ж.д.'!$B$5:$M$5 = K$2) * ('ж.д.'!$B$4:$M$4 = $S$2), 'ж.д.'!$B$6:$M$14)), "-")</f>
        <v>292000</v>
      </c>
      <c r="L4" s="149" cm="1">
        <f t="array" aca="1" ref="L4" ca="1">IF(ISNUMBER(SEARCH("Транс",$C4)),_xlfn.XLOOKUP(1,('Фрахт Транс'!$A$5:$A$10=$D4)*1,_xlfn.XLOOKUP(1,('Фрахт Транс'!$B$3:$M$3 = $S$2)*('Фрахт Транс'!$B$4:$M$4=L$2),'Фрахт Транс'!$B$5:$M$10)),SUM($E4, $G4, $I4, $O4))</f>
        <v>501422</v>
      </c>
      <c r="M4" s="149" cm="1">
        <f t="array" aca="1" ref="M4" ca="1">IF(ISNUMBER(SEARCH("Транс",$C4)),_xlfn.XLOOKUP(1,('Фрахт Транс'!$A$5:$A$10=$D4)*1,_xlfn.XLOOKUP(1,('Фрахт Транс'!$B$3:$M$3=$S$2)*('Фрахт Транс'!$B$4:$M$4=M$2),'Фрахт Транс'!$B$5:$M$10)),SUM($E4, $G4, $J4, $O4))</f>
        <v>515362</v>
      </c>
      <c r="N4" s="149" cm="1">
        <f t="array" aca="1" ref="N4" ca="1">IF(ISNUMBER(SEARCH("Транс",$C4)),_xlfn.XLOOKUP(1,('Фрахт Транс'!$A$5:$A$10=$D4)*1,_xlfn.XLOOKUP(1,('Фрахт Транс'!$B$3:$M$3=$S$2)*('Фрахт Транс'!$B$4:$M$4=N$2),'Фрахт Транс'!$B$5:$M$10)),SUM($F4, $H4, $K4, $P4))</f>
        <v>748910</v>
      </c>
      <c r="O4" s="149" cm="1">
        <f t="array" aca="1" ref="O4" ca="1">IFERROR(_xlfn.XLOOKUP(1,  (Охрана!$A$6:$A$14 = $D4) * 1,  _xlfn.XLOOKUP(1,  (Охрана!$B$5:$M$5 = O$2) * (Охрана!$B$4:$M$4 = $S$2), Охрана!$B$6:$M$14)), "-")</f>
        <v>3822</v>
      </c>
      <c r="P4" s="194" cm="1">
        <f t="array" aca="1" ref="P4" ca="1">IFERROR(_xlfn.XLOOKUP(1,  (Охрана!$A$6:$A$14 = $D4) * 1,  _xlfn.XLOOKUP(1,  (Охрана!$B$5:$M$5 = P$2) * (Охрана!$B$4:$M$4 = $S$2), Охрана!$B$6:$M$14)), "-")</f>
        <v>6910</v>
      </c>
      <c r="Q4" s="282"/>
      <c r="R4" s="91"/>
      <c r="S4" s="4"/>
    </row>
    <row r="5" spans="1:21" ht="15.75" customHeight="1" thickBot="1" x14ac:dyDescent="0.3">
      <c r="A5" s="213" t="s">
        <v>13</v>
      </c>
      <c r="B5" s="288"/>
      <c r="C5" s="32" t="s">
        <v>12</v>
      </c>
      <c r="D5" s="32" t="s">
        <v>55</v>
      </c>
      <c r="E5" s="169" cm="1">
        <f t="array" ref="E5">IFERROR(_xlfn.XLOOKUP(1, (Фрахт!$A$5:$A$80 = $A5)* (Фрахт!$B$5:$B$80 = $C5) * (Фрахт!$C$5:$C$80 =$D5),  _xlfn.XLOOKUP(1,  (Фрахт!$D$4:$E$4 = E$2) * 1, Фрахт!$D$5:$E$80)) *  $S$1, "-")</f>
        <v>330000</v>
      </c>
      <c r="F5" s="149" cm="1">
        <f t="array" ref="F5">IFERROR(_xlfn.XLOOKUP(1, (Фрахт!$A$5:$A$80 = $A5)* (Фрахт!$B$5:$B$80 = $C5) * (Фрахт!$C$5:$C$80 =$D5),  _xlfn.XLOOKUP(1,  (Фрахт!$D$4:$E$4 = F$2) * 1, Фрахт!$D$5:$E$80)) *  $S$1, "-")</f>
        <v>450000</v>
      </c>
      <c r="G5" s="149" cm="1">
        <f t="array" aca="1" ref="G5" ca="1">IFERROR(_xlfn.XLOOKUP(1,  ('Drop off'!$A$6:$A$14 = $C5) * 1,  _xlfn.XLOOKUP(1,  ('Drop off'!$B$5:$I$5 = G$2) * ('Drop off'!$B$4:$I$4 = $S$2), 'Drop off'!$B$6:$I$14)) * $S$1, "-")</f>
        <v>0</v>
      </c>
      <c r="H5" s="149" cm="1">
        <f t="array" aca="1" ref="H5" ca="1">IFERROR(_xlfn.XLOOKUP(1,  ('Drop off'!$A$6:$A$14 = $C5) * 1,  _xlfn.XLOOKUP(1,  ('Drop off'!$B$5:$I$5 = H$2) * ('Drop off'!$B$4:$I$4 = $S$2), 'Drop off'!$B$6:$I$14)) * $S$1, "-")</f>
        <v>0</v>
      </c>
      <c r="I5" s="149" cm="1">
        <f t="array" aca="1" ref="I5" ca="1">IFERROR(_xlfn.XLOOKUP(1,  ('ж.д.'!$A$6:$A$14 = $D5) * 1,  _xlfn.XLOOKUP(1,  ('ж.д.'!$B$5:$M$5 = I$2) * ('ж.д.'!$B$4:$M$4 = $S$2), 'ж.д.'!$B$6:$M$14)), "-")</f>
        <v>173730</v>
      </c>
      <c r="J5" s="149" cm="1">
        <f t="array" aca="1" ref="J5" ca="1">IFERROR(_xlfn.XLOOKUP(1,  ('ж.д.'!$A$6:$A$14 = $D5) * 1,  _xlfn.XLOOKUP(1,  ('ж.д.'!$B$5:$M$5 = J$2) * ('ж.д.'!$B$4:$M$4 = $S$2), 'ж.д.'!$B$6:$M$14)), "-")</f>
        <v>191045</v>
      </c>
      <c r="K5" s="149" cm="1">
        <f t="array" aca="1" ref="K5" ca="1">IFERROR(_xlfn.XLOOKUP(1,  ('ж.д.'!$A$6:$A$14 = $D5) * 1,  _xlfn.XLOOKUP(1,  ('ж.д.'!$B$5:$M$5 = K$2) * ('ж.д.'!$B$4:$M$4 = $S$2), 'ж.д.'!$B$6:$M$14)), "-")</f>
        <v>303815</v>
      </c>
      <c r="L5" s="149" cm="1">
        <f t="array" aca="1" ref="L5" ca="1">IF(ISNUMBER(SEARCH("Транс",$C5)),_xlfn.XLOOKUP(1,('Фрахт Транс'!$A$5:$A$10=$D5)*1,_xlfn.XLOOKUP(1,('Фрахт Транс'!$B$3:$M$3 = $S$2)*('Фрахт Транс'!$B$4:$M$4=L$2),'Фрахт Транс'!$B$5:$M$10)),SUM($E5, $G5, $I5, $O5))</f>
        <v>507552</v>
      </c>
      <c r="M5" s="149" cm="1">
        <f t="array" aca="1" ref="M5" ca="1">IF(ISNUMBER(SEARCH("Транс",$C5)),_xlfn.XLOOKUP(1,('Фрахт Транс'!$A$5:$A$10=$D5)*1,_xlfn.XLOOKUP(1,('Фрахт Транс'!$B$3:$M$3=$S$2)*('Фрахт Транс'!$B$4:$M$4=M$2),'Фрахт Транс'!$B$5:$M$10)),SUM($E5, $G5, $J5, $O5))</f>
        <v>524867</v>
      </c>
      <c r="N5" s="149" cm="1">
        <f t="array" aca="1" ref="N5" ca="1">IF(ISNUMBER(SEARCH("Транс",$C5)),_xlfn.XLOOKUP(1,('Фрахт Транс'!$A$5:$A$10=$D5)*1,_xlfn.XLOOKUP(1,('Фрахт Транс'!$B$3:$M$3=$S$2)*('Фрахт Транс'!$B$4:$M$4=N$2),'Фрахт Транс'!$B$5:$M$10)),SUM($F5, $H5, $K5, $P5))</f>
        <v>760725</v>
      </c>
      <c r="O5" s="149" cm="1">
        <f t="array" aca="1" ref="O5" ca="1">IFERROR(_xlfn.XLOOKUP(1,  (Охрана!$A$6:$A$14 = $D5) * 1,  _xlfn.XLOOKUP(1,  (Охрана!$B$5:$M$5 = O$2) * (Охрана!$B$4:$M$4 = $S$2), Охрана!$B$6:$M$14)), "-")</f>
        <v>3822</v>
      </c>
      <c r="P5" s="194" cm="1">
        <f t="array" aca="1" ref="P5" ca="1">IFERROR(_xlfn.XLOOKUP(1,  (Охрана!$A$6:$A$14 = $D5) * 1,  _xlfn.XLOOKUP(1,  (Охрана!$B$5:$M$5 = P$2) * (Охрана!$B$4:$M$4 = $S$2), Охрана!$B$6:$M$14)), "-")</f>
        <v>6910</v>
      </c>
      <c r="Q5" s="282"/>
      <c r="R5" s="3"/>
      <c r="S5" s="4"/>
    </row>
    <row r="6" spans="1:21" ht="15" customHeight="1" thickBot="1" x14ac:dyDescent="0.3">
      <c r="A6" s="213" t="s">
        <v>13</v>
      </c>
      <c r="B6" s="288"/>
      <c r="C6" s="41" t="s">
        <v>35</v>
      </c>
      <c r="D6" s="40" t="s">
        <v>11</v>
      </c>
      <c r="E6" s="170" cm="1">
        <f t="array" ref="E6">IFERROR(_xlfn.XLOOKUP(1, (Фрахт!$A$5:$A$80 = $A6)* (Фрахт!$B$5:$B$80 = $C6) * (Фрахт!$C$5:$C$80 =$D6),  _xlfn.XLOOKUP(1,  (Фрахт!$D$4:$E$4 = E$2) * 1, Фрахт!$D$5:$E$80)) *  $S$1, "-")</f>
        <v>283500</v>
      </c>
      <c r="F6" s="150" cm="1">
        <f t="array" ref="F6">IFERROR(_xlfn.XLOOKUP(1, (Фрахт!$A$5:$A$80 = $A6)* (Фрахт!$B$5:$B$80 = $C6) * (Фрахт!$C$5:$C$80 =$D6),  _xlfn.XLOOKUP(1,  (Фрахт!$D$4:$E$4 = F$2) * 1, Фрахт!$D$5:$E$80)) *  $S$1, "-")</f>
        <v>472500</v>
      </c>
      <c r="G6" s="150" cm="1">
        <f t="array" aca="1" ref="G6" ca="1">IFERROR(_xlfn.XLOOKUP(1,  ('Drop off'!$A$6:$A$14 = $C6) * 1,  _xlfn.XLOOKUP(1,  ('Drop off'!$B$5:$I$5 = G$2) * ('Drop off'!$B$4:$I$4 = $S$2), 'Drop off'!$B$6:$I$14)) * $S$1, "-")</f>
        <v>56700</v>
      </c>
      <c r="H6" s="150" cm="1">
        <f t="array" aca="1" ref="H6" ca="1">IFERROR(_xlfn.XLOOKUP(1,  ('Drop off'!$A$6:$A$14 = $C6) * 1,  _xlfn.XLOOKUP(1,  ('Drop off'!$B$5:$I$5 = H$2) * ('Drop off'!$B$4:$I$4 = $S$2), 'Drop off'!$B$6:$I$14)) * $S$1, "-")</f>
        <v>37800</v>
      </c>
      <c r="I6" s="150" cm="1">
        <f t="array" aca="1" ref="I6" ca="1">IFERROR(_xlfn.XLOOKUP(1,  ('ж.д.'!$A$6:$A$14 = $D6) * 1,  _xlfn.XLOOKUP(1,  ('ж.д.'!$B$5:$M$5 = I$2) * ('ж.д.'!$B$4:$M$4 = $S$2), 'ж.д.'!$B$6:$M$14)), "-")</f>
        <v>122400</v>
      </c>
      <c r="J6" s="150" cm="1">
        <f t="array" aca="1" ref="J6" ca="1">IFERROR(_xlfn.XLOOKUP(1,  ('ж.д.'!$A$6:$A$14 = $D6) * 1,  _xlfn.XLOOKUP(1,  ('ж.д.'!$B$5:$M$5 = J$2) * ('ж.д.'!$B$4:$M$4 = $S$2), 'ж.д.'!$B$6:$M$14)), "-")</f>
        <v>139800</v>
      </c>
      <c r="K6" s="150" cm="1">
        <f t="array" aca="1" ref="K6" ca="1">IFERROR(_xlfn.XLOOKUP(1,  ('ж.д.'!$A$6:$A$14 = $D6) * 1,  _xlfn.XLOOKUP(1,  ('ж.д.'!$B$5:$M$5 = K$2) * ('ж.д.'!$B$4:$M$4 = $S$2), 'ж.д.'!$B$6:$M$14)), "-")</f>
        <v>224600</v>
      </c>
      <c r="L6" s="150" cm="1">
        <f t="array" aca="1" ref="L6" ca="1">IF(ISNUMBER(SEARCH("Транс",$C6)),_xlfn.XLOOKUP(1,('Фрахт Транс'!$A$5:$A$10=$D6)*1,_xlfn.XLOOKUP(1,('Фрахт Транс'!$B$3:$M$3 = $S$2)*('Фрахт Транс'!$B$4:$M$4=L$2),'Фрахт Транс'!$B$5:$M$10)),SUM($E6, $G6, $I6, $O6))</f>
        <v>465994</v>
      </c>
      <c r="M6" s="150" cm="1">
        <f t="array" aca="1" ref="M6" ca="1">IF(ISNUMBER(SEARCH("Транс",$C6)),_xlfn.XLOOKUP(1,('Фрахт Транс'!$A$5:$A$10=$D6)*1,_xlfn.XLOOKUP(1,('Фрахт Транс'!$B$3:$M$3=$S$2)*('Фрахт Транс'!$B$4:$M$4=M$2),'Фрахт Транс'!$B$5:$M$10)),SUM($E6, $G6, $J6, $O6))</f>
        <v>483394</v>
      </c>
      <c r="N6" s="150" cm="1">
        <f t="array" aca="1" ref="N6" ca="1">IF(ISNUMBER(SEARCH("Транс",$C6)),_xlfn.XLOOKUP(1,('Фрахт Транс'!$A$5:$A$10=$D6)*1,_xlfn.XLOOKUP(1,('Фрахт Транс'!$B$3:$M$3=$S$2)*('Фрахт Транс'!$B$4:$M$4=N$2),'Фрахт Транс'!$B$5:$M$10)),SUM($F6, $H6, $K6, $P6))</f>
        <v>741701</v>
      </c>
      <c r="O6" s="150" cm="1">
        <f t="array" aca="1" ref="O6" ca="1">IFERROR(_xlfn.XLOOKUP(1,  (Охрана!$A$6:$A$14 = $D6) * 1,  _xlfn.XLOOKUP(1,  (Охрана!$B$5:$M$5 = O$2) * (Охрана!$B$4:$M$4 = $S$2), Охрана!$B$6:$M$14)), "-")</f>
        <v>3394</v>
      </c>
      <c r="P6" s="195" cm="1">
        <f t="array" aca="1" ref="P6" ca="1">IFERROR(_xlfn.XLOOKUP(1,  (Охрана!$A$6:$A$14 = $D6) * 1,  _xlfn.XLOOKUP(1,  (Охрана!$B$5:$M$5 = P$2) * (Охрана!$B$4:$M$4 = $S$2), Охрана!$B$6:$M$14)), "-")</f>
        <v>6801</v>
      </c>
      <c r="Q6" s="286"/>
      <c r="R6" s="4"/>
      <c r="S6" s="4"/>
    </row>
    <row r="7" spans="1:21" ht="16.5" customHeight="1" thickBot="1" x14ac:dyDescent="0.3">
      <c r="A7" s="213" t="s">
        <v>13</v>
      </c>
      <c r="B7" s="288"/>
      <c r="C7" s="41" t="s">
        <v>35</v>
      </c>
      <c r="D7" s="40" t="s">
        <v>34</v>
      </c>
      <c r="E7" s="170" cm="1">
        <f t="array" ref="E7">IFERROR(_xlfn.XLOOKUP(1, (Фрахт!$A$5:$A$80 = $A7)* (Фрахт!$B$5:$B$80 = $C7) * (Фрахт!$C$5:$C$80 =$D7),  _xlfn.XLOOKUP(1,  (Фрахт!$D$4:$E$4 = E$2) * 1, Фрахт!$D$5:$E$80)) *  $S$1, "-")</f>
        <v>283500</v>
      </c>
      <c r="F7" s="150" cm="1">
        <f t="array" ref="F7">IFERROR(_xlfn.XLOOKUP(1, (Фрахт!$A$5:$A$80 = $A7)* (Фрахт!$B$5:$B$80 = $C7) * (Фрахт!$C$5:$C$80 =$D7),  _xlfn.XLOOKUP(1,  (Фрахт!$D$4:$E$4 = F$2) * 1, Фрахт!$D$5:$E$80)) *  $S$1, "-")</f>
        <v>472500</v>
      </c>
      <c r="G7" s="150" cm="1">
        <f t="array" aca="1" ref="G7" ca="1">IFERROR(_xlfn.XLOOKUP(1,  ('Drop off'!$A$6:$A$14 = $C7) * 1,  _xlfn.XLOOKUP(1,  ('Drop off'!$B$5:$I$5 = G$2) * ('Drop off'!$B$4:$I$4 = $S$2), 'Drop off'!$B$6:$I$14)) * $S$1, "-")</f>
        <v>56700</v>
      </c>
      <c r="H7" s="150" cm="1">
        <f t="array" aca="1" ref="H7" ca="1">IFERROR(_xlfn.XLOOKUP(1,  ('Drop off'!$A$6:$A$14 = $C7) * 1,  _xlfn.XLOOKUP(1,  ('Drop off'!$B$5:$I$5 = H$2) * ('Drop off'!$B$4:$I$4 = $S$2), 'Drop off'!$B$6:$I$14)) * $S$1, "-")</f>
        <v>37800</v>
      </c>
      <c r="I7" s="150" cm="1">
        <f t="array" aca="1" ref="I7" ca="1">IFERROR(_xlfn.XLOOKUP(1,  ('ж.д.'!$A$6:$A$14 = $D7) * 1,  _xlfn.XLOOKUP(1,  ('ж.д.'!$B$5:$M$5 = I$2) * ('ж.д.'!$B$4:$M$4 = $S$2), 'ж.д.'!$B$6:$M$14)), "-")</f>
        <v>134400</v>
      </c>
      <c r="J7" s="150" cm="1">
        <f t="array" aca="1" ref="J7" ca="1">IFERROR(_xlfn.XLOOKUP(1,  ('ж.д.'!$A$6:$A$14 = $D7) * 1,  _xlfn.XLOOKUP(1,  ('ж.д.'!$B$5:$M$5 = J$2) * ('ж.д.'!$B$4:$M$4 = $S$2), 'ж.д.'!$B$6:$M$14)), "-")</f>
        <v>149400</v>
      </c>
      <c r="K7" s="150" cm="1">
        <f t="array" aca="1" ref="K7" ca="1">IFERROR(_xlfn.XLOOKUP(1,  ('ж.д.'!$A$6:$A$14 = $D7) * 1,  _xlfn.XLOOKUP(1,  ('ж.д.'!$B$5:$M$5 = K$2) * ('ж.д.'!$B$4:$M$4 = $S$2), 'ж.д.'!$B$6:$M$14)), "-")</f>
        <v>235000</v>
      </c>
      <c r="L7" s="150" cm="1">
        <f t="array" aca="1" ref="L7" ca="1">IF(ISNUMBER(SEARCH("Транс",$C7)),_xlfn.XLOOKUP(1,('Фрахт Транс'!$A$5:$A$10=$D7)*1,_xlfn.XLOOKUP(1,('Фрахт Транс'!$B$3:$M$3 = $S$2)*('Фрахт Транс'!$B$4:$M$4=L$2),'Фрахт Транс'!$B$5:$M$10)),SUM($E7, $G7, $I7, $O7))</f>
        <v>477994</v>
      </c>
      <c r="M7" s="150" cm="1">
        <f t="array" aca="1" ref="M7" ca="1">IF(ISNUMBER(SEARCH("Транс",$C7)),_xlfn.XLOOKUP(1,('Фрахт Транс'!$A$5:$A$10=$D7)*1,_xlfn.XLOOKUP(1,('Фрахт Транс'!$B$3:$M$3=$S$2)*('Фрахт Транс'!$B$4:$M$4=M$2),'Фрахт Транс'!$B$5:$M$10)),SUM($E7, $G7, $J7, $O7))</f>
        <v>492994</v>
      </c>
      <c r="N7" s="150" cm="1">
        <f t="array" aca="1" ref="N7" ca="1">IF(ISNUMBER(SEARCH("Транс",$C7)),_xlfn.XLOOKUP(1,('Фрахт Транс'!$A$5:$A$10=$D7)*1,_xlfn.XLOOKUP(1,('Фрахт Транс'!$B$3:$M$3=$S$2)*('Фрахт Транс'!$B$4:$M$4=N$2),'Фрахт Транс'!$B$5:$M$10)),SUM($F7, $H7, $K7, $P7))</f>
        <v>752101</v>
      </c>
      <c r="O7" s="150" cm="1">
        <f t="array" aca="1" ref="O7" ca="1">IFERROR(_xlfn.XLOOKUP(1,  (Охрана!$A$6:$A$14 = $D7) * 1,  _xlfn.XLOOKUP(1,  (Охрана!$B$5:$M$5 = O$2) * (Охрана!$B$4:$M$4 = $S$2), Охрана!$B$6:$M$14)), "-")</f>
        <v>3394</v>
      </c>
      <c r="P7" s="195" cm="1">
        <f t="array" aca="1" ref="P7" ca="1">IFERROR(_xlfn.XLOOKUP(1,  (Охрана!$A$6:$A$14 = $D7) * 1,  _xlfn.XLOOKUP(1,  (Охрана!$B$5:$M$5 = P$2) * (Охрана!$B$4:$M$4 = $S$2), Охрана!$B$6:$M$14)), "-")</f>
        <v>6801</v>
      </c>
      <c r="Q7" s="286"/>
      <c r="R7" s="4"/>
      <c r="S7" s="4"/>
    </row>
    <row r="8" spans="1:21" ht="16.5" customHeight="1" thickBot="1" x14ac:dyDescent="0.3">
      <c r="A8" s="213" t="s">
        <v>13</v>
      </c>
      <c r="B8" s="288"/>
      <c r="C8" s="41" t="s">
        <v>35</v>
      </c>
      <c r="D8" s="40" t="s">
        <v>10</v>
      </c>
      <c r="E8" s="170" cm="1">
        <f t="array" ref="E8">IFERROR(_xlfn.XLOOKUP(1, (Фрахт!$A$5:$A$80 = $A8)* (Фрахт!$B$5:$B$80 = $C8) * (Фрахт!$C$5:$C$80 =$D8),  _xlfn.XLOOKUP(1,  (Фрахт!$D$4:$E$4 = E$2) * 1, Фрахт!$D$5:$E$80)) *  $S$1, "-")</f>
        <v>283500</v>
      </c>
      <c r="F8" s="150" cm="1">
        <f t="array" ref="F8">IFERROR(_xlfn.XLOOKUP(1, (Фрахт!$A$5:$A$80 = $A8)* (Фрахт!$B$5:$B$80 = $C8) * (Фрахт!$C$5:$C$80 =$D8),  _xlfn.XLOOKUP(1,  (Фрахт!$D$4:$E$4 = F$2) * 1, Фрахт!$D$5:$E$80)) *  $S$1, "-")</f>
        <v>472500</v>
      </c>
      <c r="G8" s="150" cm="1">
        <f t="array" aca="1" ref="G8" ca="1">IFERROR(_xlfn.XLOOKUP(1,  ('Drop off'!$A$6:$A$14 = $C8) * 1,  _xlfn.XLOOKUP(1,  ('Drop off'!$B$5:$I$5 = G$2) * ('Drop off'!$B$4:$I$4 = $S$2), 'Drop off'!$B$6:$I$14)) * $S$1, "-")</f>
        <v>56700</v>
      </c>
      <c r="H8" s="150" cm="1">
        <f t="array" aca="1" ref="H8" ca="1">IFERROR(_xlfn.XLOOKUP(1,  ('Drop off'!$A$6:$A$14 = $C8) * 1,  _xlfn.XLOOKUP(1,  ('Drop off'!$B$5:$I$5 = H$2) * ('Drop off'!$B$4:$I$4 = $S$2), 'Drop off'!$B$6:$I$14)) * $S$1, "-")</f>
        <v>37800</v>
      </c>
      <c r="I8" s="150" cm="1">
        <f t="array" aca="1" ref="I8" ca="1">IFERROR(_xlfn.XLOOKUP(1,  ('ж.д.'!$A$6:$A$14 = $D8) * 1,  _xlfn.XLOOKUP(1,  ('ж.д.'!$B$5:$M$5 = I$2) * ('ж.д.'!$B$4:$M$4 = $S$2), 'ж.д.'!$B$6:$M$14)), "-")</f>
        <v>141000</v>
      </c>
      <c r="J8" s="150" cm="1">
        <f t="array" aca="1" ref="J8" ca="1">IFERROR(_xlfn.XLOOKUP(1,  ('ж.д.'!$A$6:$A$14 = $D8) * 1,  _xlfn.XLOOKUP(1,  ('ж.д.'!$B$5:$M$5 = J$2) * ('ж.д.'!$B$4:$M$4 = $S$2), 'ж.д.'!$B$6:$M$14)), "-")</f>
        <v>156600</v>
      </c>
      <c r="K8" s="150" cm="1">
        <f t="array" aca="1" ref="K8" ca="1">IFERROR(_xlfn.XLOOKUP(1,  ('ж.д.'!$A$6:$A$14 = $D8) * 1,  _xlfn.XLOOKUP(1,  ('ж.д.'!$B$5:$M$5 = K$2) * ('ж.д.'!$B$4:$M$4 = $S$2), 'ж.д.'!$B$6:$M$14)), "-")</f>
        <v>261000</v>
      </c>
      <c r="L8" s="150" cm="1">
        <f t="array" aca="1" ref="L8" ca="1">IF(ISNUMBER(SEARCH("Транс",$C8)),_xlfn.XLOOKUP(1,('Фрахт Транс'!$A$5:$A$10=$D8)*1,_xlfn.XLOOKUP(1,('Фрахт Транс'!$B$3:$M$3 = $S$2)*('Фрахт Транс'!$B$4:$M$4=L$2),'Фрахт Транс'!$B$5:$M$10)),SUM($E8, $G8, $I8, $O8))</f>
        <v>485022</v>
      </c>
      <c r="M8" s="150" cm="1">
        <f t="array" aca="1" ref="M8" ca="1">IF(ISNUMBER(SEARCH("Транс",$C8)),_xlfn.XLOOKUP(1,('Фрахт Транс'!$A$5:$A$10=$D8)*1,_xlfn.XLOOKUP(1,('Фрахт Транс'!$B$3:$M$3=$S$2)*('Фрахт Транс'!$B$4:$M$4=M$2),'Фрахт Транс'!$B$5:$M$10)),SUM($E8, $G8, $J8, $O8))</f>
        <v>500622</v>
      </c>
      <c r="N8" s="150" cm="1">
        <f t="array" aca="1" ref="N8" ca="1">IF(ISNUMBER(SEARCH("Транс",$C8)),_xlfn.XLOOKUP(1,('Фрахт Транс'!$A$5:$A$10=$D8)*1,_xlfn.XLOOKUP(1,('Фрахт Транс'!$B$3:$M$3=$S$2)*('Фрахт Транс'!$B$4:$M$4=N$2),'Фрахт Транс'!$B$5:$M$10)),SUM($F8, $H8, $K8, $P8))</f>
        <v>778210</v>
      </c>
      <c r="O8" s="150" cm="1">
        <f t="array" aca="1" ref="O8" ca="1">IFERROR(_xlfn.XLOOKUP(1,  (Охрана!$A$6:$A$14 = $D8) * 1,  _xlfn.XLOOKUP(1,  (Охрана!$B$5:$M$5 = O$2) * (Охрана!$B$4:$M$4 = $S$2), Охрана!$B$6:$M$14)), "-")</f>
        <v>3822</v>
      </c>
      <c r="P8" s="195" cm="1">
        <f t="array" aca="1" ref="P8" ca="1">IFERROR(_xlfn.XLOOKUP(1,  (Охрана!$A$6:$A$14 = $D8) * 1,  _xlfn.XLOOKUP(1,  (Охрана!$B$5:$M$5 = P$2) * (Охрана!$B$4:$M$4 = $S$2), Охрана!$B$6:$M$14)), "-")</f>
        <v>6910</v>
      </c>
      <c r="Q8" s="286"/>
      <c r="R8" s="4"/>
      <c r="S8" s="4"/>
    </row>
    <row r="9" spans="1:21" ht="15.75" customHeight="1" thickBot="1" x14ac:dyDescent="0.3">
      <c r="A9" s="213" t="s">
        <v>13</v>
      </c>
      <c r="B9" s="288"/>
      <c r="C9" s="41" t="s">
        <v>35</v>
      </c>
      <c r="D9" s="40" t="s">
        <v>7</v>
      </c>
      <c r="E9" s="170" cm="1">
        <f t="array" ref="E9">IFERROR(_xlfn.XLOOKUP(1, (Фрахт!$A$5:$A$80 = $A9)* (Фрахт!$B$5:$B$80 = $C9) * (Фрахт!$C$5:$C$80 =$D9),  _xlfn.XLOOKUP(1,  (Фрахт!$D$4:$E$4 = E$2) * 1, Фрахт!$D$5:$E$80)) *  $S$1, "-")</f>
        <v>283500</v>
      </c>
      <c r="F9" s="150" cm="1">
        <f t="array" ref="F9">IFERROR(_xlfn.XLOOKUP(1, (Фрахт!$A$5:$A$80 = $A9)* (Фрахт!$B$5:$B$80 = $C9) * (Фрахт!$C$5:$C$80 =$D9),  _xlfn.XLOOKUP(1,  (Фрахт!$D$4:$E$4 = F$2) * 1, Фрахт!$D$5:$E$80)) *  $S$1, "-")</f>
        <v>472500</v>
      </c>
      <c r="G9" s="150" cm="1">
        <f t="array" aca="1" ref="G9" ca="1">IFERROR(_xlfn.XLOOKUP(1,  ('Drop off'!$A$6:$A$14 = $C9) * 1,  _xlfn.XLOOKUP(1,  ('Drop off'!$B$5:$I$5 = G$2) * ('Drop off'!$B$4:$I$4 = $S$2), 'Drop off'!$B$6:$I$14)) * $S$1, "-")</f>
        <v>56700</v>
      </c>
      <c r="H9" s="150" cm="1">
        <f t="array" aca="1" ref="H9" ca="1">IFERROR(_xlfn.XLOOKUP(1,  ('Drop off'!$A$6:$A$14 = $C9) * 1,  _xlfn.XLOOKUP(1,  ('Drop off'!$B$5:$I$5 = H$2) * ('Drop off'!$B$4:$I$4 = $S$2), 'Drop off'!$B$6:$I$14)) * $S$1, "-")</f>
        <v>37800</v>
      </c>
      <c r="I9" s="150" cm="1">
        <f t="array" aca="1" ref="I9" ca="1">IFERROR(_xlfn.XLOOKUP(1,  ('ж.д.'!$A$6:$A$14 = $D9) * 1,  _xlfn.XLOOKUP(1,  ('ж.д.'!$B$5:$M$5 = I$2) * ('ж.д.'!$B$4:$M$4 = $S$2), 'ж.д.'!$B$6:$M$14)), "-")</f>
        <v>125000</v>
      </c>
      <c r="J9" s="150" cm="1">
        <f t="array" aca="1" ref="J9" ca="1">IFERROR(_xlfn.XLOOKUP(1,  ('ж.д.'!$A$6:$A$14 = $D9) * 1,  _xlfn.XLOOKUP(1,  ('ж.д.'!$B$5:$M$5 = J$2) * ('ж.д.'!$B$4:$M$4 = $S$2), 'ж.д.'!$B$6:$M$14)), "-")</f>
        <v>140000</v>
      </c>
      <c r="K9" s="150" cm="1">
        <f t="array" aca="1" ref="K9" ca="1">IFERROR(_xlfn.XLOOKUP(1,  ('ж.д.'!$A$6:$A$14 = $D9) * 1,  _xlfn.XLOOKUP(1,  ('ж.д.'!$B$5:$M$5 = K$2) * ('ж.д.'!$B$4:$M$4 = $S$2), 'ж.д.'!$B$6:$M$14)), "-")</f>
        <v>227000</v>
      </c>
      <c r="L9" s="150" cm="1">
        <f t="array" aca="1" ref="L9" ca="1">IF(ISNUMBER(SEARCH("Транс",$C9)),_xlfn.XLOOKUP(1,('Фрахт Транс'!$A$5:$A$10=$D9)*1,_xlfn.XLOOKUP(1,('Фрахт Транс'!$B$3:$M$3 = $S$2)*('Фрахт Транс'!$B$4:$M$4=L$2),'Фрахт Транс'!$B$5:$M$10)),SUM($E9, $G9, $I9, $O9))</f>
        <v>469300</v>
      </c>
      <c r="M9" s="150" cm="1">
        <f t="array" aca="1" ref="M9" ca="1">IF(ISNUMBER(SEARCH("Транс",$C9)),_xlfn.XLOOKUP(1,('Фрахт Транс'!$A$5:$A$10=$D9)*1,_xlfn.XLOOKUP(1,('Фрахт Транс'!$B$3:$M$3=$S$2)*('Фрахт Транс'!$B$4:$M$4=M$2),'Фрахт Транс'!$B$5:$M$10)),SUM($E9, $G9, $J9, $O9))</f>
        <v>484300</v>
      </c>
      <c r="N9" s="150" cm="1">
        <f t="array" aca="1" ref="N9" ca="1">IF(ISNUMBER(SEARCH("Транс",$C9)),_xlfn.XLOOKUP(1,('Фрахт Транс'!$A$5:$A$10=$D9)*1,_xlfn.XLOOKUP(1,('Фрахт Транс'!$B$3:$M$3=$S$2)*('Фрахт Транс'!$B$4:$M$4=N$2),'Фрахт Транс'!$B$5:$M$10)),SUM($F9, $H9, $K9, $P9))</f>
        <v>745500</v>
      </c>
      <c r="O9" s="150" cm="1">
        <f t="array" aca="1" ref="O9" ca="1">IFERROR(_xlfn.XLOOKUP(1,  (Охрана!$A$6:$A$14 = $D9) * 1,  _xlfn.XLOOKUP(1,  (Охрана!$B$5:$M$5 = O$2) * (Охрана!$B$4:$M$4 = $S$2), Охрана!$B$6:$M$14)), "-")</f>
        <v>4100</v>
      </c>
      <c r="P9" s="195" cm="1">
        <f t="array" aca="1" ref="P9" ca="1">IFERROR(_xlfn.XLOOKUP(1,  (Охрана!$A$6:$A$14 = $D9) * 1,  _xlfn.XLOOKUP(1,  (Охрана!$B$5:$M$5 = P$2) * (Охрана!$B$4:$M$4 = $S$2), Охрана!$B$6:$M$14)), "-")</f>
        <v>8200</v>
      </c>
      <c r="Q9" s="286"/>
      <c r="R9" s="4"/>
      <c r="S9" s="4"/>
    </row>
    <row r="10" spans="1:21" ht="15.75" customHeight="1" thickBot="1" x14ac:dyDescent="0.3">
      <c r="A10" s="213" t="s">
        <v>13</v>
      </c>
      <c r="B10" s="288"/>
      <c r="C10" s="50" t="s">
        <v>36</v>
      </c>
      <c r="D10" s="50" t="s">
        <v>21</v>
      </c>
      <c r="E10" s="171" cm="1">
        <f t="array" ref="E10">IFERROR(_xlfn.XLOOKUP(1, (Фрахт!$A$5:$A$80 = $A10)* (Фрахт!$B$5:$B$80 = $C10) * (Фрахт!$C$5:$C$80 =$D10),  _xlfn.XLOOKUP(1,  (Фрахт!$D$4:$E$4 = E$2) * 1, Фрахт!$D$5:$E$80)) *  $S$1, "-")</f>
        <v>260160</v>
      </c>
      <c r="F10" s="151" cm="1">
        <f t="array" ref="F10">IFERROR(_xlfn.XLOOKUP(1, (Фрахт!$A$5:$A$80 = $A10)* (Фрахт!$B$5:$B$80 = $C10) * (Фрахт!$C$5:$C$80 =$D10),  _xlfn.XLOOKUP(1,  (Фрахт!$D$4:$E$4 = F$2) * 1, Фрахт!$D$5:$E$80)) *  $S$1, "-")</f>
        <v>436320</v>
      </c>
      <c r="G10" s="151" cm="1">
        <f t="array" aca="1" ref="G10" ca="1">IFERROR(_xlfn.XLOOKUP(1,  ('Drop off'!$A$6:$A$14 = $C10) * 1,  _xlfn.XLOOKUP(1,  ('Drop off'!$B$5:$I$5 = G$2) * ('Drop off'!$B$4:$I$4 = $S$2), 'Drop off'!$B$6:$I$14)) * $S$1, "-")</f>
        <v>42000</v>
      </c>
      <c r="H10" s="151" cm="1">
        <f t="array" aca="1" ref="H10" ca="1">IFERROR(_xlfn.XLOOKUP(1,  ('Drop off'!$A$6:$A$14 = $C10) * 1,  _xlfn.XLOOKUP(1,  ('Drop off'!$B$5:$I$5 = H$2) * ('Drop off'!$B$4:$I$4 = $S$2), 'Drop off'!$B$6:$I$14)) * $S$1, "-")</f>
        <v>42000</v>
      </c>
      <c r="I10" s="151" cm="1">
        <f t="array" aca="1" ref="I10" ca="1">IFERROR(_xlfn.XLOOKUP(1,  ('ж.д.'!$A$6:$A$14 = $D10) * 1,  _xlfn.XLOOKUP(1,  ('ж.д.'!$B$5:$M$5 = I$2) * ('ж.д.'!$B$4:$M$4 = $S$2), 'ж.д.'!$B$6:$M$14)), "-")</f>
        <v>134400</v>
      </c>
      <c r="J10" s="151" cm="1">
        <f t="array" aca="1" ref="J10" ca="1">IFERROR(_xlfn.XLOOKUP(1,  ('ж.д.'!$A$6:$A$14 = $D10) * 1,  _xlfn.XLOOKUP(1,  ('ж.д.'!$B$5:$M$5 = J$2) * ('ж.д.'!$B$4:$M$4 = $S$2), 'ж.д.'!$B$6:$M$14)), "-")</f>
        <v>149400</v>
      </c>
      <c r="K10" s="151" cm="1">
        <f t="array" aca="1" ref="K10" ca="1">IFERROR(_xlfn.XLOOKUP(1,  ('ж.д.'!$A$6:$A$14 = $D10) * 1,  _xlfn.XLOOKUP(1,  ('ж.д.'!$B$5:$M$5 = K$2) * ('ж.д.'!$B$4:$M$4 = $S$2), 'ж.д.'!$B$6:$M$14)), "-")</f>
        <v>235000</v>
      </c>
      <c r="L10" s="151" cm="1">
        <f t="array" aca="1" ref="L10" ca="1">IF(ISNUMBER(SEARCH("Транс",$C10)),_xlfn.XLOOKUP(1,('Фрахт Транс'!$A$5:$A$10=$D10)*1,_xlfn.XLOOKUP(1,('Фрахт Транс'!$B$3:$M$3 = $S$2)*('Фрахт Транс'!$B$4:$M$4=L$2),'Фрахт Транс'!$B$5:$M$10)),SUM($E10, $G10, $I10, $O10))</f>
        <v>439954</v>
      </c>
      <c r="M10" s="151" cm="1">
        <f t="array" aca="1" ref="M10" ca="1">IF(ISNUMBER(SEARCH("Транс",$C10)),_xlfn.XLOOKUP(1,('Фрахт Транс'!$A$5:$A$10=$D10)*1,_xlfn.XLOOKUP(1,('Фрахт Транс'!$B$3:$M$3=$S$2)*('Фрахт Транс'!$B$4:$M$4=M$2),'Фрахт Транс'!$B$5:$M$10)),SUM($E10, $G10, $J10, $O10))</f>
        <v>454954</v>
      </c>
      <c r="N10" s="151" cm="1">
        <f t="array" aca="1" ref="N10" ca="1">IF(ISNUMBER(SEARCH("Транс",$C10)),_xlfn.XLOOKUP(1,('Фрахт Транс'!$A$5:$A$10=$D10)*1,_xlfn.XLOOKUP(1,('Фрахт Транс'!$B$3:$M$3=$S$2)*('Фрахт Транс'!$B$4:$M$4=N$2),'Фрахт Транс'!$B$5:$M$10)),SUM($F10, $H10, $K10, $P10))</f>
        <v>720121</v>
      </c>
      <c r="O10" s="151" cm="1">
        <f t="array" aca="1" ref="O10" ca="1">IFERROR(_xlfn.XLOOKUP(1,  (Охрана!$A$6:$A$14 = $D10) * 1,  _xlfn.XLOOKUP(1,  (Охрана!$B$5:$M$5 = O$2) * (Охрана!$B$4:$M$4 = $S$2), Охрана!$B$6:$M$14)), "-")</f>
        <v>3394</v>
      </c>
      <c r="P10" s="196" cm="1">
        <f t="array" aca="1" ref="P10" ca="1">IFERROR(_xlfn.XLOOKUP(1,  (Охрана!$A$6:$A$14 = $D10) * 1,  _xlfn.XLOOKUP(1,  (Охрана!$B$5:$M$5 = P$2) * (Охрана!$B$4:$M$4 = $S$2), Охрана!$B$6:$M$14)), "-")</f>
        <v>6801</v>
      </c>
      <c r="Q10" s="38"/>
      <c r="R10" s="71"/>
      <c r="S10" s="4"/>
    </row>
    <row r="11" spans="1:21" ht="15.75" customHeight="1" thickBot="1" x14ac:dyDescent="0.3">
      <c r="A11" s="213" t="s">
        <v>13</v>
      </c>
      <c r="B11" s="288"/>
      <c r="C11" s="44" t="s">
        <v>37</v>
      </c>
      <c r="D11" s="45" t="s">
        <v>11</v>
      </c>
      <c r="E11" s="172" cm="1">
        <f t="array" ref="E11">IFERROR(_xlfn.XLOOKUP(1, (Фрахт!$A$5:$A$80 = $A11)* (Фрахт!$B$5:$B$80 = $C11) * (Фрахт!$C$5:$C$80 =$D11),  _xlfn.XLOOKUP(1,  (Фрахт!$D$4:$E$4 = E$2) * 1, Фрахт!$D$5:$E$80)) *  $S$1, "-")</f>
        <v>216000</v>
      </c>
      <c r="F11" s="152" cm="1">
        <f t="array" ref="F11">IFERROR(_xlfn.XLOOKUP(1, (Фрахт!$A$5:$A$80 = $A11)* (Фрахт!$B$5:$B$80 = $C11) * (Фрахт!$C$5:$C$80 =$D11),  _xlfn.XLOOKUP(1,  (Фрахт!$D$4:$E$4 = F$2) * 1, Фрахт!$D$5:$E$80)) *  $S$1, "-")</f>
        <v>384000</v>
      </c>
      <c r="G11" s="152" cm="1">
        <f t="array" aca="1" ref="G11" ca="1">IFERROR(_xlfn.XLOOKUP(1,  ('Drop off'!$A$6:$A$14 = $C11) * 1,  _xlfn.XLOOKUP(1,  ('Drop off'!$B$5:$I$5 = G$2) * ('Drop off'!$B$4:$I$4 = $S$2), 'Drop off'!$B$6:$I$14)) * $S$1, "-")</f>
        <v>0</v>
      </c>
      <c r="H11" s="152" cm="1">
        <f t="array" aca="1" ref="H11" ca="1">IFERROR(_xlfn.XLOOKUP(1,  ('Drop off'!$A$6:$A$14 = $C11) * 1,  _xlfn.XLOOKUP(1,  ('Drop off'!$B$5:$I$5 = H$2) * ('Drop off'!$B$4:$I$4 = $S$2), 'Drop off'!$B$6:$I$14)) * $S$1, "-")</f>
        <v>0</v>
      </c>
      <c r="I11" s="152" cm="1">
        <f t="array" aca="1" ref="I11" ca="1">IFERROR(_xlfn.XLOOKUP(1,  ('ж.д.'!$A$6:$A$14 = $D11) * 1,  _xlfn.XLOOKUP(1,  ('ж.д.'!$B$5:$M$5 = I$2) * ('ж.д.'!$B$4:$M$4 = $S$2), 'ж.д.'!$B$6:$M$14)), "-")</f>
        <v>122400</v>
      </c>
      <c r="J11" s="152" cm="1">
        <f t="array" aca="1" ref="J11" ca="1">IFERROR(_xlfn.XLOOKUP(1,  ('ж.д.'!$A$6:$A$14 = $D11) * 1,  _xlfn.XLOOKUP(1,  ('ж.д.'!$B$5:$M$5 = J$2) * ('ж.д.'!$B$4:$M$4 = $S$2), 'ж.д.'!$B$6:$M$14)), "-")</f>
        <v>139800</v>
      </c>
      <c r="K11" s="152" cm="1">
        <f t="array" aca="1" ref="K11" ca="1">IFERROR(_xlfn.XLOOKUP(1,  ('ж.д.'!$A$6:$A$14 = $D11) * 1,  _xlfn.XLOOKUP(1,  ('ж.д.'!$B$5:$M$5 = K$2) * ('ж.д.'!$B$4:$M$4 = $S$2), 'ж.д.'!$B$6:$M$14)), "-")</f>
        <v>224600</v>
      </c>
      <c r="L11" s="152" cm="1">
        <f t="array" aca="1" ref="L11" ca="1">IF(ISNUMBER(SEARCH("Транс",$C11)),_xlfn.XLOOKUP(1,('Фрахт Транс'!$A$5:$A$10=$D11)*1,_xlfn.XLOOKUP(1,('Фрахт Транс'!$B$3:$M$3 = $S$2)*('Фрахт Транс'!$B$4:$M$4=L$2),'Фрахт Транс'!$B$5:$M$10)),SUM($E11, $G11, $I11, $O11))</f>
        <v>341794</v>
      </c>
      <c r="M11" s="152" cm="1">
        <f t="array" aca="1" ref="M11" ca="1">IF(ISNUMBER(SEARCH("Транс",$C11)),_xlfn.XLOOKUP(1,('Фрахт Транс'!$A$5:$A$10=$D11)*1,_xlfn.XLOOKUP(1,('Фрахт Транс'!$B$3:$M$3=$S$2)*('Фрахт Транс'!$B$4:$M$4=M$2),'Фрахт Транс'!$B$5:$M$10)),SUM($E11, $G11, $J11, $O11))</f>
        <v>359194</v>
      </c>
      <c r="N11" s="152" cm="1">
        <f t="array" aca="1" ref="N11" ca="1">IF(ISNUMBER(SEARCH("Транс",$C11)),_xlfn.XLOOKUP(1,('Фрахт Транс'!$A$5:$A$10=$D11)*1,_xlfn.XLOOKUP(1,('Фрахт Транс'!$B$3:$M$3=$S$2)*('Фрахт Транс'!$B$4:$M$4=N$2),'Фрахт Транс'!$B$5:$M$10)),SUM($F11, $H11, $K11, $P11))</f>
        <v>615401</v>
      </c>
      <c r="O11" s="152" cm="1">
        <f t="array" aca="1" ref="O11" ca="1">IFERROR(_xlfn.XLOOKUP(1,  (Охрана!$A$6:$A$14 = $D11) * 1,  _xlfn.XLOOKUP(1,  (Охрана!$B$5:$M$5 = O$2) * (Охрана!$B$4:$M$4 = $S$2), Охрана!$B$6:$M$14)), "-")</f>
        <v>3394</v>
      </c>
      <c r="P11" s="197" cm="1">
        <f t="array" aca="1" ref="P11" ca="1">IFERROR(_xlfn.XLOOKUP(1,  (Охрана!$A$6:$A$14 = $D11) * 1,  _xlfn.XLOOKUP(1,  (Охрана!$B$5:$M$5 = P$2) * (Охрана!$B$4:$M$4 = $S$2), Охрана!$B$6:$M$14)), "-")</f>
        <v>6801</v>
      </c>
      <c r="Q11" s="38"/>
      <c r="R11" s="71"/>
      <c r="S11" s="4"/>
    </row>
    <row r="12" spans="1:21" ht="15.75" customHeight="1" thickBot="1" x14ac:dyDescent="0.3">
      <c r="A12" s="213" t="s">
        <v>13</v>
      </c>
      <c r="B12" s="288"/>
      <c r="C12" s="51" t="s">
        <v>38</v>
      </c>
      <c r="D12" s="52" t="s">
        <v>19</v>
      </c>
      <c r="E12" s="173" t="str" cm="1">
        <f t="array" ref="E12">IFERROR(_xlfn.XLOOKUP(1, (Фрахт!$A$5:$A$80 = $A12)* (Фрахт!$B$5:$B$80 = $C12) * (Фрахт!$C$5:$C$80 =$D12),  _xlfn.XLOOKUP(1,  (Фрахт!$D$4:$E$4 = E$2) * 1, Фрахт!$D$5:$E$80)) *  $S$1, "-")</f>
        <v>-</v>
      </c>
      <c r="F12" s="153" t="str" cm="1">
        <f t="array" ref="F12">IFERROR(_xlfn.XLOOKUP(1, (Фрахт!$A$5:$A$80 = $A12)* (Фрахт!$B$5:$B$80 = $C12) * (Фрахт!$C$5:$C$80 =$D12),  _xlfn.XLOOKUP(1,  (Фрахт!$D$4:$E$4 = F$2) * 1, Фрахт!$D$5:$E$80)) *  $S$1, "-")</f>
        <v>-</v>
      </c>
      <c r="G12" s="153" cm="1">
        <f t="array" aca="1" ref="G12" ca="1">IFERROR(_xlfn.XLOOKUP(1,  ('Drop off'!$A$6:$A$14 = $C12) * 1,  _xlfn.XLOOKUP(1,  ('Drop off'!$B$5:$I$5 = G$2) * ('Drop off'!$B$4:$I$4 = $S$2), 'Drop off'!$B$6:$I$14)) * $S$1, "-")</f>
        <v>0</v>
      </c>
      <c r="H12" s="153" cm="1">
        <f t="array" aca="1" ref="H12" ca="1">IFERROR(_xlfn.XLOOKUP(1,  ('Drop off'!$A$6:$A$14 = $C12) * 1,  _xlfn.XLOOKUP(1,  ('Drop off'!$B$5:$I$5 = H$2) * ('Drop off'!$B$4:$I$4 = $S$2), 'Drop off'!$B$6:$I$14)) * $S$1, "-")</f>
        <v>0</v>
      </c>
      <c r="I12" s="153" cm="1">
        <f t="array" aca="1" ref="I12" ca="1">IFERROR(_xlfn.XLOOKUP(1,  ('ж.д.'!$A$6:$A$14 = $D12) * 1,  _xlfn.XLOOKUP(1,  ('ж.д.'!$B$5:$M$5 = I$2) * ('ж.д.'!$B$4:$M$4 = $S$2), 'ж.д.'!$B$6:$M$14)), "-")</f>
        <v>134400</v>
      </c>
      <c r="J12" s="153" cm="1">
        <f t="array" aca="1" ref="J12" ca="1">IFERROR(_xlfn.XLOOKUP(1,  ('ж.д.'!$A$6:$A$14 = $D12) * 1,  _xlfn.XLOOKUP(1,  ('ж.д.'!$B$5:$M$5 = J$2) * ('ж.д.'!$B$4:$M$4 = $S$2), 'ж.д.'!$B$6:$M$14)), "-")</f>
        <v>149400</v>
      </c>
      <c r="K12" s="153" cm="1">
        <f t="array" aca="1" ref="K12" ca="1">IFERROR(_xlfn.XLOOKUP(1,  ('ж.д.'!$A$6:$A$14 = $D12) * 1,  _xlfn.XLOOKUP(1,  ('ж.д.'!$B$5:$M$5 = K$2) * ('ж.д.'!$B$4:$M$4 = $S$2), 'ж.д.'!$B$6:$M$14)), "-")</f>
        <v>235000</v>
      </c>
      <c r="L12" s="153" cm="1">
        <f t="array" aca="1" ref="L12" ca="1">IF(ISNUMBER(SEARCH("Транс",$C12)),_xlfn.XLOOKUP(1,('Фрахт Транс'!$A$5:$A$10=$D12)*1,_xlfn.XLOOKUP(1,('Фрахт Транс'!$B$3:$M$3 = $S$2)*('Фрахт Транс'!$B$4:$M$4=L$2),'Фрахт Транс'!$B$5:$M$10)),SUM($E12, $G12, $I12, $O12))</f>
        <v>137794</v>
      </c>
      <c r="M12" s="153" cm="1">
        <f t="array" aca="1" ref="M12" ca="1">IF(ISNUMBER(SEARCH("Транс",$C12)),_xlfn.XLOOKUP(1,('Фрахт Транс'!$A$5:$A$10=$D12)*1,_xlfn.XLOOKUP(1,('Фрахт Транс'!$B$3:$M$3=$S$2)*('Фрахт Транс'!$B$4:$M$4=M$2),'Фрахт Транс'!$B$5:$M$10)),SUM($E12, $G12, $J12, $O12))</f>
        <v>152794</v>
      </c>
      <c r="N12" s="153" cm="1">
        <f t="array" aca="1" ref="N12" ca="1">IF(ISNUMBER(SEARCH("Транс",$C12)),_xlfn.XLOOKUP(1,('Фрахт Транс'!$A$5:$A$10=$D12)*1,_xlfn.XLOOKUP(1,('Фрахт Транс'!$B$3:$M$3=$S$2)*('Фрахт Транс'!$B$4:$M$4=N$2),'Фрахт Транс'!$B$5:$M$10)),SUM($F12, $H12, $K12, $P12))</f>
        <v>241801</v>
      </c>
      <c r="O12" s="153" cm="1">
        <f t="array" aca="1" ref="O12" ca="1">IFERROR(_xlfn.XLOOKUP(1,  (Охрана!$A$6:$A$14 = $D12) * 1,  _xlfn.XLOOKUP(1,  (Охрана!$B$5:$M$5 = O$2) * (Охрана!$B$4:$M$4 = $S$2), Охрана!$B$6:$M$14)), "-")</f>
        <v>3394</v>
      </c>
      <c r="P12" s="198" cm="1">
        <f t="array" aca="1" ref="P12" ca="1">IFERROR(_xlfn.XLOOKUP(1,  (Охрана!$A$6:$A$14 = $D12) * 1,  _xlfn.XLOOKUP(1,  (Охрана!$B$5:$M$5 = P$2) * (Охрана!$B$4:$M$4 = $S$2), Охрана!$B$6:$M$14)), "-")</f>
        <v>6801</v>
      </c>
      <c r="Q12" s="286"/>
      <c r="R12" s="71"/>
      <c r="S12" s="4"/>
    </row>
    <row r="13" spans="1:21" ht="15.75" customHeight="1" thickBot="1" x14ac:dyDescent="0.3">
      <c r="A13" s="213" t="s">
        <v>13</v>
      </c>
      <c r="B13" s="288"/>
      <c r="C13" s="51" t="s">
        <v>38</v>
      </c>
      <c r="D13" s="52" t="s">
        <v>21</v>
      </c>
      <c r="E13" s="173" cm="1">
        <f t="array" ref="E13">IFERROR(_xlfn.XLOOKUP(1, (Фрахт!$A$5:$A$80 = $A13)* (Фрахт!$B$5:$B$80 = $C13) * (Фрахт!$C$5:$C$80 =$D13),  _xlfn.XLOOKUP(1,  (Фрахт!$D$4:$E$4 = E$2) * 1, Фрахт!$D$5:$E$80)) *  $S$1, "-")</f>
        <v>261000</v>
      </c>
      <c r="F13" s="153" cm="1">
        <f t="array" ref="F13">IFERROR(_xlfn.XLOOKUP(1, (Фрахт!$A$5:$A$80 = $A13)* (Фрахт!$B$5:$B$80 = $C13) * (Фрахт!$C$5:$C$80 =$D13),  _xlfn.XLOOKUP(1,  (Фрахт!$D$4:$E$4 = F$2) * 1, Фрахт!$D$5:$E$80)) *  $S$1, "-")</f>
        <v>372900</v>
      </c>
      <c r="G13" s="153" cm="1">
        <f t="array" aca="1" ref="G13" ca="1">IFERROR(_xlfn.XLOOKUP(1,  ('Drop off'!$A$6:$A$14 = $C13) * 1,  _xlfn.XLOOKUP(1,  ('Drop off'!$B$5:$I$5 = G$2) * ('Drop off'!$B$4:$I$4 = $S$2), 'Drop off'!$B$6:$I$14)) * $S$1, "-")</f>
        <v>0</v>
      </c>
      <c r="H13" s="153" cm="1">
        <f t="array" aca="1" ref="H13" ca="1">IFERROR(_xlfn.XLOOKUP(1,  ('Drop off'!$A$6:$A$14 = $C13) * 1,  _xlfn.XLOOKUP(1,  ('Drop off'!$B$5:$I$5 = H$2) * ('Drop off'!$B$4:$I$4 = $S$2), 'Drop off'!$B$6:$I$14)) * $S$1, "-")</f>
        <v>0</v>
      </c>
      <c r="I13" s="153" cm="1">
        <f t="array" aca="1" ref="I13" ca="1">IFERROR(_xlfn.XLOOKUP(1,  ('ж.д.'!$A$6:$A$14 = $D13) * 1,  _xlfn.XLOOKUP(1,  ('ж.д.'!$B$5:$M$5 = I$2) * ('ж.д.'!$B$4:$M$4 = $S$2), 'ж.д.'!$B$6:$M$14)), "-")</f>
        <v>134400</v>
      </c>
      <c r="J13" s="153" cm="1">
        <f t="array" aca="1" ref="J13" ca="1">IFERROR(_xlfn.XLOOKUP(1,  ('ж.д.'!$A$6:$A$14 = $D13) * 1,  _xlfn.XLOOKUP(1,  ('ж.д.'!$B$5:$M$5 = J$2) * ('ж.д.'!$B$4:$M$4 = $S$2), 'ж.д.'!$B$6:$M$14)), "-")</f>
        <v>149400</v>
      </c>
      <c r="K13" s="153" cm="1">
        <f t="array" aca="1" ref="K13" ca="1">IFERROR(_xlfn.XLOOKUP(1,  ('ж.д.'!$A$6:$A$14 = $D13) * 1,  _xlfn.XLOOKUP(1,  ('ж.д.'!$B$5:$M$5 = K$2) * ('ж.д.'!$B$4:$M$4 = $S$2), 'ж.д.'!$B$6:$M$14)), "-")</f>
        <v>235000</v>
      </c>
      <c r="L13" s="153" cm="1">
        <f t="array" aca="1" ref="L13" ca="1">IF(ISNUMBER(SEARCH("Транс",$C13)),_xlfn.XLOOKUP(1,('Фрахт Транс'!$A$5:$A$10=$D13)*1,_xlfn.XLOOKUP(1,('Фрахт Транс'!$B$3:$M$3 = $S$2)*('Фрахт Транс'!$B$4:$M$4=L$2),'Фрахт Транс'!$B$5:$M$10)),SUM($E13, $G13, $I13, $O13))</f>
        <v>398794</v>
      </c>
      <c r="M13" s="153" cm="1">
        <f t="array" aca="1" ref="M13" ca="1">IF(ISNUMBER(SEARCH("Транс",$C13)),_xlfn.XLOOKUP(1,('Фрахт Транс'!$A$5:$A$10=$D13)*1,_xlfn.XLOOKUP(1,('Фрахт Транс'!$B$3:$M$3=$S$2)*('Фрахт Транс'!$B$4:$M$4=M$2),'Фрахт Транс'!$B$5:$M$10)),SUM($E13, $G13, $J13, $O13))</f>
        <v>413794</v>
      </c>
      <c r="N13" s="153" cm="1">
        <f t="array" aca="1" ref="N13" ca="1">IF(ISNUMBER(SEARCH("Транс",$C13)),_xlfn.XLOOKUP(1,('Фрахт Транс'!$A$5:$A$10=$D13)*1,_xlfn.XLOOKUP(1,('Фрахт Транс'!$B$3:$M$3=$S$2)*('Фрахт Транс'!$B$4:$M$4=N$2),'Фрахт Транс'!$B$5:$M$10)),SUM($F13, $H13, $K13, $P13))</f>
        <v>614701</v>
      </c>
      <c r="O13" s="153" cm="1">
        <f t="array" aca="1" ref="O13" ca="1">IFERROR(_xlfn.XLOOKUP(1,  (Охрана!$A$6:$A$14 = $D13) * 1,  _xlfn.XLOOKUP(1,  (Охрана!$B$5:$M$5 = O$2) * (Охрана!$B$4:$M$4 = $S$2), Охрана!$B$6:$M$14)), "-")</f>
        <v>3394</v>
      </c>
      <c r="P13" s="198" cm="1">
        <f t="array" aca="1" ref="P13" ca="1">IFERROR(_xlfn.XLOOKUP(1,  (Охрана!$A$6:$A$14 = $D13) * 1,  _xlfn.XLOOKUP(1,  (Охрана!$B$5:$M$5 = P$2) * (Охрана!$B$4:$M$4 = $S$2), Охрана!$B$6:$M$14)), "-")</f>
        <v>6801</v>
      </c>
      <c r="Q13" s="286"/>
      <c r="R13" s="71"/>
      <c r="S13" s="4"/>
    </row>
    <row r="14" spans="1:21" ht="15.75" customHeight="1" thickBot="1" x14ac:dyDescent="0.3">
      <c r="A14" s="213" t="s">
        <v>13</v>
      </c>
      <c r="B14" s="288"/>
      <c r="C14" s="51" t="s">
        <v>38</v>
      </c>
      <c r="D14" s="52" t="s">
        <v>39</v>
      </c>
      <c r="E14" s="173" t="str" cm="1">
        <f t="array" ref="E14">IFERROR(_xlfn.XLOOKUP(1, (Фрахт!$A$5:$A$80 = $A14)* (Фрахт!$B$5:$B$80 = $C14) * (Фрахт!$C$5:$C$80 =$D14),  _xlfn.XLOOKUP(1,  (Фрахт!$D$4:$E$4 = E$2) * 1, Фрахт!$D$5:$E$80)) *  $S$1, "-")</f>
        <v>-</v>
      </c>
      <c r="F14" s="153" t="str" cm="1">
        <f t="array" ref="F14">IFERROR(_xlfn.XLOOKUP(1, (Фрахт!$A$5:$A$80 = $A14)* (Фрахт!$B$5:$B$80 = $C14) * (Фрахт!$C$5:$C$80 =$D14),  _xlfn.XLOOKUP(1,  (Фрахт!$D$4:$E$4 = F$2) * 1, Фрахт!$D$5:$E$80)) *  $S$1, "-")</f>
        <v>-</v>
      </c>
      <c r="G14" s="153" cm="1">
        <f t="array" aca="1" ref="G14" ca="1">IFERROR(_xlfn.XLOOKUP(1,  ('Drop off'!$A$6:$A$14 = $C14) * 1,  _xlfn.XLOOKUP(1,  ('Drop off'!$B$5:$I$5 = G$2) * ('Drop off'!$B$4:$I$4 = $S$2), 'Drop off'!$B$6:$I$14)) * $S$1, "-")</f>
        <v>0</v>
      </c>
      <c r="H14" s="153" cm="1">
        <f t="array" aca="1" ref="H14" ca="1">IFERROR(_xlfn.XLOOKUP(1,  ('Drop off'!$A$6:$A$14 = $C14) * 1,  _xlfn.XLOOKUP(1,  ('Drop off'!$B$5:$I$5 = H$2) * ('Drop off'!$B$4:$I$4 = $S$2), 'Drop off'!$B$6:$I$14)) * $S$1, "-")</f>
        <v>0</v>
      </c>
      <c r="I14" s="153" t="str" cm="1">
        <f t="array" aca="1" ref="I14" ca="1">IFERROR(_xlfn.XLOOKUP(1,  ('ж.д.'!$A$6:$A$14 = $D14) * 1,  _xlfn.XLOOKUP(1,  ('ж.д.'!$B$5:$M$5 = I$2) * ('ж.д.'!$B$4:$M$4 = $S$2), 'ж.д.'!$B$6:$M$14)), "-")</f>
        <v>-</v>
      </c>
      <c r="J14" s="153" t="str" cm="1">
        <f t="array" aca="1" ref="J14" ca="1">IFERROR(_xlfn.XLOOKUP(1,  ('ж.д.'!$A$6:$A$14 = $D14) * 1,  _xlfn.XLOOKUP(1,  ('ж.д.'!$B$5:$M$5 = J$2) * ('ж.д.'!$B$4:$M$4 = $S$2), 'ж.д.'!$B$6:$M$14)), "-")</f>
        <v>-</v>
      </c>
      <c r="K14" s="153" t="str" cm="1">
        <f t="array" aca="1" ref="K14" ca="1">IFERROR(_xlfn.XLOOKUP(1,  ('ж.д.'!$A$6:$A$14 = $D14) * 1,  _xlfn.XLOOKUP(1,  ('ж.д.'!$B$5:$M$5 = K$2) * ('ж.д.'!$B$4:$M$4 = $S$2), 'ж.д.'!$B$6:$M$14)), "-")</f>
        <v>-</v>
      </c>
      <c r="L14" s="153" cm="1">
        <f t="array" aca="1" ref="L14" ca="1">IF(ISNUMBER(SEARCH("Транс",$C14)),_xlfn.XLOOKUP(1,('Фрахт Транс'!$A$5:$A$10=$D14)*1,_xlfn.XLOOKUP(1,('Фрахт Транс'!$B$3:$M$3 = $S$2)*('Фрахт Транс'!$B$4:$M$4=L$2),'Фрахт Транс'!$B$5:$M$10)),SUM($E14, $G14, $I14, $O14))</f>
        <v>0</v>
      </c>
      <c r="M14" s="153" cm="1">
        <f t="array" aca="1" ref="M14" ca="1">IF(ISNUMBER(SEARCH("Транс",$C14)),_xlfn.XLOOKUP(1,('Фрахт Транс'!$A$5:$A$10=$D14)*1,_xlfn.XLOOKUP(1,('Фрахт Транс'!$B$3:$M$3=$S$2)*('Фрахт Транс'!$B$4:$M$4=M$2),'Фрахт Транс'!$B$5:$M$10)),SUM($E14, $G14, $J14, $O14))</f>
        <v>0</v>
      </c>
      <c r="N14" s="153" cm="1">
        <f t="array" aca="1" ref="N14" ca="1">IF(ISNUMBER(SEARCH("Транс",$C14)),_xlfn.XLOOKUP(1,('Фрахт Транс'!$A$5:$A$10=$D14)*1,_xlfn.XLOOKUP(1,('Фрахт Транс'!$B$3:$M$3=$S$2)*('Фрахт Транс'!$B$4:$M$4=N$2),'Фрахт Транс'!$B$5:$M$10)),SUM($F14, $H14, $K14, $P14))</f>
        <v>0</v>
      </c>
      <c r="O14" s="153" t="str" cm="1">
        <f t="array" aca="1" ref="O14" ca="1">IFERROR(_xlfn.XLOOKUP(1,  (Охрана!$A$6:$A$14 = $D14) * 1,  _xlfn.XLOOKUP(1,  (Охрана!$B$5:$M$5 = O$2) * (Охрана!$B$4:$M$4 = $S$2), Охрана!$B$6:$M$14)), "-")</f>
        <v>-</v>
      </c>
      <c r="P14" s="198" t="str" cm="1">
        <f t="array" aca="1" ref="P14" ca="1">IFERROR(_xlfn.XLOOKUP(1,  (Охрана!$A$6:$A$14 = $D14) * 1,  _xlfn.XLOOKUP(1,  (Охрана!$B$5:$M$5 = P$2) * (Охрана!$B$4:$M$4 = $S$2), Охрана!$B$6:$M$14)), "-")</f>
        <v>-</v>
      </c>
      <c r="Q14" s="286"/>
      <c r="R14" s="71"/>
      <c r="S14" s="4"/>
    </row>
    <row r="15" spans="1:21" ht="15.75" customHeight="1" thickBot="1" x14ac:dyDescent="0.3">
      <c r="A15" s="213" t="s">
        <v>13</v>
      </c>
      <c r="B15" s="288"/>
      <c r="C15" s="74" t="s">
        <v>42</v>
      </c>
      <c r="D15" s="75" t="s">
        <v>41</v>
      </c>
      <c r="E15" s="174" t="str" cm="1">
        <f t="array" ref="E15">IFERROR(_xlfn.XLOOKUP(1, (Фрахт!$A$5:$A$80 = $A15)* (Фрахт!$B$5:$B$80 = $C15) * (Фрахт!$C$5:$C$80 =$D15),  _xlfn.XLOOKUP(1,  (Фрахт!$D$4:$E$4 = E$2) * 1, Фрахт!$D$5:$E$80)) *  $S$1, "-")</f>
        <v>-</v>
      </c>
      <c r="F15" s="154" t="str" cm="1">
        <f t="array" ref="F15">IFERROR(_xlfn.XLOOKUP(1, (Фрахт!$A$5:$A$80 = $A15)* (Фрахт!$B$5:$B$80 = $C15) * (Фрахт!$C$5:$C$80 =$D15),  _xlfn.XLOOKUP(1,  (Фрахт!$D$4:$E$4 = F$2) * 1, Фрахт!$D$5:$E$80)) *  $S$1, "-")</f>
        <v>-</v>
      </c>
      <c r="G15" s="154" t="str" cm="1">
        <f t="array" aca="1" ref="G15" ca="1">IFERROR(_xlfn.XLOOKUP(1,  ('Drop off'!$A$6:$A$14 = $C15) * 1,  _xlfn.XLOOKUP(1,  ('Drop off'!$B$5:$I$5 = G$2) * ('Drop off'!$B$4:$I$4 = $S$2), 'Drop off'!$B$6:$I$14)) * $S$1, "-")</f>
        <v>-</v>
      </c>
      <c r="H15" s="154" t="str" cm="1">
        <f t="array" aca="1" ref="H15" ca="1">IFERROR(_xlfn.XLOOKUP(1,  ('Drop off'!$A$6:$A$14 = $C15) * 1,  _xlfn.XLOOKUP(1,  ('Drop off'!$B$5:$I$5 = H$2) * ('Drop off'!$B$4:$I$4 = $S$2), 'Drop off'!$B$6:$I$14)) * $S$1, "-")</f>
        <v>-</v>
      </c>
      <c r="I15" s="154" t="str" cm="1">
        <f t="array" aca="1" ref="I15" ca="1">IFERROR(_xlfn.XLOOKUP(1,  ('ж.д.'!$A$6:$A$14 = $D15) * 1,  _xlfn.XLOOKUP(1,  ('ж.д.'!$B$5:$M$5 = I$2) * ('ж.д.'!$B$4:$M$4 = $S$2), 'ж.д.'!$B$6:$M$14)), "-")</f>
        <v>-</v>
      </c>
      <c r="J15" s="154" t="str" cm="1">
        <f t="array" aca="1" ref="J15" ca="1">IFERROR(_xlfn.XLOOKUP(1,  ('ж.д.'!$A$6:$A$14 = $D15) * 1,  _xlfn.XLOOKUP(1,  ('ж.д.'!$B$5:$M$5 = J$2) * ('ж.д.'!$B$4:$M$4 = $S$2), 'ж.д.'!$B$6:$M$14)), "-")</f>
        <v>-</v>
      </c>
      <c r="K15" s="154" t="str" cm="1">
        <f t="array" aca="1" ref="K15" ca="1">IFERROR(_xlfn.XLOOKUP(1,  ('ж.д.'!$A$6:$A$14 = $D15) * 1,  _xlfn.XLOOKUP(1,  ('ж.д.'!$B$5:$M$5 = K$2) * ('ж.д.'!$B$4:$M$4 = $S$2), 'ж.д.'!$B$6:$M$14)), "-")</f>
        <v>-</v>
      </c>
      <c r="L15" s="154" cm="1">
        <f t="array" aca="1" ref="L15" ca="1">IF(ISNUMBER(SEARCH("Транс",$C15)),_xlfn.XLOOKUP(1,('Фрахт Транс'!$A$5:$A$10=$D15)*1,_xlfn.XLOOKUP(1,('Фрахт Транс'!$B$3:$M$3 = $S$2)*('Фрахт Транс'!$B$4:$M$4=L$2),'Фрахт Транс'!$B$5:$M$10)),SUM($E15, $G15, $I15, $O15))</f>
        <v>0</v>
      </c>
      <c r="M15" s="154" cm="1">
        <f t="array" aca="1" ref="M15" ca="1">IF(ISNUMBER(SEARCH("Транс",$C15)),_xlfn.XLOOKUP(1,('Фрахт Транс'!$A$5:$A$10=$D15)*1,_xlfn.XLOOKUP(1,('Фрахт Транс'!$B$3:$M$3=$S$2)*('Фрахт Транс'!$B$4:$M$4=M$2),'Фрахт Транс'!$B$5:$M$10)),SUM($E15, $G15, $J15, $O15))</f>
        <v>0</v>
      </c>
      <c r="N15" s="154" cm="1">
        <f t="array" aca="1" ref="N15" ca="1">IF(ISNUMBER(SEARCH("Транс",$C15)),_xlfn.XLOOKUP(1,('Фрахт Транс'!$A$5:$A$10=$D15)*1,_xlfn.XLOOKUP(1,('Фрахт Транс'!$B$3:$M$3=$S$2)*('Фрахт Транс'!$B$4:$M$4=N$2),'Фрахт Транс'!$B$5:$M$10)),SUM($F15, $H15, $K15, $P15))</f>
        <v>0</v>
      </c>
      <c r="O15" s="154" t="str" cm="1">
        <f t="array" aca="1" ref="O15" ca="1">IFERROR(_xlfn.XLOOKUP(1,  (Охрана!$A$6:$A$14 = $D15) * 1,  _xlfn.XLOOKUP(1,  (Охрана!$B$5:$M$5 = O$2) * (Охрана!$B$4:$M$4 = $S$2), Охрана!$B$6:$M$14)), "-")</f>
        <v>-</v>
      </c>
      <c r="P15" s="199" t="str" cm="1">
        <f t="array" aca="1" ref="P15" ca="1">IFERROR(_xlfn.XLOOKUP(1,  (Охрана!$A$6:$A$14 = $D15) * 1,  _xlfn.XLOOKUP(1,  (Охрана!$B$5:$M$5 = P$2) * (Охрана!$B$4:$M$4 = $S$2), Охрана!$B$6:$M$14)), "-")</f>
        <v>-</v>
      </c>
      <c r="Q15" s="38"/>
      <c r="S15" s="6"/>
      <c r="U15" s="3"/>
    </row>
    <row r="16" spans="1:21" ht="15.75" customHeight="1" thickBot="1" x14ac:dyDescent="0.3">
      <c r="A16" s="213" t="s">
        <v>13</v>
      </c>
      <c r="B16" s="288"/>
      <c r="C16" s="84" t="s">
        <v>54</v>
      </c>
      <c r="D16" s="85" t="s">
        <v>56</v>
      </c>
      <c r="E16" s="175" cm="1">
        <f t="array" ref="E16">IFERROR(_xlfn.XLOOKUP(1, (Фрахт!$A$5:$A$80 = $A16)* (Фрахт!$B$5:$B$80 = $C16) * (Фрахт!$C$5:$C$80 =$D16),  _xlfn.XLOOKUP(1,  (Фрахт!$D$4:$E$4 = E$2) * 1, Фрахт!$D$5:$E$80)) *  $S$1, "-")</f>
        <v>265800</v>
      </c>
      <c r="F16" s="155" cm="1">
        <f t="array" ref="F16">IFERROR(_xlfn.XLOOKUP(1, (Фрахт!$A$5:$A$80 = $A16)* (Фрахт!$B$5:$B$80 = $C16) * (Фрахт!$C$5:$C$80 =$D16),  _xlfn.XLOOKUP(1,  (Фрахт!$D$4:$E$4 = F$2) * 1, Фрахт!$D$5:$E$80)) *  $S$1, "-")</f>
        <v>343200</v>
      </c>
      <c r="G16" s="155" cm="1">
        <f t="array" aca="1" ref="G16" ca="1">IFERROR(_xlfn.XLOOKUP(1,  ('Drop off'!$A$6:$A$14 = $C16) * 1,  _xlfn.XLOOKUP(1,  ('Drop off'!$B$5:$I$5 = G$2) * ('Drop off'!$B$4:$I$4 = $S$2), 'Drop off'!$B$6:$I$14)) * $S$1, "-")</f>
        <v>6000</v>
      </c>
      <c r="H16" s="155" cm="1">
        <f t="array" aca="1" ref="H16" ca="1">IFERROR(_xlfn.XLOOKUP(1,  ('Drop off'!$A$6:$A$14 = $C16) * 1,  _xlfn.XLOOKUP(1,  ('Drop off'!$B$5:$I$5 = H$2) * ('Drop off'!$B$4:$I$4 = $S$2), 'Drop off'!$B$6:$I$14)) * $S$1, "-")</f>
        <v>6000</v>
      </c>
      <c r="I16" s="155" cm="1">
        <f t="array" aca="1" ref="I16" ca="1">IFERROR(_xlfn.XLOOKUP(1,  ('ж.д.'!$A$6:$A$14 = $D16) * 1,  _xlfn.XLOOKUP(1,  ('ж.д.'!$B$5:$M$5 = I$2) * ('ж.д.'!$B$4:$M$4 = $S$2), 'ж.д.'!$B$6:$M$14)), "-")</f>
        <v>122400</v>
      </c>
      <c r="J16" s="155" cm="1">
        <f t="array" aca="1" ref="J16" ca="1">IFERROR(_xlfn.XLOOKUP(1,  ('ж.д.'!$A$6:$A$14 = $D16) * 1,  _xlfn.XLOOKUP(1,  ('ж.д.'!$B$5:$M$5 = J$2) * ('ж.д.'!$B$4:$M$4 = $S$2), 'ж.д.'!$B$6:$M$14)), "-")</f>
        <v>139800</v>
      </c>
      <c r="K16" s="155" cm="1">
        <f t="array" aca="1" ref="K16" ca="1">IFERROR(_xlfn.XLOOKUP(1,  ('ж.д.'!$A$6:$A$14 = $D16) * 1,  _xlfn.XLOOKUP(1,  ('ж.д.'!$B$5:$M$5 = K$2) * ('ж.д.'!$B$4:$M$4 = $S$2), 'ж.д.'!$B$6:$M$14)), "-")</f>
        <v>155000</v>
      </c>
      <c r="L16" s="155" cm="1">
        <f t="array" aca="1" ref="L16" ca="1">IF(ISNUMBER(SEARCH("Транс",$C16)),_xlfn.XLOOKUP(1,('Фрахт Транс'!$A$5:$A$10=$D16)*1,_xlfn.XLOOKUP(1,('Фрахт Транс'!$B$3:$M$3 = $S$2)*('Фрахт Транс'!$B$4:$M$4=L$2),'Фрахт Транс'!$B$5:$M$10)),SUM($E16, $G16, $I16, $O16))</f>
        <v>394200</v>
      </c>
      <c r="M16" s="155" cm="1">
        <f t="array" aca="1" ref="M16" ca="1">IF(ISNUMBER(SEARCH("Транс",$C16)),_xlfn.XLOOKUP(1,('Фрахт Транс'!$A$5:$A$10=$D16)*1,_xlfn.XLOOKUP(1,('Фрахт Транс'!$B$3:$M$3=$S$2)*('Фрахт Транс'!$B$4:$M$4=M$2),'Фрахт Транс'!$B$5:$M$10)),SUM($E16, $G16, $J16, $O16))</f>
        <v>411600</v>
      </c>
      <c r="N16" s="155" cm="1">
        <f t="array" aca="1" ref="N16" ca="1">IF(ISNUMBER(SEARCH("Транс",$C16)),_xlfn.XLOOKUP(1,('Фрахт Транс'!$A$5:$A$10=$D16)*1,_xlfn.XLOOKUP(1,('Фрахт Транс'!$B$3:$M$3=$S$2)*('Фрахт Транс'!$B$4:$M$4=N$2),'Фрахт Транс'!$B$5:$M$10)),SUM($F16, $H16, $K16, $P16))</f>
        <v>504200</v>
      </c>
      <c r="O16" s="155" t="str" cm="1">
        <f t="array" aca="1" ref="O16" ca="1">IFERROR(_xlfn.XLOOKUP(1,  (Охрана!$A$6:$A$14 = $D16) * 1,  _xlfn.XLOOKUP(1,  (Охрана!$B$5:$M$5 = O$2) * (Охрана!$B$4:$M$4 = $S$2), Охрана!$B$6:$M$14)), "-")</f>
        <v>-</v>
      </c>
      <c r="P16" s="200" t="str" cm="1">
        <f t="array" aca="1" ref="P16" ca="1">IFERROR(_xlfn.XLOOKUP(1,  (Охрана!$A$6:$A$14 = $D16) * 1,  _xlfn.XLOOKUP(1,  (Охрана!$B$5:$M$5 = P$2) * (Охрана!$B$4:$M$4 = $S$2), Охрана!$B$6:$M$14)), "-")</f>
        <v>-</v>
      </c>
      <c r="Q16" s="38"/>
      <c r="R16" s="3"/>
      <c r="S16" s="6"/>
      <c r="U16" s="3"/>
    </row>
    <row r="17" spans="1:30" ht="15.75" customHeight="1" thickBot="1" x14ac:dyDescent="0.3">
      <c r="A17" s="213" t="s">
        <v>13</v>
      </c>
      <c r="B17" s="289"/>
      <c r="C17" s="76" t="s">
        <v>53</v>
      </c>
      <c r="D17" s="77" t="s">
        <v>7</v>
      </c>
      <c r="E17" s="176" cm="1">
        <f t="array" ref="E17">IFERROR(_xlfn.XLOOKUP(1, (Фрахт!$A$5:$A$80 = $A17)* (Фрахт!$B$5:$B$80 = $C17) * (Фрахт!$C$5:$C$80 =$D17),  _xlfn.XLOOKUP(1,  (Фрахт!$D$4:$E$4 = E$2) * 1, Фрахт!$D$5:$E$80)) *  $S$1, "-")</f>
        <v>315000</v>
      </c>
      <c r="F17" s="156" cm="1">
        <f t="array" ref="F17">IFERROR(_xlfn.XLOOKUP(1, (Фрахт!$A$5:$A$80 = $A17)* (Фрахт!$B$5:$B$80 = $C17) * (Фрахт!$C$5:$C$80 =$D17),  _xlfn.XLOOKUP(1,  (Фрахт!$D$4:$E$4 = F$2) * 1, Фрахт!$D$5:$E$80)) *  $S$1, "-")</f>
        <v>420000</v>
      </c>
      <c r="G17" s="156" cm="1">
        <f t="array" aca="1" ref="G17" ca="1">IFERROR(_xlfn.XLOOKUP(1,  ('Drop off'!$A$6:$A$14 = $C17) * 1,  _xlfn.XLOOKUP(1,  ('Drop off'!$B$5:$I$5 = G$2) * ('Drop off'!$B$4:$I$4 = $S$2), 'Drop off'!$B$6:$I$14)) * $S$1, "-")</f>
        <v>0</v>
      </c>
      <c r="H17" s="156" cm="1">
        <f t="array" aca="1" ref="H17" ca="1">IFERROR(_xlfn.XLOOKUP(1,  ('Drop off'!$A$6:$A$14 = $C17) * 1,  _xlfn.XLOOKUP(1,  ('Drop off'!$B$5:$I$5 = H$2) * ('Drop off'!$B$4:$I$4 = $S$2), 'Drop off'!$B$6:$I$14)) * $S$1, "-")</f>
        <v>0</v>
      </c>
      <c r="I17" s="156" cm="1">
        <f t="array" aca="1" ref="I17" ca="1">IFERROR(_xlfn.XLOOKUP(1,  ('ж.д.'!$A$6:$A$14 = $D17) * 1,  _xlfn.XLOOKUP(1,  ('ж.д.'!$B$5:$M$5 = I$2) * ('ж.д.'!$B$4:$M$4 = $S$2), 'ж.д.'!$B$6:$M$14)), "-")</f>
        <v>125000</v>
      </c>
      <c r="J17" s="156" cm="1">
        <f t="array" aca="1" ref="J17" ca="1">IFERROR(_xlfn.XLOOKUP(1,  ('ж.д.'!$A$6:$A$14 = $D17) * 1,  _xlfn.XLOOKUP(1,  ('ж.д.'!$B$5:$M$5 = J$2) * ('ж.д.'!$B$4:$M$4 = $S$2), 'ж.д.'!$B$6:$M$14)), "-")</f>
        <v>140000</v>
      </c>
      <c r="K17" s="156" cm="1">
        <f t="array" aca="1" ref="K17" ca="1">IFERROR(_xlfn.XLOOKUP(1,  ('ж.д.'!$A$6:$A$14 = $D17) * 1,  _xlfn.XLOOKUP(1,  ('ж.д.'!$B$5:$M$5 = K$2) * ('ж.д.'!$B$4:$M$4 = $S$2), 'ж.д.'!$B$6:$M$14)), "-")</f>
        <v>227000</v>
      </c>
      <c r="L17" s="156" cm="1">
        <f t="array" aca="1" ref="L17" ca="1">IF(ISNUMBER(SEARCH("Транс",$C17)),_xlfn.XLOOKUP(1,('Фрахт Транс'!$A$5:$A$10=$D17)*1,_xlfn.XLOOKUP(1,('Фрахт Транс'!$B$3:$M$3 = $S$2)*('Фрахт Транс'!$B$4:$M$4=L$2),'Фрахт Транс'!$B$5:$M$10)),SUM($E17, $G17, $I17, $O17))</f>
        <v>444100</v>
      </c>
      <c r="M17" s="156" cm="1">
        <f t="array" aca="1" ref="M17" ca="1">IF(ISNUMBER(SEARCH("Транс",$C17)),_xlfn.XLOOKUP(1,('Фрахт Транс'!$A$5:$A$10=$D17)*1,_xlfn.XLOOKUP(1,('Фрахт Транс'!$B$3:$M$3=$S$2)*('Фрахт Транс'!$B$4:$M$4=M$2),'Фрахт Транс'!$B$5:$M$10)),SUM($E17, $G17, $J17, $O17))</f>
        <v>459100</v>
      </c>
      <c r="N17" s="156" cm="1">
        <f t="array" aca="1" ref="N17" ca="1">IF(ISNUMBER(SEARCH("Транс",$C17)),_xlfn.XLOOKUP(1,('Фрахт Транс'!$A$5:$A$10=$D17)*1,_xlfn.XLOOKUP(1,('Фрахт Транс'!$B$3:$M$3=$S$2)*('Фрахт Транс'!$B$4:$M$4=N$2),'Фрахт Транс'!$B$5:$M$10)),SUM($F17, $H17, $K17, $P17))</f>
        <v>655200</v>
      </c>
      <c r="O17" s="156" cm="1">
        <f t="array" aca="1" ref="O17" ca="1">IFERROR(_xlfn.XLOOKUP(1,  (Охрана!$A$6:$A$14 = $D17) * 1,  _xlfn.XLOOKUP(1,  (Охрана!$B$5:$M$5 = O$2) * (Охрана!$B$4:$M$4 = $S$2), Охрана!$B$6:$M$14)), "-")</f>
        <v>4100</v>
      </c>
      <c r="P17" s="201" cm="1">
        <f t="array" aca="1" ref="P17" ca="1">IFERROR(_xlfn.XLOOKUP(1,  (Охрана!$A$6:$A$14 = $D17) * 1,  _xlfn.XLOOKUP(1,  (Охрана!$B$5:$M$5 = P$2) * (Охрана!$B$4:$M$4 = $S$2), Охрана!$B$6:$M$14)), "-")</f>
        <v>8200</v>
      </c>
      <c r="Q17" s="38"/>
      <c r="S17" s="6"/>
      <c r="U17" s="3"/>
    </row>
    <row r="18" spans="1:30" ht="30.75" thickBot="1" x14ac:dyDescent="0.3">
      <c r="A18" s="214" t="s">
        <v>14</v>
      </c>
      <c r="B18" s="290" t="s">
        <v>14</v>
      </c>
      <c r="C18" s="72" t="s">
        <v>43</v>
      </c>
      <c r="D18" s="73" t="s">
        <v>45</v>
      </c>
      <c r="E18" s="168" t="str" cm="1">
        <f t="array" ref="E18">IFERROR(_xlfn.XLOOKUP(1, (Фрахт!$A$5:$A$80 = $A18)* (Фрахт!$B$5:$B$80 = $C18) * (Фрахт!$C$5:$C$80 =$D18),  _xlfn.XLOOKUP(1,  (Фрахт!$D$4:$E$4 = E$2) * 1, Фрахт!$D$5:$E$80)) *  $S$1, "-")</f>
        <v>-</v>
      </c>
      <c r="F18" s="168" t="str" cm="1">
        <f t="array" ref="F18">IFERROR(_xlfn.XLOOKUP(1, (Фрахт!$A$5:$A$80 = $A18)* (Фрахт!$B$5:$B$80 = $C18) * (Фрахт!$C$5:$C$80 =$D18),  _xlfn.XLOOKUP(1,  (Фрахт!$D$4:$E$4 = F$2) * 1, Фрахт!$D$5:$E$80)) *  $S$1, "-")</f>
        <v>-</v>
      </c>
      <c r="G18" s="157" cm="1">
        <f t="array" aca="1" ref="G18" ca="1">IFERROR(_xlfn.XLOOKUP(1,  ('Drop off'!$A$6:$A$14 = $C18) * 1,  _xlfn.XLOOKUP(1,  ('Drop off'!$B$5:$I$5 = G$2) * ('Drop off'!$B$4:$I$4 = $S$2), 'Drop off'!$B$6:$I$14)) * $S$1, "-")</f>
        <v>0</v>
      </c>
      <c r="H18" s="157" cm="1">
        <f t="array" aca="1" ref="H18" ca="1">IFERROR(_xlfn.XLOOKUP(1,  ('Drop off'!$A$6:$A$14 = $C18) * 1,  _xlfn.XLOOKUP(1,  ('Drop off'!$B$5:$I$5 = H$2) * ('Drop off'!$B$4:$I$4 = $S$2), 'Drop off'!$B$6:$I$14)) * $S$1, "-")</f>
        <v>0</v>
      </c>
      <c r="I18" s="157" t="str" cm="1">
        <f t="array" aca="1" ref="I18" ca="1">IFERROR(_xlfn.XLOOKUP(1,  ('ж.д.'!$A$6:$A$14 = $D18) * 1,  _xlfn.XLOOKUP(1,  ('ж.д.'!$B$5:$M$5 = I$2) * ('ж.д.'!$B$4:$M$4 = $S$2), 'ж.д.'!$B$6:$M$14)), "-")</f>
        <v>-</v>
      </c>
      <c r="J18" s="157" t="str" cm="1">
        <f t="array" aca="1" ref="J18" ca="1">IFERROR(_xlfn.XLOOKUP(1,  ('ж.д.'!$A$6:$A$14 = $D18) * 1,  _xlfn.XLOOKUP(1,  ('ж.д.'!$B$5:$M$5 = J$2) * ('ж.д.'!$B$4:$M$4 = $S$2), 'ж.д.'!$B$6:$M$14)), "-")</f>
        <v>-</v>
      </c>
      <c r="K18" s="157" t="str" cm="1">
        <f t="array" aca="1" ref="K18" ca="1">IFERROR(_xlfn.XLOOKUP(1,  ('ж.д.'!$A$6:$A$14 = $D18) * 1,  _xlfn.XLOOKUP(1,  ('ж.д.'!$B$5:$M$5 = K$2) * ('ж.д.'!$B$4:$M$4 = $S$2), 'ж.д.'!$B$6:$M$14)), "-")</f>
        <v>-</v>
      </c>
      <c r="L18" s="191" cm="1">
        <f t="array" aca="1" ref="L18" ca="1">IF(ISNUMBER(SEARCH("Транс",$C18)),_xlfn.XLOOKUP(1,('Фрахт Транс'!$A$5:$A$10=$D18)*1,_xlfn.XLOOKUP(1,('Фрахт Транс'!$B$3:$M$3 = $S$2)*('Фрахт Транс'!$B$4:$M$4=L$2),'Фрахт Транс'!$B$5:$M$10)),SUM($E18, $G18, $I18, $O18))</f>
        <v>356456</v>
      </c>
      <c r="M18" s="191" cm="1">
        <f t="array" aca="1" ref="M18" ca="1">IF(ISNUMBER(SEARCH("Транс",$C18)),_xlfn.XLOOKUP(1,('Фрахт Транс'!$A$5:$A$10=$D18)*1,_xlfn.XLOOKUP(1,('Фрахт Транс'!$B$3:$M$3=$S$2)*('Фрахт Транс'!$B$4:$M$4=M$2),'Фрахт Транс'!$B$5:$M$10)),SUM($E18, $G18, $J18, $O18))</f>
        <v>373994</v>
      </c>
      <c r="N18" s="191" cm="1">
        <f t="array" aca="1" ref="N18" ca="1">IF(ISNUMBER(SEARCH("Транс",$C18)),_xlfn.XLOOKUP(1,('Фрахт Транс'!$A$5:$A$10=$D18)*1,_xlfn.XLOOKUP(1,('Фрахт Транс'!$B$3:$M$3=$S$2)*('Фрахт Транс'!$B$4:$M$4=N$2),'Фрахт Транс'!$B$5:$M$10)),SUM($F18, $H18, $K18, $P18))</f>
        <v>519968</v>
      </c>
      <c r="O18" s="202" t="str" cm="1">
        <f t="array" aca="1" ref="O18" ca="1">IFERROR(_xlfn.XLOOKUP(1,  (Охрана!$A$6:$A$14 = $D18) * 1,  _xlfn.XLOOKUP(1,  (Охрана!$B$5:$M$5 = O$2) * (Охрана!$B$4:$M$4 = $S$2), Охрана!$B$6:$M$14)), "-")</f>
        <v>-</v>
      </c>
      <c r="P18" s="203" t="str" cm="1">
        <f t="array" aca="1" ref="P18" ca="1">IFERROR(_xlfn.XLOOKUP(1,  (Охрана!$A$6:$A$14 = $D18) * 1,  _xlfn.XLOOKUP(1,  (Охрана!$B$5:$M$5 = P$2) * (Охрана!$B$4:$M$4 = $S$2), Охрана!$B$6:$M$14)), "-")</f>
        <v>-</v>
      </c>
      <c r="Q18" s="38"/>
      <c r="R18" s="6"/>
      <c r="S18" s="6"/>
      <c r="U18" s="3"/>
    </row>
    <row r="19" spans="1:30" ht="15" customHeight="1" thickBot="1" x14ac:dyDescent="0.3">
      <c r="A19" s="214" t="s">
        <v>14</v>
      </c>
      <c r="B19" s="291"/>
      <c r="C19" s="32" t="s">
        <v>12</v>
      </c>
      <c r="D19" s="32" t="s">
        <v>30</v>
      </c>
      <c r="E19" s="169" cm="1">
        <f t="array" ref="E19">IFERROR(_xlfn.XLOOKUP(1, (Фрахт!$A$5:$A$80 = $A19)* (Фрахт!$B$5:$B$80 = $C19) * (Фрахт!$C$5:$C$80 =$D19),  _xlfn.XLOOKUP(1,  (Фрахт!$D$4:$E$4 = E$2) * 1, Фрахт!$D$5:$E$80)) *  $S$1, "-")</f>
        <v>330000</v>
      </c>
      <c r="F19" s="169" cm="1">
        <f t="array" ref="F19">IFERROR(_xlfn.XLOOKUP(1, (Фрахт!$A$5:$A$80 = $A19)* (Фрахт!$B$5:$B$80 = $C19) * (Фрахт!$C$5:$C$80 =$D19),  _xlfn.XLOOKUP(1,  (Фрахт!$D$4:$E$4 = F$2) * 1, Фрахт!$D$5:$E$80)) *  $S$1, "-")</f>
        <v>450000</v>
      </c>
      <c r="G19" s="149" cm="1">
        <f t="array" aca="1" ref="G19" ca="1">IFERROR(_xlfn.XLOOKUP(1,  ('Drop off'!$A$6:$A$14 = $C19) * 1,  _xlfn.XLOOKUP(1,  ('Drop off'!$B$5:$I$5 = G$2) * ('Drop off'!$B$4:$I$4 = $S$2), 'Drop off'!$B$6:$I$14)) * $S$1, "-")</f>
        <v>0</v>
      </c>
      <c r="H19" s="149" cm="1">
        <f t="array" aca="1" ref="H19" ca="1">IFERROR(_xlfn.XLOOKUP(1,  ('Drop off'!$A$6:$A$14 = $C19) * 1,  _xlfn.XLOOKUP(1,  ('Drop off'!$B$5:$I$5 = H$2) * ('Drop off'!$B$4:$I$4 = $S$2), 'Drop off'!$B$6:$I$14)) * $S$1, "-")</f>
        <v>0</v>
      </c>
      <c r="I19" s="149" cm="1">
        <f t="array" aca="1" ref="I19" ca="1">IFERROR(_xlfn.XLOOKUP(1,  ('ж.д.'!$A$6:$A$14 = $D19) * 1,  _xlfn.XLOOKUP(1,  ('ж.д.'!$B$5:$M$5 = I$2) * ('ж.д.'!$B$4:$M$4 = $S$2), 'ж.д.'!$B$6:$M$14)), "-")</f>
        <v>167600</v>
      </c>
      <c r="J19" s="149" cm="1">
        <f t="array" aca="1" ref="J19" ca="1">IFERROR(_xlfn.XLOOKUP(1,  ('ж.д.'!$A$6:$A$14 = $D19) * 1,  _xlfn.XLOOKUP(1,  ('ж.д.'!$B$5:$M$5 = J$2) * ('ж.д.'!$B$4:$M$4 = $S$2), 'ж.д.'!$B$6:$M$14)), "-")</f>
        <v>181540</v>
      </c>
      <c r="K19" s="149" cm="1">
        <f t="array" aca="1" ref="K19" ca="1">IFERROR(_xlfn.XLOOKUP(1,  ('ж.д.'!$A$6:$A$14 = $D19) * 1,  _xlfn.XLOOKUP(1,  ('ж.д.'!$B$5:$M$5 = K$2) * ('ж.д.'!$B$4:$M$4 = $S$2), 'ж.д.'!$B$6:$M$14)), "-")</f>
        <v>292000</v>
      </c>
      <c r="L19" s="149" cm="1">
        <f t="array" aca="1" ref="L19" ca="1">IF(ISNUMBER(SEARCH("Транс",$C19)),_xlfn.XLOOKUP(1,('Фрахт Транс'!$A$5:$A$10=$D19)*1,_xlfn.XLOOKUP(1,('Фрахт Транс'!$B$3:$M$3 = $S$2)*('Фрахт Транс'!$B$4:$M$4=L$2),'Фрахт Транс'!$B$5:$M$10)),SUM($E19, $G19, $I19, $O19))</f>
        <v>501422</v>
      </c>
      <c r="M19" s="149" cm="1">
        <f t="array" aca="1" ref="M19" ca="1">IF(ISNUMBER(SEARCH("Транс",$C19)),_xlfn.XLOOKUP(1,('Фрахт Транс'!$A$5:$A$10=$D19)*1,_xlfn.XLOOKUP(1,('Фрахт Транс'!$B$3:$M$3=$S$2)*('Фрахт Транс'!$B$4:$M$4=M$2),'Фрахт Транс'!$B$5:$M$10)),SUM($E19, $G19, $J19, $O19))</f>
        <v>515362</v>
      </c>
      <c r="N19" s="149" cm="1">
        <f t="array" aca="1" ref="N19" ca="1">IF(ISNUMBER(SEARCH("Транс",$C19)),_xlfn.XLOOKUP(1,('Фрахт Транс'!$A$5:$A$10=$D19)*1,_xlfn.XLOOKUP(1,('Фрахт Транс'!$B$3:$M$3=$S$2)*('Фрахт Транс'!$B$4:$M$4=N$2),'Фрахт Транс'!$B$5:$M$10)),SUM($F19, $H19, $K19, $P19))</f>
        <v>748910</v>
      </c>
      <c r="O19" s="149" cm="1">
        <f t="array" aca="1" ref="O19" ca="1">IFERROR(_xlfn.XLOOKUP(1,  (Охрана!$A$6:$A$14 = $D19) * 1,  _xlfn.XLOOKUP(1,  (Охрана!$B$5:$M$5 = O$2) * (Охрана!$B$4:$M$4 = $S$2), Охрана!$B$6:$M$14)), "-")</f>
        <v>3822</v>
      </c>
      <c r="P19" s="194" cm="1">
        <f t="array" aca="1" ref="P19" ca="1">IFERROR(_xlfn.XLOOKUP(1,  (Охрана!$A$6:$A$14 = $D19) * 1,  _xlfn.XLOOKUP(1,  (Охрана!$B$5:$M$5 = P$2) * (Охрана!$B$4:$M$4 = $S$2), Охрана!$B$6:$M$14)), "-")</f>
        <v>6910</v>
      </c>
      <c r="Q19" s="282"/>
      <c r="R19" s="91"/>
      <c r="S19" s="4"/>
    </row>
    <row r="20" spans="1:30" ht="15" customHeight="1" thickBot="1" x14ac:dyDescent="0.3">
      <c r="A20" s="214" t="s">
        <v>14</v>
      </c>
      <c r="B20" s="291"/>
      <c r="C20" s="32" t="s">
        <v>12</v>
      </c>
      <c r="D20" s="32" t="s">
        <v>55</v>
      </c>
      <c r="E20" s="169" cm="1">
        <f t="array" ref="E20">IFERROR(_xlfn.XLOOKUP(1, (Фрахт!$A$5:$A$80 = $A20)* (Фрахт!$B$5:$B$80 = $C20) * (Фрахт!$C$5:$C$80 =$D20),  _xlfn.XLOOKUP(1,  (Фрахт!$D$4:$E$4 = E$2) * 1, Фрахт!$D$5:$E$80)) *  $S$1, "-")</f>
        <v>330000</v>
      </c>
      <c r="F20" s="149" cm="1">
        <f t="array" ref="F20">IFERROR(_xlfn.XLOOKUP(1, (Фрахт!$A$5:$A$80 = $A20)* (Фрахт!$B$5:$B$80 = $C20) * (Фрахт!$C$5:$C$80 =$D20),  _xlfn.XLOOKUP(1,  (Фрахт!$D$4:$E$4 = F$2) * 1, Фрахт!$D$5:$E$80)) *  $S$1, "-")</f>
        <v>450000</v>
      </c>
      <c r="G20" s="149" cm="1">
        <f t="array" aca="1" ref="G20" ca="1">IFERROR(_xlfn.XLOOKUP(1,  ('Drop off'!$A$6:$A$14 = $C20) * 1,  _xlfn.XLOOKUP(1,  ('Drop off'!$B$5:$I$5 = G$2) * ('Drop off'!$B$4:$I$4 = $S$2), 'Drop off'!$B$6:$I$14)) * $S$1, "-")</f>
        <v>0</v>
      </c>
      <c r="H20" s="149" cm="1">
        <f t="array" aca="1" ref="H20" ca="1">IFERROR(_xlfn.XLOOKUP(1,  ('Drop off'!$A$6:$A$14 = $C20) * 1,  _xlfn.XLOOKUP(1,  ('Drop off'!$B$5:$I$5 = H$2) * ('Drop off'!$B$4:$I$4 = $S$2), 'Drop off'!$B$6:$I$14)) * $S$1, "-")</f>
        <v>0</v>
      </c>
      <c r="I20" s="149" cm="1">
        <f t="array" aca="1" ref="I20" ca="1">IFERROR(_xlfn.XLOOKUP(1,  ('ж.д.'!$A$6:$A$14 = $D20) * 1,  _xlfn.XLOOKUP(1,  ('ж.д.'!$B$5:$M$5 = I$2) * ('ж.д.'!$B$4:$M$4 = $S$2), 'ж.д.'!$B$6:$M$14)), "-")</f>
        <v>173730</v>
      </c>
      <c r="J20" s="149" cm="1">
        <f t="array" aca="1" ref="J20" ca="1">IFERROR(_xlfn.XLOOKUP(1,  ('ж.д.'!$A$6:$A$14 = $D20) * 1,  _xlfn.XLOOKUP(1,  ('ж.д.'!$B$5:$M$5 = J$2) * ('ж.д.'!$B$4:$M$4 = $S$2), 'ж.д.'!$B$6:$M$14)), "-")</f>
        <v>191045</v>
      </c>
      <c r="K20" s="149" cm="1">
        <f t="array" aca="1" ref="K20" ca="1">IFERROR(_xlfn.XLOOKUP(1,  ('ж.д.'!$A$6:$A$14 = $D20) * 1,  _xlfn.XLOOKUP(1,  ('ж.д.'!$B$5:$M$5 = K$2) * ('ж.д.'!$B$4:$M$4 = $S$2), 'ж.д.'!$B$6:$M$14)), "-")</f>
        <v>303815</v>
      </c>
      <c r="L20" s="149" cm="1">
        <f t="array" aca="1" ref="L20" ca="1">IF(ISNUMBER(SEARCH("Транс",$C20)),_xlfn.XLOOKUP(1,('Фрахт Транс'!$A$5:$A$10=$D20)*1,_xlfn.XLOOKUP(1,('Фрахт Транс'!$B$3:$M$3 = $S$2)*('Фрахт Транс'!$B$4:$M$4=L$2),'Фрахт Транс'!$B$5:$M$10)),SUM($E20, $G20, $I20, $O20))</f>
        <v>507552</v>
      </c>
      <c r="M20" s="149" cm="1">
        <f t="array" aca="1" ref="M20" ca="1">IF(ISNUMBER(SEARCH("Транс",$C20)),_xlfn.XLOOKUP(1,('Фрахт Транс'!$A$5:$A$10=$D20)*1,_xlfn.XLOOKUP(1,('Фрахт Транс'!$B$3:$M$3=$S$2)*('Фрахт Транс'!$B$4:$M$4=M$2),'Фрахт Транс'!$B$5:$M$10)),SUM($E20, $G20, $J20, $O20))</f>
        <v>524867</v>
      </c>
      <c r="N20" s="149" cm="1">
        <f t="array" aca="1" ref="N20" ca="1">IF(ISNUMBER(SEARCH("Транс",$C20)),_xlfn.XLOOKUP(1,('Фрахт Транс'!$A$5:$A$10=$D20)*1,_xlfn.XLOOKUP(1,('Фрахт Транс'!$B$3:$M$3=$S$2)*('Фрахт Транс'!$B$4:$M$4=N$2),'Фрахт Транс'!$B$5:$M$10)),SUM($F20, $H20, $K20, $P20))</f>
        <v>760725</v>
      </c>
      <c r="O20" s="149" cm="1">
        <f t="array" aca="1" ref="O20" ca="1">IFERROR(_xlfn.XLOOKUP(1,  (Охрана!$A$6:$A$14 = $D20) * 1,  _xlfn.XLOOKUP(1,  (Охрана!$B$5:$M$5 = O$2) * (Охрана!$B$4:$M$4 = $S$2), Охрана!$B$6:$M$14)), "-")</f>
        <v>3822</v>
      </c>
      <c r="P20" s="194" cm="1">
        <f t="array" aca="1" ref="P20" ca="1">IFERROR(_xlfn.XLOOKUP(1,  (Охрана!$A$6:$A$14 = $D20) * 1,  _xlfn.XLOOKUP(1,  (Охрана!$B$5:$M$5 = P$2) * (Охрана!$B$4:$M$4 = $S$2), Охрана!$B$6:$M$14)), "-")</f>
        <v>6910</v>
      </c>
      <c r="Q20" s="282"/>
      <c r="R20" s="3"/>
      <c r="S20" s="4"/>
    </row>
    <row r="21" spans="1:30" ht="15.75" customHeight="1" thickBot="1" x14ac:dyDescent="0.3">
      <c r="A21" s="214" t="s">
        <v>14</v>
      </c>
      <c r="B21" s="291"/>
      <c r="C21" s="41" t="s">
        <v>35</v>
      </c>
      <c r="D21" s="40" t="s">
        <v>11</v>
      </c>
      <c r="E21" s="170" cm="1">
        <f t="array" ref="E21">IFERROR(_xlfn.XLOOKUP(1, (Фрахт!$A$5:$A$80 = $A21)* (Фрахт!$B$5:$B$80 = $C21) * (Фрахт!$C$5:$C$80 =$D21),  _xlfn.XLOOKUP(1,  (Фрахт!$D$4:$E$4 = E$2) * 1, Фрахт!$D$5:$E$80)) *  $S$1, "-")</f>
        <v>283500</v>
      </c>
      <c r="F21" s="150" cm="1">
        <f t="array" ref="F21">IFERROR(_xlfn.XLOOKUP(1, (Фрахт!$A$5:$A$80 = $A21)* (Фрахт!$B$5:$B$80 = $C21) * (Фрахт!$C$5:$C$80 =$D21),  _xlfn.XLOOKUP(1,  (Фрахт!$D$4:$E$4 = F$2) * 1, Фрахт!$D$5:$E$80)) *  $S$1, "-")</f>
        <v>472500</v>
      </c>
      <c r="G21" s="150" cm="1">
        <f t="array" aca="1" ref="G21" ca="1">IFERROR(_xlfn.XLOOKUP(1,  ('Drop off'!$A$6:$A$14 = $C21) * 1,  _xlfn.XLOOKUP(1,  ('Drop off'!$B$5:$I$5 = G$2) * ('Drop off'!$B$4:$I$4 = $S$2), 'Drop off'!$B$6:$I$14)) * $S$1, "-")</f>
        <v>56700</v>
      </c>
      <c r="H21" s="150" cm="1">
        <f t="array" aca="1" ref="H21" ca="1">IFERROR(_xlfn.XLOOKUP(1,  ('Drop off'!$A$6:$A$14 = $C21) * 1,  _xlfn.XLOOKUP(1,  ('Drop off'!$B$5:$I$5 = H$2) * ('Drop off'!$B$4:$I$4 = $S$2), 'Drop off'!$B$6:$I$14)) * $S$1, "-")</f>
        <v>37800</v>
      </c>
      <c r="I21" s="150" cm="1">
        <f t="array" aca="1" ref="I21" ca="1">IFERROR(_xlfn.XLOOKUP(1,  ('ж.д.'!$A$6:$A$14 = $D21) * 1,  _xlfn.XLOOKUP(1,  ('ж.д.'!$B$5:$M$5 = I$2) * ('ж.д.'!$B$4:$M$4 = $S$2), 'ж.д.'!$B$6:$M$14)), "-")</f>
        <v>122400</v>
      </c>
      <c r="J21" s="150" cm="1">
        <f t="array" aca="1" ref="J21" ca="1">IFERROR(_xlfn.XLOOKUP(1,  ('ж.д.'!$A$6:$A$14 = $D21) * 1,  _xlfn.XLOOKUP(1,  ('ж.д.'!$B$5:$M$5 = J$2) * ('ж.д.'!$B$4:$M$4 = $S$2), 'ж.д.'!$B$6:$M$14)), "-")</f>
        <v>139800</v>
      </c>
      <c r="K21" s="150" cm="1">
        <f t="array" aca="1" ref="K21" ca="1">IFERROR(_xlfn.XLOOKUP(1,  ('ж.д.'!$A$6:$A$14 = $D21) * 1,  _xlfn.XLOOKUP(1,  ('ж.д.'!$B$5:$M$5 = K$2) * ('ж.д.'!$B$4:$M$4 = $S$2), 'ж.д.'!$B$6:$M$14)), "-")</f>
        <v>224600</v>
      </c>
      <c r="L21" s="150" cm="1">
        <f t="array" aca="1" ref="L21" ca="1">IF(ISNUMBER(SEARCH("Транс",$C21)),_xlfn.XLOOKUP(1,('Фрахт Транс'!$A$5:$A$10=$D21)*1,_xlfn.XLOOKUP(1,('Фрахт Транс'!$B$3:$M$3 = $S$2)*('Фрахт Транс'!$B$4:$M$4=L$2),'Фрахт Транс'!$B$5:$M$10)),SUM($E21, $G21, $I21, $O21))</f>
        <v>465994</v>
      </c>
      <c r="M21" s="150" cm="1">
        <f t="array" aca="1" ref="M21" ca="1">IF(ISNUMBER(SEARCH("Транс",$C21)),_xlfn.XLOOKUP(1,('Фрахт Транс'!$A$5:$A$10=$D21)*1,_xlfn.XLOOKUP(1,('Фрахт Транс'!$B$3:$M$3=$S$2)*('Фрахт Транс'!$B$4:$M$4=M$2),'Фрахт Транс'!$B$5:$M$10)),SUM($E21, $G21, $J21, $O21))</f>
        <v>483394</v>
      </c>
      <c r="N21" s="150" cm="1">
        <f t="array" aca="1" ref="N21" ca="1">IF(ISNUMBER(SEARCH("Транс",$C21)),_xlfn.XLOOKUP(1,('Фрахт Транс'!$A$5:$A$10=$D21)*1,_xlfn.XLOOKUP(1,('Фрахт Транс'!$B$3:$M$3=$S$2)*('Фрахт Транс'!$B$4:$M$4=N$2),'Фрахт Транс'!$B$5:$M$10)),SUM($F21, $H21, $K21, $P21))</f>
        <v>741701</v>
      </c>
      <c r="O21" s="150" cm="1">
        <f t="array" aca="1" ref="O21" ca="1">IFERROR(_xlfn.XLOOKUP(1,  (Охрана!$A$6:$A$14 = $D21) * 1,  _xlfn.XLOOKUP(1,  (Охрана!$B$5:$M$5 = O$2) * (Охрана!$B$4:$M$4 = $S$2), Охрана!$B$6:$M$14)), "-")</f>
        <v>3394</v>
      </c>
      <c r="P21" s="195" cm="1">
        <f t="array" aca="1" ref="P21" ca="1">IFERROR(_xlfn.XLOOKUP(1,  (Охрана!$A$6:$A$14 = $D21) * 1,  _xlfn.XLOOKUP(1,  (Охрана!$B$5:$M$5 = P$2) * (Охрана!$B$4:$M$4 = $S$2), Охрана!$B$6:$M$14)), "-")</f>
        <v>6801</v>
      </c>
      <c r="Q21" s="286"/>
      <c r="R21" s="4"/>
      <c r="S21" s="4"/>
    </row>
    <row r="22" spans="1:30" ht="15.75" customHeight="1" thickBot="1" x14ac:dyDescent="0.3">
      <c r="A22" s="214" t="s">
        <v>14</v>
      </c>
      <c r="B22" s="291"/>
      <c r="C22" s="41" t="s">
        <v>35</v>
      </c>
      <c r="D22" s="40" t="s">
        <v>34</v>
      </c>
      <c r="E22" s="170" cm="1">
        <f t="array" ref="E22">IFERROR(_xlfn.XLOOKUP(1, (Фрахт!$A$5:$A$80 = $A22)* (Фрахт!$B$5:$B$80 = $C22) * (Фрахт!$C$5:$C$80 =$D22),  _xlfn.XLOOKUP(1,  (Фрахт!$D$4:$E$4 = E$2) * 1, Фрахт!$D$5:$E$80)) *  $S$1, "-")</f>
        <v>283500</v>
      </c>
      <c r="F22" s="150" cm="1">
        <f t="array" ref="F22">IFERROR(_xlfn.XLOOKUP(1, (Фрахт!$A$5:$A$80 = $A22)* (Фрахт!$B$5:$B$80 = $C22) * (Фрахт!$C$5:$C$80 =$D22),  _xlfn.XLOOKUP(1,  (Фрахт!$D$4:$E$4 = F$2) * 1, Фрахт!$D$5:$E$80)) *  $S$1, "-")</f>
        <v>472500</v>
      </c>
      <c r="G22" s="150" cm="1">
        <f t="array" aca="1" ref="G22" ca="1">IFERROR(_xlfn.XLOOKUP(1,  ('Drop off'!$A$6:$A$14 = $C22) * 1,  _xlfn.XLOOKUP(1,  ('Drop off'!$B$5:$I$5 = G$2) * ('Drop off'!$B$4:$I$4 = $S$2), 'Drop off'!$B$6:$I$14)) * $S$1, "-")</f>
        <v>56700</v>
      </c>
      <c r="H22" s="150" cm="1">
        <f t="array" aca="1" ref="H22" ca="1">IFERROR(_xlfn.XLOOKUP(1,  ('Drop off'!$A$6:$A$14 = $C22) * 1,  _xlfn.XLOOKUP(1,  ('Drop off'!$B$5:$I$5 = H$2) * ('Drop off'!$B$4:$I$4 = $S$2), 'Drop off'!$B$6:$I$14)) * $S$1, "-")</f>
        <v>37800</v>
      </c>
      <c r="I22" s="150" cm="1">
        <f t="array" aca="1" ref="I22" ca="1">IFERROR(_xlfn.XLOOKUP(1,  ('ж.д.'!$A$6:$A$14 = $D22) * 1,  _xlfn.XLOOKUP(1,  ('ж.д.'!$B$5:$M$5 = I$2) * ('ж.д.'!$B$4:$M$4 = $S$2), 'ж.д.'!$B$6:$M$14)), "-")</f>
        <v>134400</v>
      </c>
      <c r="J22" s="150" cm="1">
        <f t="array" aca="1" ref="J22" ca="1">IFERROR(_xlfn.XLOOKUP(1,  ('ж.д.'!$A$6:$A$14 = $D22) * 1,  _xlfn.XLOOKUP(1,  ('ж.д.'!$B$5:$M$5 = J$2) * ('ж.д.'!$B$4:$M$4 = $S$2), 'ж.д.'!$B$6:$M$14)), "-")</f>
        <v>149400</v>
      </c>
      <c r="K22" s="150" cm="1">
        <f t="array" aca="1" ref="K22" ca="1">IFERROR(_xlfn.XLOOKUP(1,  ('ж.д.'!$A$6:$A$14 = $D22) * 1,  _xlfn.XLOOKUP(1,  ('ж.д.'!$B$5:$M$5 = K$2) * ('ж.д.'!$B$4:$M$4 = $S$2), 'ж.д.'!$B$6:$M$14)), "-")</f>
        <v>235000</v>
      </c>
      <c r="L22" s="150" cm="1">
        <f t="array" aca="1" ref="L22" ca="1">IF(ISNUMBER(SEARCH("Транс",$C22)),_xlfn.XLOOKUP(1,('Фрахт Транс'!$A$5:$A$10=$D22)*1,_xlfn.XLOOKUP(1,('Фрахт Транс'!$B$3:$M$3 = $S$2)*('Фрахт Транс'!$B$4:$M$4=L$2),'Фрахт Транс'!$B$5:$M$10)),SUM($E22, $G22, $I22, $O22))</f>
        <v>477994</v>
      </c>
      <c r="M22" s="150" cm="1">
        <f t="array" aca="1" ref="M22" ca="1">IF(ISNUMBER(SEARCH("Транс",$C22)),_xlfn.XLOOKUP(1,('Фрахт Транс'!$A$5:$A$10=$D22)*1,_xlfn.XLOOKUP(1,('Фрахт Транс'!$B$3:$M$3=$S$2)*('Фрахт Транс'!$B$4:$M$4=M$2),'Фрахт Транс'!$B$5:$M$10)),SUM($E22, $G22, $J22, $O22))</f>
        <v>492994</v>
      </c>
      <c r="N22" s="150" cm="1">
        <f t="array" aca="1" ref="N22" ca="1">IF(ISNUMBER(SEARCH("Транс",$C22)),_xlfn.XLOOKUP(1,('Фрахт Транс'!$A$5:$A$10=$D22)*1,_xlfn.XLOOKUP(1,('Фрахт Транс'!$B$3:$M$3=$S$2)*('Фрахт Транс'!$B$4:$M$4=N$2),'Фрахт Транс'!$B$5:$M$10)),SUM($F22, $H22, $K22, $P22))</f>
        <v>752101</v>
      </c>
      <c r="O22" s="150" cm="1">
        <f t="array" aca="1" ref="O22" ca="1">IFERROR(_xlfn.XLOOKUP(1,  (Охрана!$A$6:$A$14 = $D22) * 1,  _xlfn.XLOOKUP(1,  (Охрана!$B$5:$M$5 = O$2) * (Охрана!$B$4:$M$4 = $S$2), Охрана!$B$6:$M$14)), "-")</f>
        <v>3394</v>
      </c>
      <c r="P22" s="195" cm="1">
        <f t="array" aca="1" ref="P22" ca="1">IFERROR(_xlfn.XLOOKUP(1,  (Охрана!$A$6:$A$14 = $D22) * 1,  _xlfn.XLOOKUP(1,  (Охрана!$B$5:$M$5 = P$2) * (Охрана!$B$4:$M$4 = $S$2), Охрана!$B$6:$M$14)), "-")</f>
        <v>6801</v>
      </c>
      <c r="Q22" s="286"/>
      <c r="R22" s="4"/>
      <c r="S22" s="4"/>
    </row>
    <row r="23" spans="1:30" ht="16.5" customHeight="1" thickBot="1" x14ac:dyDescent="0.3">
      <c r="A23" s="214" t="s">
        <v>14</v>
      </c>
      <c r="B23" s="291"/>
      <c r="C23" s="41" t="s">
        <v>35</v>
      </c>
      <c r="D23" s="40" t="s">
        <v>10</v>
      </c>
      <c r="E23" s="170" cm="1">
        <f t="array" ref="E23">IFERROR(_xlfn.XLOOKUP(1, (Фрахт!$A$5:$A$80 = $A23)* (Фрахт!$B$5:$B$80 = $C23) * (Фрахт!$C$5:$C$80 =$D23),  _xlfn.XLOOKUP(1,  (Фрахт!$D$4:$E$4 = E$2) * 1, Фрахт!$D$5:$E$80)) *  $S$1, "-")</f>
        <v>283500</v>
      </c>
      <c r="F23" s="150" cm="1">
        <f t="array" ref="F23">IFERROR(_xlfn.XLOOKUP(1, (Фрахт!$A$5:$A$80 = $A23)* (Фрахт!$B$5:$B$80 = $C23) * (Фрахт!$C$5:$C$80 =$D23),  _xlfn.XLOOKUP(1,  (Фрахт!$D$4:$E$4 = F$2) * 1, Фрахт!$D$5:$E$80)) *  $S$1, "-")</f>
        <v>472500</v>
      </c>
      <c r="G23" s="150" cm="1">
        <f t="array" aca="1" ref="G23" ca="1">IFERROR(_xlfn.XLOOKUP(1,  ('Drop off'!$A$6:$A$14 = $C23) * 1,  _xlfn.XLOOKUP(1,  ('Drop off'!$B$5:$I$5 = G$2) * ('Drop off'!$B$4:$I$4 = $S$2), 'Drop off'!$B$6:$I$14)) * $S$1, "-")</f>
        <v>56700</v>
      </c>
      <c r="H23" s="150" cm="1">
        <f t="array" aca="1" ref="H23" ca="1">IFERROR(_xlfn.XLOOKUP(1,  ('Drop off'!$A$6:$A$14 = $C23) * 1,  _xlfn.XLOOKUP(1,  ('Drop off'!$B$5:$I$5 = H$2) * ('Drop off'!$B$4:$I$4 = $S$2), 'Drop off'!$B$6:$I$14)) * $S$1, "-")</f>
        <v>37800</v>
      </c>
      <c r="I23" s="150" cm="1">
        <f t="array" aca="1" ref="I23" ca="1">IFERROR(_xlfn.XLOOKUP(1,  ('ж.д.'!$A$6:$A$14 = $D23) * 1,  _xlfn.XLOOKUP(1,  ('ж.д.'!$B$5:$M$5 = I$2) * ('ж.д.'!$B$4:$M$4 = $S$2), 'ж.д.'!$B$6:$M$14)), "-")</f>
        <v>141000</v>
      </c>
      <c r="J23" s="150" cm="1">
        <f t="array" aca="1" ref="J23" ca="1">IFERROR(_xlfn.XLOOKUP(1,  ('ж.д.'!$A$6:$A$14 = $D23) * 1,  _xlfn.XLOOKUP(1,  ('ж.д.'!$B$5:$M$5 = J$2) * ('ж.д.'!$B$4:$M$4 = $S$2), 'ж.д.'!$B$6:$M$14)), "-")</f>
        <v>156600</v>
      </c>
      <c r="K23" s="150" cm="1">
        <f t="array" aca="1" ref="K23" ca="1">IFERROR(_xlfn.XLOOKUP(1,  ('ж.д.'!$A$6:$A$14 = $D23) * 1,  _xlfn.XLOOKUP(1,  ('ж.д.'!$B$5:$M$5 = K$2) * ('ж.д.'!$B$4:$M$4 = $S$2), 'ж.д.'!$B$6:$M$14)), "-")</f>
        <v>261000</v>
      </c>
      <c r="L23" s="150" cm="1">
        <f t="array" aca="1" ref="L23" ca="1">IF(ISNUMBER(SEARCH("Транс",$C23)),_xlfn.XLOOKUP(1,('Фрахт Транс'!$A$5:$A$10=$D23)*1,_xlfn.XLOOKUP(1,('Фрахт Транс'!$B$3:$M$3 = $S$2)*('Фрахт Транс'!$B$4:$M$4=L$2),'Фрахт Транс'!$B$5:$M$10)),SUM($E23, $G23, $I23, $O23))</f>
        <v>485022</v>
      </c>
      <c r="M23" s="150" cm="1">
        <f t="array" aca="1" ref="M23" ca="1">IF(ISNUMBER(SEARCH("Транс",$C23)),_xlfn.XLOOKUP(1,('Фрахт Транс'!$A$5:$A$10=$D23)*1,_xlfn.XLOOKUP(1,('Фрахт Транс'!$B$3:$M$3=$S$2)*('Фрахт Транс'!$B$4:$M$4=M$2),'Фрахт Транс'!$B$5:$M$10)),SUM($E23, $G23, $J23, $O23))</f>
        <v>500622</v>
      </c>
      <c r="N23" s="150" cm="1">
        <f t="array" aca="1" ref="N23" ca="1">IF(ISNUMBER(SEARCH("Транс",$C23)),_xlfn.XLOOKUP(1,('Фрахт Транс'!$A$5:$A$10=$D23)*1,_xlfn.XLOOKUP(1,('Фрахт Транс'!$B$3:$M$3=$S$2)*('Фрахт Транс'!$B$4:$M$4=N$2),'Фрахт Транс'!$B$5:$M$10)),SUM($F23, $H23, $K23, $P23))</f>
        <v>778210</v>
      </c>
      <c r="O23" s="150" cm="1">
        <f t="array" aca="1" ref="O23" ca="1">IFERROR(_xlfn.XLOOKUP(1,  (Охрана!$A$6:$A$14 = $D23) * 1,  _xlfn.XLOOKUP(1,  (Охрана!$B$5:$M$5 = O$2) * (Охрана!$B$4:$M$4 = $S$2), Охрана!$B$6:$M$14)), "-")</f>
        <v>3822</v>
      </c>
      <c r="P23" s="195" cm="1">
        <f t="array" aca="1" ref="P23" ca="1">IFERROR(_xlfn.XLOOKUP(1,  (Охрана!$A$6:$A$14 = $D23) * 1,  _xlfn.XLOOKUP(1,  (Охрана!$B$5:$M$5 = P$2) * (Охрана!$B$4:$M$4 = $S$2), Охрана!$B$6:$M$14)), "-")</f>
        <v>6910</v>
      </c>
      <c r="Q23" s="286"/>
      <c r="S23" s="4"/>
    </row>
    <row r="24" spans="1:30" ht="16.5" customHeight="1" thickBot="1" x14ac:dyDescent="0.3">
      <c r="A24" s="214" t="s">
        <v>14</v>
      </c>
      <c r="B24" s="291"/>
      <c r="C24" s="41" t="s">
        <v>35</v>
      </c>
      <c r="D24" s="40" t="s">
        <v>7</v>
      </c>
      <c r="E24" s="170" cm="1">
        <f t="array" ref="E24">IFERROR(_xlfn.XLOOKUP(1, (Фрахт!$A$5:$A$80 = $A24)* (Фрахт!$B$5:$B$80 = $C24) * (Фрахт!$C$5:$C$80 =$D24),  _xlfn.XLOOKUP(1,  (Фрахт!$D$4:$E$4 = E$2) * 1, Фрахт!$D$5:$E$80)) *  $S$1, "-")</f>
        <v>283500</v>
      </c>
      <c r="F24" s="150" cm="1">
        <f t="array" ref="F24">IFERROR(_xlfn.XLOOKUP(1, (Фрахт!$A$5:$A$80 = $A24)* (Фрахт!$B$5:$B$80 = $C24) * (Фрахт!$C$5:$C$80 =$D24),  _xlfn.XLOOKUP(1,  (Фрахт!$D$4:$E$4 = F$2) * 1, Фрахт!$D$5:$E$80)) *  $S$1, "-")</f>
        <v>472500</v>
      </c>
      <c r="G24" s="150" cm="1">
        <f t="array" aca="1" ref="G24" ca="1">IFERROR(_xlfn.XLOOKUP(1,  ('Drop off'!$A$6:$A$14 = $C24) * 1,  _xlfn.XLOOKUP(1,  ('Drop off'!$B$5:$I$5 = G$2) * ('Drop off'!$B$4:$I$4 = $S$2), 'Drop off'!$B$6:$I$14)) * $S$1, "-")</f>
        <v>56700</v>
      </c>
      <c r="H24" s="150" cm="1">
        <f t="array" aca="1" ref="H24" ca="1">IFERROR(_xlfn.XLOOKUP(1,  ('Drop off'!$A$6:$A$14 = $C24) * 1,  _xlfn.XLOOKUP(1,  ('Drop off'!$B$5:$I$5 = H$2) * ('Drop off'!$B$4:$I$4 = $S$2), 'Drop off'!$B$6:$I$14)) * $S$1, "-")</f>
        <v>37800</v>
      </c>
      <c r="I24" s="150" cm="1">
        <f t="array" aca="1" ref="I24" ca="1">IFERROR(_xlfn.XLOOKUP(1,  ('ж.д.'!$A$6:$A$14 = $D24) * 1,  _xlfn.XLOOKUP(1,  ('ж.д.'!$B$5:$M$5 = I$2) * ('ж.д.'!$B$4:$M$4 = $S$2), 'ж.д.'!$B$6:$M$14)), "-")</f>
        <v>125000</v>
      </c>
      <c r="J24" s="150" cm="1">
        <f t="array" aca="1" ref="J24" ca="1">IFERROR(_xlfn.XLOOKUP(1,  ('ж.д.'!$A$6:$A$14 = $D24) * 1,  _xlfn.XLOOKUP(1,  ('ж.д.'!$B$5:$M$5 = J$2) * ('ж.д.'!$B$4:$M$4 = $S$2), 'ж.д.'!$B$6:$M$14)), "-")</f>
        <v>140000</v>
      </c>
      <c r="K24" s="150" cm="1">
        <f t="array" aca="1" ref="K24" ca="1">IFERROR(_xlfn.XLOOKUP(1,  ('ж.д.'!$A$6:$A$14 = $D24) * 1,  _xlfn.XLOOKUP(1,  ('ж.д.'!$B$5:$M$5 = K$2) * ('ж.д.'!$B$4:$M$4 = $S$2), 'ж.д.'!$B$6:$M$14)), "-")</f>
        <v>227000</v>
      </c>
      <c r="L24" s="150" cm="1">
        <f t="array" aca="1" ref="L24" ca="1">IF(ISNUMBER(SEARCH("Транс",$C24)),_xlfn.XLOOKUP(1,('Фрахт Транс'!$A$5:$A$10=$D24)*1,_xlfn.XLOOKUP(1,('Фрахт Транс'!$B$3:$M$3 = $S$2)*('Фрахт Транс'!$B$4:$M$4=L$2),'Фрахт Транс'!$B$5:$M$10)),SUM($E24, $G24, $I24, $O24))</f>
        <v>469300</v>
      </c>
      <c r="M24" s="150" cm="1">
        <f t="array" aca="1" ref="M24" ca="1">IF(ISNUMBER(SEARCH("Транс",$C24)),_xlfn.XLOOKUP(1,('Фрахт Транс'!$A$5:$A$10=$D24)*1,_xlfn.XLOOKUP(1,('Фрахт Транс'!$B$3:$M$3=$S$2)*('Фрахт Транс'!$B$4:$M$4=M$2),'Фрахт Транс'!$B$5:$M$10)),SUM($E24, $G24, $J24, $O24))</f>
        <v>484300</v>
      </c>
      <c r="N24" s="150" cm="1">
        <f t="array" aca="1" ref="N24" ca="1">IF(ISNUMBER(SEARCH("Транс",$C24)),_xlfn.XLOOKUP(1,('Фрахт Транс'!$A$5:$A$10=$D24)*1,_xlfn.XLOOKUP(1,('Фрахт Транс'!$B$3:$M$3=$S$2)*('Фрахт Транс'!$B$4:$M$4=N$2),'Фрахт Транс'!$B$5:$M$10)),SUM($F24, $H24, $K24, $P24))</f>
        <v>745500</v>
      </c>
      <c r="O24" s="150" cm="1">
        <f t="array" aca="1" ref="O24" ca="1">IFERROR(_xlfn.XLOOKUP(1,  (Охрана!$A$6:$A$14 = $D24) * 1,  _xlfn.XLOOKUP(1,  (Охрана!$B$5:$M$5 = O$2) * (Охрана!$B$4:$M$4 = $S$2), Охрана!$B$6:$M$14)), "-")</f>
        <v>4100</v>
      </c>
      <c r="P24" s="195" cm="1">
        <f t="array" aca="1" ref="P24" ca="1">IFERROR(_xlfn.XLOOKUP(1,  (Охрана!$A$6:$A$14 = $D24) * 1,  _xlfn.XLOOKUP(1,  (Охрана!$B$5:$M$5 = P$2) * (Охрана!$B$4:$M$4 = $S$2), Охрана!$B$6:$M$14)), "-")</f>
        <v>8200</v>
      </c>
      <c r="Q24" s="286"/>
      <c r="R24" s="4"/>
      <c r="S24" s="4"/>
    </row>
    <row r="25" spans="1:30" ht="16.5" customHeight="1" thickBot="1" x14ac:dyDescent="0.3">
      <c r="A25" s="214" t="s">
        <v>14</v>
      </c>
      <c r="B25" s="291"/>
      <c r="C25" s="54" t="s">
        <v>40</v>
      </c>
      <c r="D25" s="54" t="s">
        <v>21</v>
      </c>
      <c r="E25" s="177" cm="1">
        <f t="array" ref="E25">IFERROR(_xlfn.XLOOKUP(1, (Фрахт!$A$5:$A$80 = $A25)* (Фрахт!$B$5:$B$80 = $C25) * (Фрахт!$C$5:$C$80 =$D25),  _xlfn.XLOOKUP(1,  (Фрахт!$D$4:$E$4 = E$2) * 1, Фрахт!$D$5:$E$80)) *  $S$1, "-")</f>
        <v>245160</v>
      </c>
      <c r="F25" s="158" cm="1">
        <f t="array" ref="F25">IFERROR(_xlfn.XLOOKUP(1, (Фрахт!$A$5:$A$80 = $A25)* (Фрахт!$B$5:$B$80 = $C25) * (Фрахт!$C$5:$C$80 =$D25),  _xlfn.XLOOKUP(1,  (Фрахт!$D$4:$E$4 = F$2) * 1, Фрахт!$D$5:$E$80)) *  $S$1, "-")</f>
        <v>412320</v>
      </c>
      <c r="G25" s="158" t="str" cm="1">
        <f t="array" aca="1" ref="G25" ca="1">IFERROR(_xlfn.XLOOKUP(1,  ('Drop off'!$A$6:$A$14 = $C25) * 1,  _xlfn.XLOOKUP(1,  ('Drop off'!$B$5:$I$5 = G$2) * ('Drop off'!$B$4:$I$4 = $S$2), 'Drop off'!$B$6:$I$14)) * $S$1, "-")</f>
        <v>-</v>
      </c>
      <c r="H25" s="158" t="str" cm="1">
        <f t="array" aca="1" ref="H25" ca="1">IFERROR(_xlfn.XLOOKUP(1,  ('Drop off'!$A$6:$A$14 = $C25) * 1,  _xlfn.XLOOKUP(1,  ('Drop off'!$B$5:$I$5 = H$2) * ('Drop off'!$B$4:$I$4 = $S$2), 'Drop off'!$B$6:$I$14)) * $S$1, "-")</f>
        <v>-</v>
      </c>
      <c r="I25" s="158" cm="1">
        <f t="array" aca="1" ref="I25" ca="1">IFERROR(_xlfn.XLOOKUP(1,  ('ж.д.'!$A$6:$A$14 = $D25) * 1,  _xlfn.XLOOKUP(1,  ('ж.д.'!$B$5:$M$5 = I$2) * ('ж.д.'!$B$4:$M$4 = $S$2), 'ж.д.'!$B$6:$M$14)), "-")</f>
        <v>134400</v>
      </c>
      <c r="J25" s="158" cm="1">
        <f t="array" aca="1" ref="J25" ca="1">IFERROR(_xlfn.XLOOKUP(1,  ('ж.д.'!$A$6:$A$14 = $D25) * 1,  _xlfn.XLOOKUP(1,  ('ж.д.'!$B$5:$M$5 = J$2) * ('ж.д.'!$B$4:$M$4 = $S$2), 'ж.д.'!$B$6:$M$14)), "-")</f>
        <v>149400</v>
      </c>
      <c r="K25" s="158" cm="1">
        <f t="array" aca="1" ref="K25" ca="1">IFERROR(_xlfn.XLOOKUP(1,  ('ж.д.'!$A$6:$A$14 = $D25) * 1,  _xlfn.XLOOKUP(1,  ('ж.д.'!$B$5:$M$5 = K$2) * ('ж.д.'!$B$4:$M$4 = $S$2), 'ж.д.'!$B$6:$M$14)), "-")</f>
        <v>235000</v>
      </c>
      <c r="L25" s="158" cm="1">
        <f t="array" aca="1" ref="L25" ca="1">IF(ISNUMBER(SEARCH("Транс",$C25)),_xlfn.XLOOKUP(1,('Фрахт Транс'!$A$5:$A$10=$D25)*1,_xlfn.XLOOKUP(1,('Фрахт Транс'!$B$3:$M$3 = $S$2)*('Фрахт Транс'!$B$4:$M$4=L$2),'Фрахт Транс'!$B$5:$M$10)),SUM($E25, $G25, $I25, $O25))</f>
        <v>382954</v>
      </c>
      <c r="M25" s="158" cm="1">
        <f t="array" aca="1" ref="M25" ca="1">IF(ISNUMBER(SEARCH("Транс",$C25)),_xlfn.XLOOKUP(1,('Фрахт Транс'!$A$5:$A$10=$D25)*1,_xlfn.XLOOKUP(1,('Фрахт Транс'!$B$3:$M$3=$S$2)*('Фрахт Транс'!$B$4:$M$4=M$2),'Фрахт Транс'!$B$5:$M$10)),SUM($E25, $G25, $J25, $O25))</f>
        <v>397954</v>
      </c>
      <c r="N25" s="158" cm="1">
        <f t="array" aca="1" ref="N25" ca="1">IF(ISNUMBER(SEARCH("Транс",$C25)),_xlfn.XLOOKUP(1,('Фрахт Транс'!$A$5:$A$10=$D25)*1,_xlfn.XLOOKUP(1,('Фрахт Транс'!$B$3:$M$3=$S$2)*('Фрахт Транс'!$B$4:$M$4=N$2),'Фрахт Транс'!$B$5:$M$10)),SUM($F25, $H25, $K25, $P25))</f>
        <v>654121</v>
      </c>
      <c r="O25" s="158" cm="1">
        <f t="array" aca="1" ref="O25" ca="1">IFERROR(_xlfn.XLOOKUP(1,  (Охрана!$A$6:$A$14 = $D25) * 1,  _xlfn.XLOOKUP(1,  (Охрана!$B$5:$M$5 = O$2) * (Охрана!$B$4:$M$4 = $S$2), Охрана!$B$6:$M$14)), "-")</f>
        <v>3394</v>
      </c>
      <c r="P25" s="204" cm="1">
        <f t="array" aca="1" ref="P25" ca="1">IFERROR(_xlfn.XLOOKUP(1,  (Охрана!$A$6:$A$14 = $D25) * 1,  _xlfn.XLOOKUP(1,  (Охрана!$B$5:$M$5 = P$2) * (Охрана!$B$4:$M$4 = $S$2), Охрана!$B$6:$M$14)), "-")</f>
        <v>6801</v>
      </c>
      <c r="Q25" s="38"/>
      <c r="R25" s="71"/>
      <c r="S25" s="4"/>
    </row>
    <row r="26" spans="1:30" ht="16.5" customHeight="1" thickBot="1" x14ac:dyDescent="0.3">
      <c r="A26" s="214" t="s">
        <v>14</v>
      </c>
      <c r="B26" s="291"/>
      <c r="C26" s="44" t="s">
        <v>37</v>
      </c>
      <c r="D26" s="53" t="s">
        <v>11</v>
      </c>
      <c r="E26" s="178" cm="1">
        <f t="array" ref="E26">IFERROR(_xlfn.XLOOKUP(1, (Фрахт!$A$5:$A$80 = $A26)* (Фрахт!$B$5:$B$80 = $C26) * (Фрахт!$C$5:$C$80 =$D26),  _xlfn.XLOOKUP(1,  (Фрахт!$D$4:$E$4 = E$2) * 1, Фрахт!$D$5:$E$80)) *  $S$1, "-")</f>
        <v>216000</v>
      </c>
      <c r="F26" s="159" cm="1">
        <f t="array" ref="F26">IFERROR(_xlfn.XLOOKUP(1, (Фрахт!$A$5:$A$80 = $A26)* (Фрахт!$B$5:$B$80 = $C26) * (Фрахт!$C$5:$C$80 =$D26),  _xlfn.XLOOKUP(1,  (Фрахт!$D$4:$E$4 = F$2) * 1, Фрахт!$D$5:$E$80)) *  $S$1, "-")</f>
        <v>360000</v>
      </c>
      <c r="G26" s="159" cm="1">
        <f t="array" aca="1" ref="G26" ca="1">IFERROR(_xlfn.XLOOKUP(1,  ('Drop off'!$A$6:$A$14 = $C26) * 1,  _xlfn.XLOOKUP(1,  ('Drop off'!$B$5:$I$5 = G$2) * ('Drop off'!$B$4:$I$4 = $S$2), 'Drop off'!$B$6:$I$14)) * $S$1, "-")</f>
        <v>0</v>
      </c>
      <c r="H26" s="159" cm="1">
        <f t="array" aca="1" ref="H26" ca="1">IFERROR(_xlfn.XLOOKUP(1,  ('Drop off'!$A$6:$A$14 = $C26) * 1,  _xlfn.XLOOKUP(1,  ('Drop off'!$B$5:$I$5 = H$2) * ('Drop off'!$B$4:$I$4 = $S$2), 'Drop off'!$B$6:$I$14)) * $S$1, "-")</f>
        <v>0</v>
      </c>
      <c r="I26" s="159" cm="1">
        <f t="array" aca="1" ref="I26" ca="1">IFERROR(_xlfn.XLOOKUP(1,  ('ж.д.'!$A$6:$A$14 = $D26) * 1,  _xlfn.XLOOKUP(1,  ('ж.д.'!$B$5:$M$5 = I$2) * ('ж.д.'!$B$4:$M$4 = $S$2), 'ж.д.'!$B$6:$M$14)), "-")</f>
        <v>122400</v>
      </c>
      <c r="J26" s="159" cm="1">
        <f t="array" aca="1" ref="J26" ca="1">IFERROR(_xlfn.XLOOKUP(1,  ('ж.д.'!$A$6:$A$14 = $D26) * 1,  _xlfn.XLOOKUP(1,  ('ж.д.'!$B$5:$M$5 = J$2) * ('ж.д.'!$B$4:$M$4 = $S$2), 'ж.д.'!$B$6:$M$14)), "-")</f>
        <v>139800</v>
      </c>
      <c r="K26" s="159" cm="1">
        <f t="array" aca="1" ref="K26" ca="1">IFERROR(_xlfn.XLOOKUP(1,  ('ж.д.'!$A$6:$A$14 = $D26) * 1,  _xlfn.XLOOKUP(1,  ('ж.д.'!$B$5:$M$5 = K$2) * ('ж.д.'!$B$4:$M$4 = $S$2), 'ж.д.'!$B$6:$M$14)), "-")</f>
        <v>224600</v>
      </c>
      <c r="L26" s="159" cm="1">
        <f t="array" aca="1" ref="L26" ca="1">IF(ISNUMBER(SEARCH("Транс",$C26)),_xlfn.XLOOKUP(1,('Фрахт Транс'!$A$5:$A$10=$D26)*1,_xlfn.XLOOKUP(1,('Фрахт Транс'!$B$3:$M$3 = $S$2)*('Фрахт Транс'!$B$4:$M$4=L$2),'Фрахт Транс'!$B$5:$M$10)),SUM($E26, $G26, $I26, $O26))</f>
        <v>341794</v>
      </c>
      <c r="M26" s="159" cm="1">
        <f t="array" aca="1" ref="M26" ca="1">IF(ISNUMBER(SEARCH("Транс",$C26)),_xlfn.XLOOKUP(1,('Фрахт Транс'!$A$5:$A$10=$D26)*1,_xlfn.XLOOKUP(1,('Фрахт Транс'!$B$3:$M$3=$S$2)*('Фрахт Транс'!$B$4:$M$4=M$2),'Фрахт Транс'!$B$5:$M$10)),SUM($E26, $G26, $J26, $O26))</f>
        <v>359194</v>
      </c>
      <c r="N26" s="159" cm="1">
        <f t="array" aca="1" ref="N26" ca="1">IF(ISNUMBER(SEARCH("Транс",$C26)),_xlfn.XLOOKUP(1,('Фрахт Транс'!$A$5:$A$10=$D26)*1,_xlfn.XLOOKUP(1,('Фрахт Транс'!$B$3:$M$3=$S$2)*('Фрахт Транс'!$B$4:$M$4=N$2),'Фрахт Транс'!$B$5:$M$10)),SUM($F26, $H26, $K26, $P26))</f>
        <v>591401</v>
      </c>
      <c r="O26" s="159" cm="1">
        <f t="array" aca="1" ref="O26" ca="1">IFERROR(_xlfn.XLOOKUP(1,  (Охрана!$A$6:$A$14 = $D26) * 1,  _xlfn.XLOOKUP(1,  (Охрана!$B$5:$M$5 = O$2) * (Охрана!$B$4:$M$4 = $S$2), Охрана!$B$6:$M$14)), "-")</f>
        <v>3394</v>
      </c>
      <c r="P26" s="205" cm="1">
        <f t="array" aca="1" ref="P26" ca="1">IFERROR(_xlfn.XLOOKUP(1,  (Охрана!$A$6:$A$14 = $D26) * 1,  _xlfn.XLOOKUP(1,  (Охрана!$B$5:$M$5 = P$2) * (Охрана!$B$4:$M$4 = $S$2), Охрана!$B$6:$M$14)), "-")</f>
        <v>6801</v>
      </c>
      <c r="Q26" s="282"/>
      <c r="R26" s="283"/>
      <c r="S26" s="4"/>
    </row>
    <row r="27" spans="1:30" ht="16.5" customHeight="1" thickBot="1" x14ac:dyDescent="0.3">
      <c r="A27" s="214" t="s">
        <v>14</v>
      </c>
      <c r="B27" s="291"/>
      <c r="C27" s="58" t="s">
        <v>52</v>
      </c>
      <c r="D27" s="53" t="s">
        <v>11</v>
      </c>
      <c r="E27" s="179" t="str" cm="1">
        <f t="array" ref="E27">IFERROR(_xlfn.XLOOKUP(1, (Фрахт!$A$5:$A$80 = $A27)* (Фрахт!$B$5:$B$80 = $C27) * (Фрахт!$C$5:$C$80 =$D27),  _xlfn.XLOOKUP(1,  (Фрахт!$D$4:$E$4 = E$2) * 1, Фрахт!$D$5:$E$80)) *  $S$1, "-")</f>
        <v>-</v>
      </c>
      <c r="F27" s="160" t="str" cm="1">
        <f t="array" ref="F27">IFERROR(_xlfn.XLOOKUP(1, (Фрахт!$A$5:$A$80 = $A27)* (Фрахт!$B$5:$B$80 = $C27) * (Фрахт!$C$5:$C$80 =$D27),  _xlfn.XLOOKUP(1,  (Фрахт!$D$4:$E$4 = F$2) * 1, Фрахт!$D$5:$E$80)) *  $S$1, "-")</f>
        <v>-</v>
      </c>
      <c r="G27" s="160" cm="1">
        <f t="array" aca="1" ref="G27" ca="1">IFERROR(_xlfn.XLOOKUP(1,  ('Drop off'!$A$6:$A$14 = $C27) * 1,  _xlfn.XLOOKUP(1,  ('Drop off'!$B$5:$I$5 = G$2) * ('Drop off'!$B$4:$I$4 = $S$2), 'Drop off'!$B$6:$I$14)) * $S$1, "-")</f>
        <v>0</v>
      </c>
      <c r="H27" s="160" cm="1">
        <f t="array" aca="1" ref="H27" ca="1">IFERROR(_xlfn.XLOOKUP(1,  ('Drop off'!$A$6:$A$14 = $C27) * 1,  _xlfn.XLOOKUP(1,  ('Drop off'!$B$5:$I$5 = H$2) * ('Drop off'!$B$4:$I$4 = $S$2), 'Drop off'!$B$6:$I$14)) * $S$1, "-")</f>
        <v>0</v>
      </c>
      <c r="I27" s="160" cm="1">
        <f t="array" aca="1" ref="I27" ca="1">IFERROR(_xlfn.XLOOKUP(1,  ('ж.д.'!$A$6:$A$14 = $D27) * 1,  _xlfn.XLOOKUP(1,  ('ж.д.'!$B$5:$M$5 = I$2) * ('ж.д.'!$B$4:$M$4 = $S$2), 'ж.д.'!$B$6:$M$14)), "-")</f>
        <v>122400</v>
      </c>
      <c r="J27" s="160" cm="1">
        <f t="array" aca="1" ref="J27" ca="1">IFERROR(_xlfn.XLOOKUP(1,  ('ж.д.'!$A$6:$A$14 = $D27) * 1,  _xlfn.XLOOKUP(1,  ('ж.д.'!$B$5:$M$5 = J$2) * ('ж.д.'!$B$4:$M$4 = $S$2), 'ж.д.'!$B$6:$M$14)), "-")</f>
        <v>139800</v>
      </c>
      <c r="K27" s="160" cm="1">
        <f t="array" aca="1" ref="K27" ca="1">IFERROR(_xlfn.XLOOKUP(1,  ('ж.д.'!$A$6:$A$14 = $D27) * 1,  _xlfn.XLOOKUP(1,  ('ж.д.'!$B$5:$M$5 = K$2) * ('ж.д.'!$B$4:$M$4 = $S$2), 'ж.д.'!$B$6:$M$14)), "-")</f>
        <v>224600</v>
      </c>
      <c r="L27" s="160" cm="1">
        <f t="array" aca="1" ref="L27" ca="1">IF(ISNUMBER(SEARCH("Транс",$C27)),_xlfn.XLOOKUP(1,('Фрахт Транс'!$A$5:$A$10=$D27)*1,_xlfn.XLOOKUP(1,('Фрахт Транс'!$B$3:$M$3 = $S$2)*('Фрахт Транс'!$B$4:$M$4=L$2),'Фрахт Транс'!$B$5:$M$10)),SUM($E27, $G27, $I27, $O27))</f>
        <v>125794</v>
      </c>
      <c r="M27" s="160" cm="1">
        <f t="array" aca="1" ref="M27" ca="1">IF(ISNUMBER(SEARCH("Транс",$C27)),_xlfn.XLOOKUP(1,('Фрахт Транс'!$A$5:$A$10=$D27)*1,_xlfn.XLOOKUP(1,('Фрахт Транс'!$B$3:$M$3=$S$2)*('Фрахт Транс'!$B$4:$M$4=M$2),'Фрахт Транс'!$B$5:$M$10)),SUM($E27, $G27, $J27, $O27))</f>
        <v>143194</v>
      </c>
      <c r="N27" s="160" cm="1">
        <f t="array" aca="1" ref="N27" ca="1">IF(ISNUMBER(SEARCH("Транс",$C27)),_xlfn.XLOOKUP(1,('Фрахт Транс'!$A$5:$A$10=$D27)*1,_xlfn.XLOOKUP(1,('Фрахт Транс'!$B$3:$M$3=$S$2)*('Фрахт Транс'!$B$4:$M$4=N$2),'Фрахт Транс'!$B$5:$M$10)),SUM($F27, $H27, $K27, $P27))</f>
        <v>231401</v>
      </c>
      <c r="O27" s="160" cm="1">
        <f t="array" aca="1" ref="O27" ca="1">IFERROR(_xlfn.XLOOKUP(1,  (Охрана!$A$6:$A$14 = $D27) * 1,  _xlfn.XLOOKUP(1,  (Охрана!$B$5:$M$5 = O$2) * (Охрана!$B$4:$M$4 = $S$2), Охрана!$B$6:$M$14)), "-")</f>
        <v>3394</v>
      </c>
      <c r="P27" s="206" cm="1">
        <f t="array" aca="1" ref="P27" ca="1">IFERROR(_xlfn.XLOOKUP(1,  (Охрана!$A$6:$A$14 = $D27) * 1,  _xlfn.XLOOKUP(1,  (Охрана!$B$5:$M$5 = P$2) * (Охрана!$B$4:$M$4 = $S$2), Охрана!$B$6:$M$14)), "-")</f>
        <v>6801</v>
      </c>
      <c r="Q27" s="282"/>
      <c r="R27" s="283"/>
      <c r="S27" s="4"/>
    </row>
    <row r="28" spans="1:30" ht="16.5" customHeight="1" thickBot="1" x14ac:dyDescent="0.3">
      <c r="A28" s="214" t="s">
        <v>14</v>
      </c>
      <c r="B28" s="291"/>
      <c r="C28" s="92" t="s">
        <v>51</v>
      </c>
      <c r="D28" s="70" t="s">
        <v>11</v>
      </c>
      <c r="E28" s="180" t="str" cm="1">
        <f t="array" ref="E28">IFERROR(_xlfn.XLOOKUP(1, (Фрахт!$A$5:$A$80 = $A28)* (Фрахт!$B$5:$B$80 = $C28) * (Фрахт!$C$5:$C$80 =$D28),  _xlfn.XLOOKUP(1,  (Фрахт!$D$4:$E$4 = E$2) * 1, Фрахт!$D$5:$E$80)) *  $S$1, "-")</f>
        <v>-</v>
      </c>
      <c r="F28" s="161" t="str" cm="1">
        <f t="array" ref="F28">IFERROR(_xlfn.XLOOKUP(1, (Фрахт!$A$5:$A$80 = $A28)* (Фрахт!$B$5:$B$80 = $C28) * (Фрахт!$C$5:$C$80 =$D28),  _xlfn.XLOOKUP(1,  (Фрахт!$D$4:$E$4 = F$2) * 1, Фрахт!$D$5:$E$80)) *  $S$1, "-")</f>
        <v>-</v>
      </c>
      <c r="G28" s="161" t="str" cm="1">
        <f t="array" aca="1" ref="G28" ca="1">IFERROR(_xlfn.XLOOKUP(1,  ('Drop off'!$A$6:$A$14 = $C28) * 1,  _xlfn.XLOOKUP(1,  ('Drop off'!$B$5:$I$5 = G$2) * ('Drop off'!$B$4:$I$4 = $S$2), 'Drop off'!$B$6:$I$14)) * $S$1, "-")</f>
        <v>-</v>
      </c>
      <c r="H28" s="161" t="str" cm="1">
        <f t="array" aca="1" ref="H28" ca="1">IFERROR(_xlfn.XLOOKUP(1,  ('Drop off'!$A$6:$A$14 = $C28) * 1,  _xlfn.XLOOKUP(1,  ('Drop off'!$B$5:$I$5 = H$2) * ('Drop off'!$B$4:$I$4 = $S$2), 'Drop off'!$B$6:$I$14)) * $S$1, "-")</f>
        <v>-</v>
      </c>
      <c r="I28" s="161" cm="1">
        <f t="array" aca="1" ref="I28" ca="1">IFERROR(_xlfn.XLOOKUP(1,  ('ж.д.'!$A$6:$A$14 = $D28) * 1,  _xlfn.XLOOKUP(1,  ('ж.д.'!$B$5:$M$5 = I$2) * ('ж.д.'!$B$4:$M$4 = $S$2), 'ж.д.'!$B$6:$M$14)), "-")</f>
        <v>122400</v>
      </c>
      <c r="J28" s="161" cm="1">
        <f t="array" aca="1" ref="J28" ca="1">IFERROR(_xlfn.XLOOKUP(1,  ('ж.д.'!$A$6:$A$14 = $D28) * 1,  _xlfn.XLOOKUP(1,  ('ж.д.'!$B$5:$M$5 = J$2) * ('ж.д.'!$B$4:$M$4 = $S$2), 'ж.д.'!$B$6:$M$14)), "-")</f>
        <v>139800</v>
      </c>
      <c r="K28" s="161" cm="1">
        <f t="array" aca="1" ref="K28" ca="1">IFERROR(_xlfn.XLOOKUP(1,  ('ж.д.'!$A$6:$A$14 = $D28) * 1,  _xlfn.XLOOKUP(1,  ('ж.д.'!$B$5:$M$5 = K$2) * ('ж.д.'!$B$4:$M$4 = $S$2), 'ж.д.'!$B$6:$M$14)), "-")</f>
        <v>224600</v>
      </c>
      <c r="L28" s="161" cm="1">
        <f t="array" aca="1" ref="L28" ca="1">IF(ISNUMBER(SEARCH("Транс",$C28)),_xlfn.XLOOKUP(1,('Фрахт Транс'!$A$5:$A$10=$D28)*1,_xlfn.XLOOKUP(1,('Фрахт Транс'!$B$3:$M$3 = $S$2)*('Фрахт Транс'!$B$4:$M$4=L$2),'Фрахт Транс'!$B$5:$M$10)),SUM($E28, $G28, $I28, $O28))</f>
        <v>125794</v>
      </c>
      <c r="M28" s="161" cm="1">
        <f t="array" aca="1" ref="M28" ca="1">IF(ISNUMBER(SEARCH("Транс",$C28)),_xlfn.XLOOKUP(1,('Фрахт Транс'!$A$5:$A$10=$D28)*1,_xlfn.XLOOKUP(1,('Фрахт Транс'!$B$3:$M$3=$S$2)*('Фрахт Транс'!$B$4:$M$4=M$2),'Фрахт Транс'!$B$5:$M$10)),SUM($E28, $G28, $J28, $O28))</f>
        <v>143194</v>
      </c>
      <c r="N28" s="161" cm="1">
        <f t="array" aca="1" ref="N28" ca="1">IF(ISNUMBER(SEARCH("Транс",$C28)),_xlfn.XLOOKUP(1,('Фрахт Транс'!$A$5:$A$10=$D28)*1,_xlfn.XLOOKUP(1,('Фрахт Транс'!$B$3:$M$3=$S$2)*('Фрахт Транс'!$B$4:$M$4=N$2),'Фрахт Транс'!$B$5:$M$10)),SUM($F28, $H28, $K28, $P28))</f>
        <v>231401</v>
      </c>
      <c r="O28" s="161" cm="1">
        <f t="array" aca="1" ref="O28" ca="1">IFERROR(_xlfn.XLOOKUP(1,  (Охрана!$A$6:$A$14 = $D28) * 1,  _xlfn.XLOOKUP(1,  (Охрана!$B$5:$M$5 = O$2) * (Охрана!$B$4:$M$4 = $S$2), Охрана!$B$6:$M$14)), "-")</f>
        <v>3394</v>
      </c>
      <c r="P28" s="207" cm="1">
        <f t="array" aca="1" ref="P28" ca="1">IFERROR(_xlfn.XLOOKUP(1,  (Охрана!$A$6:$A$14 = $D28) * 1,  _xlfn.XLOOKUP(1,  (Охрана!$B$5:$M$5 = P$2) * (Охрана!$B$4:$M$4 = $S$2), Охрана!$B$6:$M$14)), "-")</f>
        <v>6801</v>
      </c>
      <c r="Q28" s="38"/>
      <c r="R28" s="71"/>
      <c r="S28" s="4"/>
    </row>
    <row r="29" spans="1:30" ht="16.5" customHeight="1" thickBot="1" x14ac:dyDescent="0.3">
      <c r="A29" s="214" t="s">
        <v>14</v>
      </c>
      <c r="B29" s="292"/>
      <c r="C29" s="78" t="s">
        <v>53</v>
      </c>
      <c r="D29" s="79" t="s">
        <v>7</v>
      </c>
      <c r="E29" s="181" cm="1">
        <f t="array" ref="E29">IFERROR(_xlfn.XLOOKUP(1, (Фрахт!$A$5:$A$80 = $A29)* (Фрахт!$B$5:$B$80 = $C29) * (Фрахт!$C$5:$C$80 =$D29),  _xlfn.XLOOKUP(1,  (Фрахт!$D$4:$E$4 = E$2) * 1, Фрахт!$D$5:$E$80)) *  $S$1, "-")</f>
        <v>315000</v>
      </c>
      <c r="F29" s="162" cm="1">
        <f t="array" ref="F29">IFERROR(_xlfn.XLOOKUP(1, (Фрахт!$A$5:$A$80 = $A29)* (Фрахт!$B$5:$B$80 = $C29) * (Фрахт!$C$5:$C$80 =$D29),  _xlfn.XLOOKUP(1,  (Фрахт!$D$4:$E$4 = F$2) * 1, Фрахт!$D$5:$E$80)) *  $S$1, "-")</f>
        <v>420000</v>
      </c>
      <c r="G29" s="162" cm="1">
        <f t="array" aca="1" ref="G29" ca="1">IFERROR(_xlfn.XLOOKUP(1,  ('Drop off'!$A$6:$A$14 = $C29) * 1,  _xlfn.XLOOKUP(1,  ('Drop off'!$B$5:$I$5 = G$2) * ('Drop off'!$B$4:$I$4 = $S$2), 'Drop off'!$B$6:$I$14)) * $S$1, "-")</f>
        <v>0</v>
      </c>
      <c r="H29" s="162" cm="1">
        <f t="array" aca="1" ref="H29" ca="1">IFERROR(_xlfn.XLOOKUP(1,  ('Drop off'!$A$6:$A$14 = $C29) * 1,  _xlfn.XLOOKUP(1,  ('Drop off'!$B$5:$I$5 = H$2) * ('Drop off'!$B$4:$I$4 = $S$2), 'Drop off'!$B$6:$I$14)) * $S$1, "-")</f>
        <v>0</v>
      </c>
      <c r="I29" s="162" cm="1">
        <f t="array" aca="1" ref="I29" ca="1">IFERROR(_xlfn.XLOOKUP(1,  ('ж.д.'!$A$6:$A$14 = $D29) * 1,  _xlfn.XLOOKUP(1,  ('ж.д.'!$B$5:$M$5 = I$2) * ('ж.д.'!$B$4:$M$4 = $S$2), 'ж.д.'!$B$6:$M$14)), "-")</f>
        <v>125000</v>
      </c>
      <c r="J29" s="162" cm="1">
        <f t="array" aca="1" ref="J29" ca="1">IFERROR(_xlfn.XLOOKUP(1,  ('ж.д.'!$A$6:$A$14 = $D29) * 1,  _xlfn.XLOOKUP(1,  ('ж.д.'!$B$5:$M$5 = J$2) * ('ж.д.'!$B$4:$M$4 = $S$2), 'ж.д.'!$B$6:$M$14)), "-")</f>
        <v>140000</v>
      </c>
      <c r="K29" s="162" cm="1">
        <f t="array" aca="1" ref="K29" ca="1">IFERROR(_xlfn.XLOOKUP(1,  ('ж.д.'!$A$6:$A$14 = $D29) * 1,  _xlfn.XLOOKUP(1,  ('ж.д.'!$B$5:$M$5 = K$2) * ('ж.д.'!$B$4:$M$4 = $S$2), 'ж.д.'!$B$6:$M$14)), "-")</f>
        <v>227000</v>
      </c>
      <c r="L29" s="162" cm="1">
        <f t="array" aca="1" ref="L29" ca="1">IF(ISNUMBER(SEARCH("Транс",$C29)),_xlfn.XLOOKUP(1,('Фрахт Транс'!$A$5:$A$10=$D29)*1,_xlfn.XLOOKUP(1,('Фрахт Транс'!$B$3:$M$3 = $S$2)*('Фрахт Транс'!$B$4:$M$4=L$2),'Фрахт Транс'!$B$5:$M$10)),SUM($E29, $G29, $I29, $O29))</f>
        <v>444100</v>
      </c>
      <c r="M29" s="162" cm="1">
        <f t="array" aca="1" ref="M29" ca="1">IF(ISNUMBER(SEARCH("Транс",$C29)),_xlfn.XLOOKUP(1,('Фрахт Транс'!$A$5:$A$10=$D29)*1,_xlfn.XLOOKUP(1,('Фрахт Транс'!$B$3:$M$3=$S$2)*('Фрахт Транс'!$B$4:$M$4=M$2),'Фрахт Транс'!$B$5:$M$10)),SUM($E29, $G29, $J29, $O29))</f>
        <v>459100</v>
      </c>
      <c r="N29" s="162" cm="1">
        <f t="array" aca="1" ref="N29" ca="1">IF(ISNUMBER(SEARCH("Транс",$C29)),_xlfn.XLOOKUP(1,('Фрахт Транс'!$A$5:$A$10=$D29)*1,_xlfn.XLOOKUP(1,('Фрахт Транс'!$B$3:$M$3=$S$2)*('Фрахт Транс'!$B$4:$M$4=N$2),'Фрахт Транс'!$B$5:$M$10)),SUM($F29, $H29, $K29, $P29))</f>
        <v>655200</v>
      </c>
      <c r="O29" s="162" cm="1">
        <f t="array" aca="1" ref="O29" ca="1">IFERROR(_xlfn.XLOOKUP(1,  (Охрана!$A$6:$A$14 = $D29) * 1,  _xlfn.XLOOKUP(1,  (Охрана!$B$5:$M$5 = O$2) * (Охрана!$B$4:$M$4 = $S$2), Охрана!$B$6:$M$14)), "-")</f>
        <v>4100</v>
      </c>
      <c r="P29" s="208" cm="1">
        <f t="array" aca="1" ref="P29" ca="1">IFERROR(_xlfn.XLOOKUP(1,  (Охрана!$A$6:$A$14 = $D29) * 1,  _xlfn.XLOOKUP(1,  (Охрана!$B$5:$M$5 = P$2) * (Охрана!$B$4:$M$4 = $S$2), Охрана!$B$6:$M$14)), "-")</f>
        <v>8200</v>
      </c>
      <c r="Q29" s="38"/>
      <c r="R29" s="71"/>
      <c r="S29" s="4"/>
    </row>
    <row r="30" spans="1:30" ht="30.75" thickBot="1" x14ac:dyDescent="0.3">
      <c r="A30" s="213" t="s">
        <v>15</v>
      </c>
      <c r="B30" s="287" t="s">
        <v>15</v>
      </c>
      <c r="C30" s="63" t="s">
        <v>43</v>
      </c>
      <c r="D30" s="64" t="s">
        <v>46</v>
      </c>
      <c r="E30" s="168" t="str" cm="1">
        <f t="array" ref="E30">IFERROR(_xlfn.XLOOKUP(1, (Фрахт!$A$5:$A$80 = $A30)* (Фрахт!$B$5:$B$80 = $C30) * (Фрахт!$C$5:$C$80 =$D30),  _xlfn.XLOOKUP(1,  (Фрахт!$D$4:$E$4 = E$2) * 1, Фрахт!$D$5:$E$80)) *  $S$1, "-")</f>
        <v>-</v>
      </c>
      <c r="F30" s="168" t="str" cm="1">
        <f t="array" ref="F30">IFERROR(_xlfn.XLOOKUP(1, (Фрахт!$A$5:$A$80 = $A30)* (Фрахт!$B$5:$B$80 = $C30) * (Фрахт!$C$5:$C$80 =$D30),  _xlfn.XLOOKUP(1,  (Фрахт!$D$4:$E$4 = F$2) * 1, Фрахт!$D$5:$E$80)) *  $S$1, "-")</f>
        <v>-</v>
      </c>
      <c r="G30" s="148" cm="1">
        <f t="array" aca="1" ref="G30" ca="1">IFERROR(_xlfn.XLOOKUP(1,  ('Drop off'!$A$6:$A$14 = $C30) * 1,  _xlfn.XLOOKUP(1,  ('Drop off'!$B$5:$I$5 = G$2) * ('Drop off'!$B$4:$I$4 = $S$2), 'Drop off'!$B$6:$I$14)) * $S$1, "-")</f>
        <v>0</v>
      </c>
      <c r="H30" s="148" cm="1">
        <f t="array" aca="1" ref="H30" ca="1">IFERROR(_xlfn.XLOOKUP(1,  ('Drop off'!$A$6:$A$14 = $C30) * 1,  _xlfn.XLOOKUP(1,  ('Drop off'!$B$5:$I$5 = H$2) * ('Drop off'!$B$4:$I$4 = $S$2), 'Drop off'!$B$6:$I$14)) * $S$1, "-")</f>
        <v>0</v>
      </c>
      <c r="I30" s="148" t="str" cm="1">
        <f t="array" aca="1" ref="I30" ca="1">IFERROR(_xlfn.XLOOKUP(1,  ('ж.д.'!$A$6:$A$14 = $D30) * 1,  _xlfn.XLOOKUP(1,  ('ж.д.'!$B$5:$M$5 = I$2) * ('ж.д.'!$B$4:$M$4 = $S$2), 'ж.д.'!$B$6:$M$14)), "-")</f>
        <v>-</v>
      </c>
      <c r="J30" s="148" t="str" cm="1">
        <f t="array" aca="1" ref="J30" ca="1">IFERROR(_xlfn.XLOOKUP(1,  ('ж.д.'!$A$6:$A$14 = $D30) * 1,  _xlfn.XLOOKUP(1,  ('ж.д.'!$B$5:$M$5 = J$2) * ('ж.д.'!$B$4:$M$4 = $S$2), 'ж.д.'!$B$6:$M$14)), "-")</f>
        <v>-</v>
      </c>
      <c r="K30" s="148" t="str" cm="1">
        <f t="array" aca="1" ref="K30" ca="1">IFERROR(_xlfn.XLOOKUP(1,  ('ж.д.'!$A$6:$A$14 = $D30) * 1,  _xlfn.XLOOKUP(1,  ('ж.д.'!$B$5:$M$5 = K$2) * ('ж.д.'!$B$4:$M$4 = $S$2), 'ж.д.'!$B$6:$M$14)), "-")</f>
        <v>-</v>
      </c>
      <c r="L30" s="191" cm="1">
        <f t="array" aca="1" ref="L30" ca="1">IF(ISNUMBER(SEARCH("Транс",$C30)),_xlfn.XLOOKUP(1,('Фрахт Транс'!$A$5:$A$10=$D30)*1,_xlfn.XLOOKUP(1,('Фрахт Транс'!$B$3:$M$3 = $S$2)*('Фрахт Транс'!$B$4:$M$4=L$2),'Фрахт Транс'!$B$5:$M$10)),SUM($E30, $G30, $I30, $O30))</f>
        <v>356456</v>
      </c>
      <c r="M30" s="148" cm="1">
        <f t="array" aca="1" ref="M30" ca="1">IF(ISNUMBER(SEARCH("Транс",$C30)),_xlfn.XLOOKUP(1,('Фрахт Транс'!$A$5:$A$10=$D30)*1,_xlfn.XLOOKUP(1,('Фрахт Транс'!$B$3:$M$3=$S$2)*('Фрахт Транс'!$B$4:$M$4=M$2),'Фрахт Транс'!$B$5:$M$10)),SUM($E30, $G30, $J30, $O30))</f>
        <v>373994</v>
      </c>
      <c r="N30" s="148" cm="1">
        <f t="array" aca="1" ref="N30" ca="1">IF(ISNUMBER(SEARCH("Транс",$C30)),_xlfn.XLOOKUP(1,('Фрахт Транс'!$A$5:$A$10=$D30)*1,_xlfn.XLOOKUP(1,('Фрахт Транс'!$B$3:$M$3=$S$2)*('Фрахт Транс'!$B$4:$M$4=N$2),'Фрахт Транс'!$B$5:$M$10)),SUM($F30, $H30, $K30, $P30))</f>
        <v>532168</v>
      </c>
      <c r="O30" s="192" t="str" cm="1">
        <f t="array" aca="1" ref="O30" ca="1">IFERROR(_xlfn.XLOOKUP(1,  (Охрана!$A$6:$A$14 = $D30) * 1,  _xlfn.XLOOKUP(1,  (Охрана!$B$5:$M$5 = O$2) * (Охрана!$B$4:$M$4 = $S$2), Охрана!$B$6:$M$14)), "-")</f>
        <v>-</v>
      </c>
      <c r="P30" s="193" t="str" cm="1">
        <f t="array" aca="1" ref="P30" ca="1">IFERROR(_xlfn.XLOOKUP(1,  (Охрана!$A$6:$A$14 = $D30) * 1,  _xlfn.XLOOKUP(1,  (Охрана!$B$5:$M$5 = P$2) * (Охрана!$B$4:$M$4 = $S$2), Охрана!$B$6:$M$14)), "-")</f>
        <v>-</v>
      </c>
      <c r="Q30" s="38"/>
      <c r="R30" s="6"/>
      <c r="S30" s="6"/>
      <c r="U30" s="3"/>
      <c r="AB30" s="2"/>
      <c r="AC30" s="2"/>
      <c r="AD30" s="2"/>
    </row>
    <row r="31" spans="1:30" ht="15" customHeight="1" thickBot="1" x14ac:dyDescent="0.3">
      <c r="A31" s="213" t="s">
        <v>15</v>
      </c>
      <c r="B31" s="288"/>
      <c r="C31" s="32" t="s">
        <v>12</v>
      </c>
      <c r="D31" s="32" t="s">
        <v>30</v>
      </c>
      <c r="E31" s="169" cm="1">
        <f t="array" ref="E31">IFERROR(_xlfn.XLOOKUP(1, (Фрахт!$A$5:$A$80 = $A31)* (Фрахт!$B$5:$B$80 = $C31) * (Фрахт!$C$5:$C$80 =$D31),  _xlfn.XLOOKUP(1,  (Фрахт!$D$4:$E$4 = E$2) * 1, Фрахт!$D$5:$E$80)) *  $S$1, "-")</f>
        <v>330000</v>
      </c>
      <c r="F31" s="169" cm="1">
        <f t="array" ref="F31">IFERROR(_xlfn.XLOOKUP(1, (Фрахт!$A$5:$A$80 = $A31)* (Фрахт!$B$5:$B$80 = $C31) * (Фрахт!$C$5:$C$80 =$D31),  _xlfn.XLOOKUP(1,  (Фрахт!$D$4:$E$4 = F$2) * 1, Фрахт!$D$5:$E$80)) *  $S$1, "-")</f>
        <v>450000</v>
      </c>
      <c r="G31" s="149" cm="1">
        <f t="array" aca="1" ref="G31" ca="1">IFERROR(_xlfn.XLOOKUP(1,  ('Drop off'!$A$6:$A$14 = $C31) * 1,  _xlfn.XLOOKUP(1,  ('Drop off'!$B$5:$I$5 = G$2) * ('Drop off'!$B$4:$I$4 = $S$2), 'Drop off'!$B$6:$I$14)) * $S$1, "-")</f>
        <v>0</v>
      </c>
      <c r="H31" s="149" cm="1">
        <f t="array" aca="1" ref="H31" ca="1">IFERROR(_xlfn.XLOOKUP(1,  ('Drop off'!$A$6:$A$14 = $C31) * 1,  _xlfn.XLOOKUP(1,  ('Drop off'!$B$5:$I$5 = H$2) * ('Drop off'!$B$4:$I$4 = $S$2), 'Drop off'!$B$6:$I$14)) * $S$1, "-")</f>
        <v>0</v>
      </c>
      <c r="I31" s="149" cm="1">
        <f t="array" aca="1" ref="I31" ca="1">IFERROR(_xlfn.XLOOKUP(1,  ('ж.д.'!$A$6:$A$14 = $D31) * 1,  _xlfn.XLOOKUP(1,  ('ж.д.'!$B$5:$M$5 = I$2) * ('ж.д.'!$B$4:$M$4 = $S$2), 'ж.д.'!$B$6:$M$14)), "-")</f>
        <v>167600</v>
      </c>
      <c r="J31" s="149" cm="1">
        <f t="array" aca="1" ref="J31" ca="1">IFERROR(_xlfn.XLOOKUP(1,  ('ж.д.'!$A$6:$A$14 = $D31) * 1,  _xlfn.XLOOKUP(1,  ('ж.д.'!$B$5:$M$5 = J$2) * ('ж.д.'!$B$4:$M$4 = $S$2), 'ж.д.'!$B$6:$M$14)), "-")</f>
        <v>181540</v>
      </c>
      <c r="K31" s="149" cm="1">
        <f t="array" aca="1" ref="K31" ca="1">IFERROR(_xlfn.XLOOKUP(1,  ('ж.д.'!$A$6:$A$14 = $D31) * 1,  _xlfn.XLOOKUP(1,  ('ж.д.'!$B$5:$M$5 = K$2) * ('ж.д.'!$B$4:$M$4 = $S$2), 'ж.д.'!$B$6:$M$14)), "-")</f>
        <v>292000</v>
      </c>
      <c r="L31" s="149" cm="1">
        <f t="array" aca="1" ref="L31" ca="1">IF(ISNUMBER(SEARCH("Транс",$C31)),_xlfn.XLOOKUP(1,('Фрахт Транс'!$A$5:$A$10=$D31)*1,_xlfn.XLOOKUP(1,('Фрахт Транс'!$B$3:$M$3 = $S$2)*('Фрахт Транс'!$B$4:$M$4=L$2),'Фрахт Транс'!$B$5:$M$10)),SUM($E31, $G31, $I31, $O31))</f>
        <v>501422</v>
      </c>
      <c r="M31" s="149" cm="1">
        <f t="array" aca="1" ref="M31" ca="1">IF(ISNUMBER(SEARCH("Транс",$C31)),_xlfn.XLOOKUP(1,('Фрахт Транс'!$A$5:$A$10=$D31)*1,_xlfn.XLOOKUP(1,('Фрахт Транс'!$B$3:$M$3=$S$2)*('Фрахт Транс'!$B$4:$M$4=M$2),'Фрахт Транс'!$B$5:$M$10)),SUM($E31, $G31, $J31, $O31))</f>
        <v>515362</v>
      </c>
      <c r="N31" s="149" cm="1">
        <f t="array" aca="1" ref="N31" ca="1">IF(ISNUMBER(SEARCH("Транс",$C31)),_xlfn.XLOOKUP(1,('Фрахт Транс'!$A$5:$A$10=$D31)*1,_xlfn.XLOOKUP(1,('Фрахт Транс'!$B$3:$M$3=$S$2)*('Фрахт Транс'!$B$4:$M$4=N$2),'Фрахт Транс'!$B$5:$M$10)),SUM($F31, $H31, $K31, $P31))</f>
        <v>748910</v>
      </c>
      <c r="O31" s="149" cm="1">
        <f t="array" aca="1" ref="O31" ca="1">IFERROR(_xlfn.XLOOKUP(1,  (Охрана!$A$6:$A$14 = $D31) * 1,  _xlfn.XLOOKUP(1,  (Охрана!$B$5:$M$5 = O$2) * (Охрана!$B$4:$M$4 = $S$2), Охрана!$B$6:$M$14)), "-")</f>
        <v>3822</v>
      </c>
      <c r="P31" s="194" cm="1">
        <f t="array" aca="1" ref="P31" ca="1">IFERROR(_xlfn.XLOOKUP(1,  (Охрана!$A$6:$A$14 = $D31) * 1,  _xlfn.XLOOKUP(1,  (Охрана!$B$5:$M$5 = P$2) * (Охрана!$B$4:$M$4 = $S$2), Охрана!$B$6:$M$14)), "-")</f>
        <v>6910</v>
      </c>
      <c r="Q31" s="282"/>
      <c r="R31" s="91"/>
      <c r="S31" s="4"/>
    </row>
    <row r="32" spans="1:30" ht="15" customHeight="1" thickBot="1" x14ac:dyDescent="0.3">
      <c r="A32" s="213" t="s">
        <v>15</v>
      </c>
      <c r="B32" s="288"/>
      <c r="C32" s="32" t="s">
        <v>12</v>
      </c>
      <c r="D32" s="32" t="s">
        <v>55</v>
      </c>
      <c r="E32" s="169" cm="1">
        <f t="array" ref="E32">IFERROR(_xlfn.XLOOKUP(1, (Фрахт!$A$5:$A$80 = $A32)* (Фрахт!$B$5:$B$80 = $C32) * (Фрахт!$C$5:$C$80 =$D32),  _xlfn.XLOOKUP(1,  (Фрахт!$D$4:$E$4 = E$2) * 1, Фрахт!$D$5:$E$80)) *  $S$1, "-")</f>
        <v>330000</v>
      </c>
      <c r="F32" s="149" cm="1">
        <f t="array" ref="F32">IFERROR(_xlfn.XLOOKUP(1, (Фрахт!$A$5:$A$80 = $A32)* (Фрахт!$B$5:$B$80 = $C32) * (Фрахт!$C$5:$C$80 =$D32),  _xlfn.XLOOKUP(1,  (Фрахт!$D$4:$E$4 = F$2) * 1, Фрахт!$D$5:$E$80)) *  $S$1, "-")</f>
        <v>450000</v>
      </c>
      <c r="G32" s="149" cm="1">
        <f t="array" aca="1" ref="G32" ca="1">IFERROR(_xlfn.XLOOKUP(1,  ('Drop off'!$A$6:$A$14 = $C32) * 1,  _xlfn.XLOOKUP(1,  ('Drop off'!$B$5:$I$5 = G$2) * ('Drop off'!$B$4:$I$4 = $S$2), 'Drop off'!$B$6:$I$14)) * $S$1, "-")</f>
        <v>0</v>
      </c>
      <c r="H32" s="149" cm="1">
        <f t="array" aca="1" ref="H32" ca="1">IFERROR(_xlfn.XLOOKUP(1,  ('Drop off'!$A$6:$A$14 = $C32) * 1,  _xlfn.XLOOKUP(1,  ('Drop off'!$B$5:$I$5 = H$2) * ('Drop off'!$B$4:$I$4 = $S$2), 'Drop off'!$B$6:$I$14)) * $S$1, "-")</f>
        <v>0</v>
      </c>
      <c r="I32" s="149" cm="1">
        <f t="array" aca="1" ref="I32" ca="1">IFERROR(_xlfn.XLOOKUP(1,  ('ж.д.'!$A$6:$A$14 = $D32) * 1,  _xlfn.XLOOKUP(1,  ('ж.д.'!$B$5:$M$5 = I$2) * ('ж.д.'!$B$4:$M$4 = $S$2), 'ж.д.'!$B$6:$M$14)), "-")</f>
        <v>173730</v>
      </c>
      <c r="J32" s="149" cm="1">
        <f t="array" aca="1" ref="J32" ca="1">IFERROR(_xlfn.XLOOKUP(1,  ('ж.д.'!$A$6:$A$14 = $D32) * 1,  _xlfn.XLOOKUP(1,  ('ж.д.'!$B$5:$M$5 = J$2) * ('ж.д.'!$B$4:$M$4 = $S$2), 'ж.д.'!$B$6:$M$14)), "-")</f>
        <v>191045</v>
      </c>
      <c r="K32" s="149" cm="1">
        <f t="array" aca="1" ref="K32" ca="1">IFERROR(_xlfn.XLOOKUP(1,  ('ж.д.'!$A$6:$A$14 = $D32) * 1,  _xlfn.XLOOKUP(1,  ('ж.д.'!$B$5:$M$5 = K$2) * ('ж.д.'!$B$4:$M$4 = $S$2), 'ж.д.'!$B$6:$M$14)), "-")</f>
        <v>303815</v>
      </c>
      <c r="L32" s="149" cm="1">
        <f t="array" aca="1" ref="L32" ca="1">IF(ISNUMBER(SEARCH("Транс",$C32)),_xlfn.XLOOKUP(1,('Фрахт Транс'!$A$5:$A$10=$D32)*1,_xlfn.XLOOKUP(1,('Фрахт Транс'!$B$3:$M$3 = $S$2)*('Фрахт Транс'!$B$4:$M$4=L$2),'Фрахт Транс'!$B$5:$M$10)),SUM($E32, $G32, $I32, $O32))</f>
        <v>507552</v>
      </c>
      <c r="M32" s="149" cm="1">
        <f t="array" aca="1" ref="M32" ca="1">IF(ISNUMBER(SEARCH("Транс",$C32)),_xlfn.XLOOKUP(1,('Фрахт Транс'!$A$5:$A$10=$D32)*1,_xlfn.XLOOKUP(1,('Фрахт Транс'!$B$3:$M$3=$S$2)*('Фрахт Транс'!$B$4:$M$4=M$2),'Фрахт Транс'!$B$5:$M$10)),SUM($E32, $G32, $J32, $O32))</f>
        <v>524867</v>
      </c>
      <c r="N32" s="149" cm="1">
        <f t="array" aca="1" ref="N32" ca="1">IF(ISNUMBER(SEARCH("Транс",$C32)),_xlfn.XLOOKUP(1,('Фрахт Транс'!$A$5:$A$10=$D32)*1,_xlfn.XLOOKUP(1,('Фрахт Транс'!$B$3:$M$3=$S$2)*('Фрахт Транс'!$B$4:$M$4=N$2),'Фрахт Транс'!$B$5:$M$10)),SUM($F32, $H32, $K32, $P32))</f>
        <v>760725</v>
      </c>
      <c r="O32" s="149" cm="1">
        <f t="array" aca="1" ref="O32" ca="1">IFERROR(_xlfn.XLOOKUP(1,  (Охрана!$A$6:$A$14 = $D32) * 1,  _xlfn.XLOOKUP(1,  (Охрана!$B$5:$M$5 = O$2) * (Охрана!$B$4:$M$4 = $S$2), Охрана!$B$6:$M$14)), "-")</f>
        <v>3822</v>
      </c>
      <c r="P32" s="194" cm="1">
        <f t="array" aca="1" ref="P32" ca="1">IFERROR(_xlfn.XLOOKUP(1,  (Охрана!$A$6:$A$14 = $D32) * 1,  _xlfn.XLOOKUP(1,  (Охрана!$B$5:$M$5 = P$2) * (Охрана!$B$4:$M$4 = $S$2), Охрана!$B$6:$M$14)), "-")</f>
        <v>6910</v>
      </c>
      <c r="Q32" s="282"/>
      <c r="R32" s="3"/>
      <c r="S32" s="4"/>
    </row>
    <row r="33" spans="1:21" ht="15.75" customHeight="1" thickBot="1" x14ac:dyDescent="0.3">
      <c r="A33" s="213" t="s">
        <v>15</v>
      </c>
      <c r="B33" s="288"/>
      <c r="C33" s="41" t="s">
        <v>35</v>
      </c>
      <c r="D33" s="40" t="s">
        <v>11</v>
      </c>
      <c r="E33" s="170" cm="1">
        <f t="array" ref="E33">IFERROR(_xlfn.XLOOKUP(1, (Фрахт!$A$5:$A$80 = $A33)* (Фрахт!$B$5:$B$80 = $C33) * (Фрахт!$C$5:$C$80 =$D33),  _xlfn.XLOOKUP(1,  (Фрахт!$D$4:$E$4 = E$2) * 1, Фрахт!$D$5:$E$80)) *  $S$1, "-")</f>
        <v>283500</v>
      </c>
      <c r="F33" s="150" cm="1">
        <f t="array" ref="F33">IFERROR(_xlfn.XLOOKUP(1, (Фрахт!$A$5:$A$80 = $A33)* (Фрахт!$B$5:$B$80 = $C33) * (Фрахт!$C$5:$C$80 =$D33),  _xlfn.XLOOKUP(1,  (Фрахт!$D$4:$E$4 = F$2) * 1, Фрахт!$D$5:$E$80)) *  $S$1, "-")</f>
        <v>472500</v>
      </c>
      <c r="G33" s="150" cm="1">
        <f t="array" aca="1" ref="G33" ca="1">IFERROR(_xlfn.XLOOKUP(1,  ('Drop off'!$A$6:$A$14 = $C33) * 1,  _xlfn.XLOOKUP(1,  ('Drop off'!$B$5:$I$5 = G$2) * ('Drop off'!$B$4:$I$4 = $S$2), 'Drop off'!$B$6:$I$14)) * $S$1, "-")</f>
        <v>56700</v>
      </c>
      <c r="H33" s="150" cm="1">
        <f t="array" aca="1" ref="H33" ca="1">IFERROR(_xlfn.XLOOKUP(1,  ('Drop off'!$A$6:$A$14 = $C33) * 1,  _xlfn.XLOOKUP(1,  ('Drop off'!$B$5:$I$5 = H$2) * ('Drop off'!$B$4:$I$4 = $S$2), 'Drop off'!$B$6:$I$14)) * $S$1, "-")</f>
        <v>37800</v>
      </c>
      <c r="I33" s="150" cm="1">
        <f t="array" aca="1" ref="I33" ca="1">IFERROR(_xlfn.XLOOKUP(1,  ('ж.д.'!$A$6:$A$14 = $D33) * 1,  _xlfn.XLOOKUP(1,  ('ж.д.'!$B$5:$M$5 = I$2) * ('ж.д.'!$B$4:$M$4 = $S$2), 'ж.д.'!$B$6:$M$14)), "-")</f>
        <v>122400</v>
      </c>
      <c r="J33" s="150" cm="1">
        <f t="array" aca="1" ref="J33" ca="1">IFERROR(_xlfn.XLOOKUP(1,  ('ж.д.'!$A$6:$A$14 = $D33) * 1,  _xlfn.XLOOKUP(1,  ('ж.д.'!$B$5:$M$5 = J$2) * ('ж.д.'!$B$4:$M$4 = $S$2), 'ж.д.'!$B$6:$M$14)), "-")</f>
        <v>139800</v>
      </c>
      <c r="K33" s="150" cm="1">
        <f t="array" aca="1" ref="K33" ca="1">IFERROR(_xlfn.XLOOKUP(1,  ('ж.д.'!$A$6:$A$14 = $D33) * 1,  _xlfn.XLOOKUP(1,  ('ж.д.'!$B$5:$M$5 = K$2) * ('ж.д.'!$B$4:$M$4 = $S$2), 'ж.д.'!$B$6:$M$14)), "-")</f>
        <v>224600</v>
      </c>
      <c r="L33" s="150" cm="1">
        <f t="array" aca="1" ref="L33" ca="1">IF(ISNUMBER(SEARCH("Транс",$C33)),_xlfn.XLOOKUP(1,('Фрахт Транс'!$A$5:$A$10=$D33)*1,_xlfn.XLOOKUP(1,('Фрахт Транс'!$B$3:$M$3 = $S$2)*('Фрахт Транс'!$B$4:$M$4=L$2),'Фрахт Транс'!$B$5:$M$10)),SUM($E33, $G33, $I33, $O33))</f>
        <v>465994</v>
      </c>
      <c r="M33" s="150" cm="1">
        <f t="array" aca="1" ref="M33" ca="1">IF(ISNUMBER(SEARCH("Транс",$C33)),_xlfn.XLOOKUP(1,('Фрахт Транс'!$A$5:$A$10=$D33)*1,_xlfn.XLOOKUP(1,('Фрахт Транс'!$B$3:$M$3=$S$2)*('Фрахт Транс'!$B$4:$M$4=M$2),'Фрахт Транс'!$B$5:$M$10)),SUM($E33, $G33, $J33, $O33))</f>
        <v>483394</v>
      </c>
      <c r="N33" s="150" cm="1">
        <f t="array" aca="1" ref="N33" ca="1">IF(ISNUMBER(SEARCH("Транс",$C33)),_xlfn.XLOOKUP(1,('Фрахт Транс'!$A$5:$A$10=$D33)*1,_xlfn.XLOOKUP(1,('Фрахт Транс'!$B$3:$M$3=$S$2)*('Фрахт Транс'!$B$4:$M$4=N$2),'Фрахт Транс'!$B$5:$M$10)),SUM($F33, $H33, $K33, $P33))</f>
        <v>741701</v>
      </c>
      <c r="O33" s="150" cm="1">
        <f t="array" aca="1" ref="O33" ca="1">IFERROR(_xlfn.XLOOKUP(1,  (Охрана!$A$6:$A$14 = $D33) * 1,  _xlfn.XLOOKUP(1,  (Охрана!$B$5:$M$5 = O$2) * (Охрана!$B$4:$M$4 = $S$2), Охрана!$B$6:$M$14)), "-")</f>
        <v>3394</v>
      </c>
      <c r="P33" s="195" cm="1">
        <f t="array" aca="1" ref="P33" ca="1">IFERROR(_xlfn.XLOOKUP(1,  (Охрана!$A$6:$A$14 = $D33) * 1,  _xlfn.XLOOKUP(1,  (Охрана!$B$5:$M$5 = P$2) * (Охрана!$B$4:$M$4 = $S$2), Охрана!$B$6:$M$14)), "-")</f>
        <v>6801</v>
      </c>
      <c r="Q33" s="286"/>
      <c r="R33" s="4"/>
      <c r="S33" s="4"/>
    </row>
    <row r="34" spans="1:21" ht="15.75" customHeight="1" thickBot="1" x14ac:dyDescent="0.3">
      <c r="A34" s="213" t="s">
        <v>15</v>
      </c>
      <c r="B34" s="288"/>
      <c r="C34" s="41" t="s">
        <v>35</v>
      </c>
      <c r="D34" s="40" t="s">
        <v>34</v>
      </c>
      <c r="E34" s="170" cm="1">
        <f t="array" ref="E34">IFERROR(_xlfn.XLOOKUP(1, (Фрахт!$A$5:$A$80 = $A34)* (Фрахт!$B$5:$B$80 = $C34) * (Фрахт!$C$5:$C$80 =$D34),  _xlfn.XLOOKUP(1,  (Фрахт!$D$4:$E$4 = E$2) * 1, Фрахт!$D$5:$E$80)) *  $S$1, "-")</f>
        <v>283500</v>
      </c>
      <c r="F34" s="150" cm="1">
        <f t="array" ref="F34">IFERROR(_xlfn.XLOOKUP(1, (Фрахт!$A$5:$A$80 = $A34)* (Фрахт!$B$5:$B$80 = $C34) * (Фрахт!$C$5:$C$80 =$D34),  _xlfn.XLOOKUP(1,  (Фрахт!$D$4:$E$4 = F$2) * 1, Фрахт!$D$5:$E$80)) *  $S$1, "-")</f>
        <v>472500</v>
      </c>
      <c r="G34" s="150" cm="1">
        <f t="array" aca="1" ref="G34" ca="1">IFERROR(_xlfn.XLOOKUP(1,  ('Drop off'!$A$6:$A$14 = $C34) * 1,  _xlfn.XLOOKUP(1,  ('Drop off'!$B$5:$I$5 = G$2) * ('Drop off'!$B$4:$I$4 = $S$2), 'Drop off'!$B$6:$I$14)) * $S$1, "-")</f>
        <v>56700</v>
      </c>
      <c r="H34" s="150" cm="1">
        <f t="array" aca="1" ref="H34" ca="1">IFERROR(_xlfn.XLOOKUP(1,  ('Drop off'!$A$6:$A$14 = $C34) * 1,  _xlfn.XLOOKUP(1,  ('Drop off'!$B$5:$I$5 = H$2) * ('Drop off'!$B$4:$I$4 = $S$2), 'Drop off'!$B$6:$I$14)) * $S$1, "-")</f>
        <v>37800</v>
      </c>
      <c r="I34" s="150" cm="1">
        <f t="array" aca="1" ref="I34" ca="1">IFERROR(_xlfn.XLOOKUP(1,  ('ж.д.'!$A$6:$A$14 = $D34) * 1,  _xlfn.XLOOKUP(1,  ('ж.д.'!$B$5:$M$5 = I$2) * ('ж.д.'!$B$4:$M$4 = $S$2), 'ж.д.'!$B$6:$M$14)), "-")</f>
        <v>134400</v>
      </c>
      <c r="J34" s="150" cm="1">
        <f t="array" aca="1" ref="J34" ca="1">IFERROR(_xlfn.XLOOKUP(1,  ('ж.д.'!$A$6:$A$14 = $D34) * 1,  _xlfn.XLOOKUP(1,  ('ж.д.'!$B$5:$M$5 = J$2) * ('ж.д.'!$B$4:$M$4 = $S$2), 'ж.д.'!$B$6:$M$14)), "-")</f>
        <v>149400</v>
      </c>
      <c r="K34" s="150" cm="1">
        <f t="array" aca="1" ref="K34" ca="1">IFERROR(_xlfn.XLOOKUP(1,  ('ж.д.'!$A$6:$A$14 = $D34) * 1,  _xlfn.XLOOKUP(1,  ('ж.д.'!$B$5:$M$5 = K$2) * ('ж.д.'!$B$4:$M$4 = $S$2), 'ж.д.'!$B$6:$M$14)), "-")</f>
        <v>235000</v>
      </c>
      <c r="L34" s="150" cm="1">
        <f t="array" aca="1" ref="L34" ca="1">IF(ISNUMBER(SEARCH("Транс",$C34)),_xlfn.XLOOKUP(1,('Фрахт Транс'!$A$5:$A$10=$D34)*1,_xlfn.XLOOKUP(1,('Фрахт Транс'!$B$3:$M$3 = $S$2)*('Фрахт Транс'!$B$4:$M$4=L$2),'Фрахт Транс'!$B$5:$M$10)),SUM($E34, $G34, $I34, $O34))</f>
        <v>477994</v>
      </c>
      <c r="M34" s="150" cm="1">
        <f t="array" aca="1" ref="M34" ca="1">IF(ISNUMBER(SEARCH("Транс",$C34)),_xlfn.XLOOKUP(1,('Фрахт Транс'!$A$5:$A$10=$D34)*1,_xlfn.XLOOKUP(1,('Фрахт Транс'!$B$3:$M$3=$S$2)*('Фрахт Транс'!$B$4:$M$4=M$2),'Фрахт Транс'!$B$5:$M$10)),SUM($E34, $G34, $J34, $O34))</f>
        <v>492994</v>
      </c>
      <c r="N34" s="150" cm="1">
        <f t="array" aca="1" ref="N34" ca="1">IF(ISNUMBER(SEARCH("Транс",$C34)),_xlfn.XLOOKUP(1,('Фрахт Транс'!$A$5:$A$10=$D34)*1,_xlfn.XLOOKUP(1,('Фрахт Транс'!$B$3:$M$3=$S$2)*('Фрахт Транс'!$B$4:$M$4=N$2),'Фрахт Транс'!$B$5:$M$10)),SUM($F34, $H34, $K34, $P34))</f>
        <v>752101</v>
      </c>
      <c r="O34" s="150" cm="1">
        <f t="array" aca="1" ref="O34" ca="1">IFERROR(_xlfn.XLOOKUP(1,  (Охрана!$A$6:$A$14 = $D34) * 1,  _xlfn.XLOOKUP(1,  (Охрана!$B$5:$M$5 = O$2) * (Охрана!$B$4:$M$4 = $S$2), Охрана!$B$6:$M$14)), "-")</f>
        <v>3394</v>
      </c>
      <c r="P34" s="195" cm="1">
        <f t="array" aca="1" ref="P34" ca="1">IFERROR(_xlfn.XLOOKUP(1,  (Охрана!$A$6:$A$14 = $D34) * 1,  _xlfn.XLOOKUP(1,  (Охрана!$B$5:$M$5 = P$2) * (Охрана!$B$4:$M$4 = $S$2), Охрана!$B$6:$M$14)), "-")</f>
        <v>6801</v>
      </c>
      <c r="Q34" s="286"/>
      <c r="R34" s="4"/>
      <c r="S34" s="4"/>
    </row>
    <row r="35" spans="1:21" ht="16.5" customHeight="1" thickBot="1" x14ac:dyDescent="0.3">
      <c r="A35" s="213" t="s">
        <v>15</v>
      </c>
      <c r="B35" s="288"/>
      <c r="C35" s="41" t="s">
        <v>35</v>
      </c>
      <c r="D35" s="40" t="s">
        <v>10</v>
      </c>
      <c r="E35" s="170" cm="1">
        <f t="array" ref="E35">IFERROR(_xlfn.XLOOKUP(1, (Фрахт!$A$5:$A$80 = $A35)* (Фрахт!$B$5:$B$80 = $C35) * (Фрахт!$C$5:$C$80 =$D35),  _xlfn.XLOOKUP(1,  (Фрахт!$D$4:$E$4 = E$2) * 1, Фрахт!$D$5:$E$80)) *  $S$1, "-")</f>
        <v>283500</v>
      </c>
      <c r="F35" s="150" cm="1">
        <f t="array" ref="F35">IFERROR(_xlfn.XLOOKUP(1, (Фрахт!$A$5:$A$80 = $A35)* (Фрахт!$B$5:$B$80 = $C35) * (Фрахт!$C$5:$C$80 =$D35),  _xlfn.XLOOKUP(1,  (Фрахт!$D$4:$E$4 = F$2) * 1, Фрахт!$D$5:$E$80)) *  $S$1, "-")</f>
        <v>472500</v>
      </c>
      <c r="G35" s="150" cm="1">
        <f t="array" aca="1" ref="G35" ca="1">IFERROR(_xlfn.XLOOKUP(1,  ('Drop off'!$A$6:$A$14 = $C35) * 1,  _xlfn.XLOOKUP(1,  ('Drop off'!$B$5:$I$5 = G$2) * ('Drop off'!$B$4:$I$4 = $S$2), 'Drop off'!$B$6:$I$14)) * $S$1, "-")</f>
        <v>56700</v>
      </c>
      <c r="H35" s="150" cm="1">
        <f t="array" aca="1" ref="H35" ca="1">IFERROR(_xlfn.XLOOKUP(1,  ('Drop off'!$A$6:$A$14 = $C35) * 1,  _xlfn.XLOOKUP(1,  ('Drop off'!$B$5:$I$5 = H$2) * ('Drop off'!$B$4:$I$4 = $S$2), 'Drop off'!$B$6:$I$14)) * $S$1, "-")</f>
        <v>37800</v>
      </c>
      <c r="I35" s="150" cm="1">
        <f t="array" aca="1" ref="I35" ca="1">IFERROR(_xlfn.XLOOKUP(1,  ('ж.д.'!$A$6:$A$14 = $D35) * 1,  _xlfn.XLOOKUP(1,  ('ж.д.'!$B$5:$M$5 = I$2) * ('ж.д.'!$B$4:$M$4 = $S$2), 'ж.д.'!$B$6:$M$14)), "-")</f>
        <v>141000</v>
      </c>
      <c r="J35" s="150" cm="1">
        <f t="array" aca="1" ref="J35" ca="1">IFERROR(_xlfn.XLOOKUP(1,  ('ж.д.'!$A$6:$A$14 = $D35) * 1,  _xlfn.XLOOKUP(1,  ('ж.д.'!$B$5:$M$5 = J$2) * ('ж.д.'!$B$4:$M$4 = $S$2), 'ж.д.'!$B$6:$M$14)), "-")</f>
        <v>156600</v>
      </c>
      <c r="K35" s="150" cm="1">
        <f t="array" aca="1" ref="K35" ca="1">IFERROR(_xlfn.XLOOKUP(1,  ('ж.д.'!$A$6:$A$14 = $D35) * 1,  _xlfn.XLOOKUP(1,  ('ж.д.'!$B$5:$M$5 = K$2) * ('ж.д.'!$B$4:$M$4 = $S$2), 'ж.д.'!$B$6:$M$14)), "-")</f>
        <v>261000</v>
      </c>
      <c r="L35" s="150" cm="1">
        <f t="array" aca="1" ref="L35" ca="1">IF(ISNUMBER(SEARCH("Транс",$C35)),_xlfn.XLOOKUP(1,('Фрахт Транс'!$A$5:$A$10=$D35)*1,_xlfn.XLOOKUP(1,('Фрахт Транс'!$B$3:$M$3 = $S$2)*('Фрахт Транс'!$B$4:$M$4=L$2),'Фрахт Транс'!$B$5:$M$10)),SUM($E35, $G35, $I35, $O35))</f>
        <v>485022</v>
      </c>
      <c r="M35" s="150" cm="1">
        <f t="array" aca="1" ref="M35" ca="1">IF(ISNUMBER(SEARCH("Транс",$C35)),_xlfn.XLOOKUP(1,('Фрахт Транс'!$A$5:$A$10=$D35)*1,_xlfn.XLOOKUP(1,('Фрахт Транс'!$B$3:$M$3=$S$2)*('Фрахт Транс'!$B$4:$M$4=M$2),'Фрахт Транс'!$B$5:$M$10)),SUM($E35, $G35, $J35, $O35))</f>
        <v>500622</v>
      </c>
      <c r="N35" s="150" cm="1">
        <f t="array" aca="1" ref="N35" ca="1">IF(ISNUMBER(SEARCH("Транс",$C35)),_xlfn.XLOOKUP(1,('Фрахт Транс'!$A$5:$A$10=$D35)*1,_xlfn.XLOOKUP(1,('Фрахт Транс'!$B$3:$M$3=$S$2)*('Фрахт Транс'!$B$4:$M$4=N$2),'Фрахт Транс'!$B$5:$M$10)),SUM($F35, $H35, $K35, $P35))</f>
        <v>778210</v>
      </c>
      <c r="O35" s="150" cm="1">
        <f t="array" aca="1" ref="O35" ca="1">IFERROR(_xlfn.XLOOKUP(1,  (Охрана!$A$6:$A$14 = $D35) * 1,  _xlfn.XLOOKUP(1,  (Охрана!$B$5:$M$5 = O$2) * (Охрана!$B$4:$M$4 = $S$2), Охрана!$B$6:$M$14)), "-")</f>
        <v>3822</v>
      </c>
      <c r="P35" s="195" cm="1">
        <f t="array" aca="1" ref="P35" ca="1">IFERROR(_xlfn.XLOOKUP(1,  (Охрана!$A$6:$A$14 = $D35) * 1,  _xlfn.XLOOKUP(1,  (Охрана!$B$5:$M$5 = P$2) * (Охрана!$B$4:$M$4 = $S$2), Охрана!$B$6:$M$14)), "-")</f>
        <v>6910</v>
      </c>
      <c r="Q35" s="286"/>
      <c r="S35" s="4"/>
    </row>
    <row r="36" spans="1:21" ht="16.5" customHeight="1" thickBot="1" x14ac:dyDescent="0.3">
      <c r="A36" s="213" t="s">
        <v>15</v>
      </c>
      <c r="B36" s="288"/>
      <c r="C36" s="41" t="s">
        <v>35</v>
      </c>
      <c r="D36" s="40" t="s">
        <v>7</v>
      </c>
      <c r="E36" s="170" cm="1">
        <f t="array" ref="E36">IFERROR(_xlfn.XLOOKUP(1, (Фрахт!$A$5:$A$80 = $A36)* (Фрахт!$B$5:$B$80 = $C36) * (Фрахт!$C$5:$C$80 =$D36),  _xlfn.XLOOKUP(1,  (Фрахт!$D$4:$E$4 = E$2) * 1, Фрахт!$D$5:$E$80)) *  $S$1, "-")</f>
        <v>283500</v>
      </c>
      <c r="F36" s="150" cm="1">
        <f t="array" ref="F36">IFERROR(_xlfn.XLOOKUP(1, (Фрахт!$A$5:$A$80 = $A36)* (Фрахт!$B$5:$B$80 = $C36) * (Фрахт!$C$5:$C$80 =$D36),  _xlfn.XLOOKUP(1,  (Фрахт!$D$4:$E$4 = F$2) * 1, Фрахт!$D$5:$E$80)) *  $S$1, "-")</f>
        <v>472500</v>
      </c>
      <c r="G36" s="150" cm="1">
        <f t="array" aca="1" ref="G36" ca="1">IFERROR(_xlfn.XLOOKUP(1,  ('Drop off'!$A$6:$A$14 = $C36) * 1,  _xlfn.XLOOKUP(1,  ('Drop off'!$B$5:$I$5 = G$2) * ('Drop off'!$B$4:$I$4 = $S$2), 'Drop off'!$B$6:$I$14)) * $S$1, "-")</f>
        <v>56700</v>
      </c>
      <c r="H36" s="150" cm="1">
        <f t="array" aca="1" ref="H36" ca="1">IFERROR(_xlfn.XLOOKUP(1,  ('Drop off'!$A$6:$A$14 = $C36) * 1,  _xlfn.XLOOKUP(1,  ('Drop off'!$B$5:$I$5 = H$2) * ('Drop off'!$B$4:$I$4 = $S$2), 'Drop off'!$B$6:$I$14)) * $S$1, "-")</f>
        <v>37800</v>
      </c>
      <c r="I36" s="150" cm="1">
        <f t="array" aca="1" ref="I36" ca="1">IFERROR(_xlfn.XLOOKUP(1,  ('ж.д.'!$A$6:$A$14 = $D36) * 1,  _xlfn.XLOOKUP(1,  ('ж.д.'!$B$5:$M$5 = I$2) * ('ж.д.'!$B$4:$M$4 = $S$2), 'ж.д.'!$B$6:$M$14)), "-")</f>
        <v>125000</v>
      </c>
      <c r="J36" s="150" cm="1">
        <f t="array" aca="1" ref="J36" ca="1">IFERROR(_xlfn.XLOOKUP(1,  ('ж.д.'!$A$6:$A$14 = $D36) * 1,  _xlfn.XLOOKUP(1,  ('ж.д.'!$B$5:$M$5 = J$2) * ('ж.д.'!$B$4:$M$4 = $S$2), 'ж.д.'!$B$6:$M$14)), "-")</f>
        <v>140000</v>
      </c>
      <c r="K36" s="150" cm="1">
        <f t="array" aca="1" ref="K36" ca="1">IFERROR(_xlfn.XLOOKUP(1,  ('ж.д.'!$A$6:$A$14 = $D36) * 1,  _xlfn.XLOOKUP(1,  ('ж.д.'!$B$5:$M$5 = K$2) * ('ж.д.'!$B$4:$M$4 = $S$2), 'ж.д.'!$B$6:$M$14)), "-")</f>
        <v>227000</v>
      </c>
      <c r="L36" s="150" cm="1">
        <f t="array" aca="1" ref="L36" ca="1">IF(ISNUMBER(SEARCH("Транс",$C36)),_xlfn.XLOOKUP(1,('Фрахт Транс'!$A$5:$A$10=$D36)*1,_xlfn.XLOOKUP(1,('Фрахт Транс'!$B$3:$M$3 = $S$2)*('Фрахт Транс'!$B$4:$M$4=L$2),'Фрахт Транс'!$B$5:$M$10)),SUM($E36, $G36, $I36, $O36))</f>
        <v>469300</v>
      </c>
      <c r="M36" s="150" cm="1">
        <f t="array" aca="1" ref="M36" ca="1">IF(ISNUMBER(SEARCH("Транс",$C36)),_xlfn.XLOOKUP(1,('Фрахт Транс'!$A$5:$A$10=$D36)*1,_xlfn.XLOOKUP(1,('Фрахт Транс'!$B$3:$M$3=$S$2)*('Фрахт Транс'!$B$4:$M$4=M$2),'Фрахт Транс'!$B$5:$M$10)),SUM($E36, $G36, $J36, $O36))</f>
        <v>484300</v>
      </c>
      <c r="N36" s="150" cm="1">
        <f t="array" aca="1" ref="N36" ca="1">IF(ISNUMBER(SEARCH("Транс",$C36)),_xlfn.XLOOKUP(1,('Фрахт Транс'!$A$5:$A$10=$D36)*1,_xlfn.XLOOKUP(1,('Фрахт Транс'!$B$3:$M$3=$S$2)*('Фрахт Транс'!$B$4:$M$4=N$2),'Фрахт Транс'!$B$5:$M$10)),SUM($F36, $H36, $K36, $P36))</f>
        <v>745500</v>
      </c>
      <c r="O36" s="150" cm="1">
        <f t="array" aca="1" ref="O36" ca="1">IFERROR(_xlfn.XLOOKUP(1,  (Охрана!$A$6:$A$14 = $D36) * 1,  _xlfn.XLOOKUP(1,  (Охрана!$B$5:$M$5 = O$2) * (Охрана!$B$4:$M$4 = $S$2), Охрана!$B$6:$M$14)), "-")</f>
        <v>4100</v>
      </c>
      <c r="P36" s="195" cm="1">
        <f t="array" aca="1" ref="P36" ca="1">IFERROR(_xlfn.XLOOKUP(1,  (Охрана!$A$6:$A$14 = $D36) * 1,  _xlfn.XLOOKUP(1,  (Охрана!$B$5:$M$5 = P$2) * (Охрана!$B$4:$M$4 = $S$2), Охрана!$B$6:$M$14)), "-")</f>
        <v>8200</v>
      </c>
      <c r="Q36" s="286"/>
      <c r="R36" s="4"/>
      <c r="S36" s="4"/>
    </row>
    <row r="37" spans="1:21" ht="16.5" customHeight="1" thickBot="1" x14ac:dyDescent="0.3">
      <c r="A37" s="213" t="s">
        <v>15</v>
      </c>
      <c r="B37" s="288"/>
      <c r="C37" s="50" t="s">
        <v>36</v>
      </c>
      <c r="D37" s="50" t="s">
        <v>21</v>
      </c>
      <c r="E37" s="171" cm="1">
        <f t="array" ref="E37">IFERROR(_xlfn.XLOOKUP(1, (Фрахт!$A$5:$A$80 = $A37)* (Фрахт!$B$5:$B$80 = $C37) * (Фрахт!$C$5:$C$80 =$D37),  _xlfn.XLOOKUP(1,  (Фрахт!$D$4:$E$4 = E$2) * 1, Фрахт!$D$5:$E$80)) *  $S$1, "-")</f>
        <v>245160</v>
      </c>
      <c r="F37" s="151" cm="1">
        <f t="array" ref="F37">IFERROR(_xlfn.XLOOKUP(1, (Фрахт!$A$5:$A$80 = $A37)* (Фрахт!$B$5:$B$80 = $C37) * (Фрахт!$C$5:$C$80 =$D37),  _xlfn.XLOOKUP(1,  (Фрахт!$D$4:$E$4 = F$2) * 1, Фрахт!$D$5:$E$80)) *  $S$1, "-")</f>
        <v>412320</v>
      </c>
      <c r="G37" s="151" cm="1">
        <f t="array" aca="1" ref="G37" ca="1">IFERROR(_xlfn.XLOOKUP(1,  ('Drop off'!$A$6:$A$14 = $C37) * 1,  _xlfn.XLOOKUP(1,  ('Drop off'!$B$5:$I$5 = G$2) * ('Drop off'!$B$4:$I$4 = $S$2), 'Drop off'!$B$6:$I$14)) * $S$1, "-")</f>
        <v>42000</v>
      </c>
      <c r="H37" s="151" cm="1">
        <f t="array" aca="1" ref="H37" ca="1">IFERROR(_xlfn.XLOOKUP(1,  ('Drop off'!$A$6:$A$14 = $C37) * 1,  _xlfn.XLOOKUP(1,  ('Drop off'!$B$5:$I$5 = H$2) * ('Drop off'!$B$4:$I$4 = $S$2), 'Drop off'!$B$6:$I$14)) * $S$1, "-")</f>
        <v>42000</v>
      </c>
      <c r="I37" s="151" cm="1">
        <f t="array" aca="1" ref="I37" ca="1">IFERROR(_xlfn.XLOOKUP(1,  ('ж.д.'!$A$6:$A$14 = $D37) * 1,  _xlfn.XLOOKUP(1,  ('ж.д.'!$B$5:$M$5 = I$2) * ('ж.д.'!$B$4:$M$4 = $S$2), 'ж.д.'!$B$6:$M$14)), "-")</f>
        <v>134400</v>
      </c>
      <c r="J37" s="151" cm="1">
        <f t="array" aca="1" ref="J37" ca="1">IFERROR(_xlfn.XLOOKUP(1,  ('ж.д.'!$A$6:$A$14 = $D37) * 1,  _xlfn.XLOOKUP(1,  ('ж.д.'!$B$5:$M$5 = J$2) * ('ж.д.'!$B$4:$M$4 = $S$2), 'ж.д.'!$B$6:$M$14)), "-")</f>
        <v>149400</v>
      </c>
      <c r="K37" s="151" cm="1">
        <f t="array" aca="1" ref="K37" ca="1">IFERROR(_xlfn.XLOOKUP(1,  ('ж.д.'!$A$6:$A$14 = $D37) * 1,  _xlfn.XLOOKUP(1,  ('ж.д.'!$B$5:$M$5 = K$2) * ('ж.д.'!$B$4:$M$4 = $S$2), 'ж.д.'!$B$6:$M$14)), "-")</f>
        <v>235000</v>
      </c>
      <c r="L37" s="151" cm="1">
        <f t="array" aca="1" ref="L37" ca="1">IF(ISNUMBER(SEARCH("Транс",$C37)),_xlfn.XLOOKUP(1,('Фрахт Транс'!$A$5:$A$10=$D37)*1,_xlfn.XLOOKUP(1,('Фрахт Транс'!$B$3:$M$3 = $S$2)*('Фрахт Транс'!$B$4:$M$4=L$2),'Фрахт Транс'!$B$5:$M$10)),SUM($E37, $G37, $I37, $O37))</f>
        <v>424954</v>
      </c>
      <c r="M37" s="151" cm="1">
        <f t="array" aca="1" ref="M37" ca="1">IF(ISNUMBER(SEARCH("Транс",$C37)),_xlfn.XLOOKUP(1,('Фрахт Транс'!$A$5:$A$10=$D37)*1,_xlfn.XLOOKUP(1,('Фрахт Транс'!$B$3:$M$3=$S$2)*('Фрахт Транс'!$B$4:$M$4=M$2),'Фрахт Транс'!$B$5:$M$10)),SUM($E37, $G37, $J37, $O37))</f>
        <v>439954</v>
      </c>
      <c r="N37" s="151" cm="1">
        <f t="array" aca="1" ref="N37" ca="1">IF(ISNUMBER(SEARCH("Транс",$C37)),_xlfn.XLOOKUP(1,('Фрахт Транс'!$A$5:$A$10=$D37)*1,_xlfn.XLOOKUP(1,('Фрахт Транс'!$B$3:$M$3=$S$2)*('Фрахт Транс'!$B$4:$M$4=N$2),'Фрахт Транс'!$B$5:$M$10)),SUM($F37, $H37, $K37, $P37))</f>
        <v>696121</v>
      </c>
      <c r="O37" s="151" cm="1">
        <f t="array" aca="1" ref="O37" ca="1">IFERROR(_xlfn.XLOOKUP(1,  (Охрана!$A$6:$A$14 = $D37) * 1,  _xlfn.XLOOKUP(1,  (Охрана!$B$5:$M$5 = O$2) * (Охрана!$B$4:$M$4 = $S$2), Охрана!$B$6:$M$14)), "-")</f>
        <v>3394</v>
      </c>
      <c r="P37" s="196" cm="1">
        <f t="array" aca="1" ref="P37" ca="1">IFERROR(_xlfn.XLOOKUP(1,  (Охрана!$A$6:$A$14 = $D37) * 1,  _xlfn.XLOOKUP(1,  (Охрана!$B$5:$M$5 = P$2) * (Охрана!$B$4:$M$4 = $S$2), Охрана!$B$6:$M$14)), "-")</f>
        <v>6801</v>
      </c>
      <c r="Q37" s="38"/>
      <c r="R37" s="71"/>
      <c r="S37" s="4"/>
    </row>
    <row r="38" spans="1:21" ht="16.5" customHeight="1" thickBot="1" x14ac:dyDescent="0.3">
      <c r="A38" s="213" t="s">
        <v>15</v>
      </c>
      <c r="B38" s="288"/>
      <c r="C38" s="44" t="s">
        <v>37</v>
      </c>
      <c r="D38" s="53" t="s">
        <v>11</v>
      </c>
      <c r="E38" s="178" cm="1">
        <f t="array" ref="E38">IFERROR(_xlfn.XLOOKUP(1, (Фрахт!$A$5:$A$80 = $A38)* (Фрахт!$B$5:$B$80 = $C38) * (Фрахт!$C$5:$C$80 =$D38),  _xlfn.XLOOKUP(1,  (Фрахт!$D$4:$E$4 = E$2) * 1, Фрахт!$D$5:$E$80)) *  $S$1, "-")</f>
        <v>216000</v>
      </c>
      <c r="F38" s="159" cm="1">
        <f t="array" ref="F38">IFERROR(_xlfn.XLOOKUP(1, (Фрахт!$A$5:$A$80 = $A38)* (Фрахт!$B$5:$B$80 = $C38) * (Фрахт!$C$5:$C$80 =$D38),  _xlfn.XLOOKUP(1,  (Фрахт!$D$4:$E$4 = F$2) * 1, Фрахт!$D$5:$E$80)) *  $S$1, "-")</f>
        <v>360000</v>
      </c>
      <c r="G38" s="159" cm="1">
        <f t="array" aca="1" ref="G38" ca="1">IFERROR(_xlfn.XLOOKUP(1,  ('Drop off'!$A$6:$A$14 = $C38) * 1,  _xlfn.XLOOKUP(1,  ('Drop off'!$B$5:$I$5 = G$2) * ('Drop off'!$B$4:$I$4 = $S$2), 'Drop off'!$B$6:$I$14)) * $S$1, "-")</f>
        <v>0</v>
      </c>
      <c r="H38" s="159" cm="1">
        <f t="array" aca="1" ref="H38" ca="1">IFERROR(_xlfn.XLOOKUP(1,  ('Drop off'!$A$6:$A$14 = $C38) * 1,  _xlfn.XLOOKUP(1,  ('Drop off'!$B$5:$I$5 = H$2) * ('Drop off'!$B$4:$I$4 = $S$2), 'Drop off'!$B$6:$I$14)) * $S$1, "-")</f>
        <v>0</v>
      </c>
      <c r="I38" s="159" cm="1">
        <f t="array" aca="1" ref="I38" ca="1">IFERROR(_xlfn.XLOOKUP(1,  ('ж.д.'!$A$6:$A$14 = $D38) * 1,  _xlfn.XLOOKUP(1,  ('ж.д.'!$B$5:$M$5 = I$2) * ('ж.д.'!$B$4:$M$4 = $S$2), 'ж.д.'!$B$6:$M$14)), "-")</f>
        <v>122400</v>
      </c>
      <c r="J38" s="159" cm="1">
        <f t="array" aca="1" ref="J38" ca="1">IFERROR(_xlfn.XLOOKUP(1,  ('ж.д.'!$A$6:$A$14 = $D38) * 1,  _xlfn.XLOOKUP(1,  ('ж.д.'!$B$5:$M$5 = J$2) * ('ж.д.'!$B$4:$M$4 = $S$2), 'ж.д.'!$B$6:$M$14)), "-")</f>
        <v>139800</v>
      </c>
      <c r="K38" s="159" cm="1">
        <f t="array" aca="1" ref="K38" ca="1">IFERROR(_xlfn.XLOOKUP(1,  ('ж.д.'!$A$6:$A$14 = $D38) * 1,  _xlfn.XLOOKUP(1,  ('ж.д.'!$B$5:$M$5 = K$2) * ('ж.д.'!$B$4:$M$4 = $S$2), 'ж.д.'!$B$6:$M$14)), "-")</f>
        <v>224600</v>
      </c>
      <c r="L38" s="159" cm="1">
        <f t="array" aca="1" ref="L38" ca="1">IF(ISNUMBER(SEARCH("Транс",$C38)),_xlfn.XLOOKUP(1,('Фрахт Транс'!$A$5:$A$10=$D38)*1,_xlfn.XLOOKUP(1,('Фрахт Транс'!$B$3:$M$3 = $S$2)*('Фрахт Транс'!$B$4:$M$4=L$2),'Фрахт Транс'!$B$5:$M$10)),SUM($E38, $G38, $I38, $O38))</f>
        <v>341794</v>
      </c>
      <c r="M38" s="159" cm="1">
        <f t="array" aca="1" ref="M38" ca="1">IF(ISNUMBER(SEARCH("Транс",$C38)),_xlfn.XLOOKUP(1,('Фрахт Транс'!$A$5:$A$10=$D38)*1,_xlfn.XLOOKUP(1,('Фрахт Транс'!$B$3:$M$3=$S$2)*('Фрахт Транс'!$B$4:$M$4=M$2),'Фрахт Транс'!$B$5:$M$10)),SUM($E38, $G38, $J38, $O38))</f>
        <v>359194</v>
      </c>
      <c r="N38" s="159" cm="1">
        <f t="array" aca="1" ref="N38" ca="1">IF(ISNUMBER(SEARCH("Транс",$C38)),_xlfn.XLOOKUP(1,('Фрахт Транс'!$A$5:$A$10=$D38)*1,_xlfn.XLOOKUP(1,('Фрахт Транс'!$B$3:$M$3=$S$2)*('Фрахт Транс'!$B$4:$M$4=N$2),'Фрахт Транс'!$B$5:$M$10)),SUM($F38, $H38, $K38, $P38))</f>
        <v>591401</v>
      </c>
      <c r="O38" s="159" cm="1">
        <f t="array" aca="1" ref="O38" ca="1">IFERROR(_xlfn.XLOOKUP(1,  (Охрана!$A$6:$A$14 = $D38) * 1,  _xlfn.XLOOKUP(1,  (Охрана!$B$5:$M$5 = O$2) * (Охрана!$B$4:$M$4 = $S$2), Охрана!$B$6:$M$14)), "-")</f>
        <v>3394</v>
      </c>
      <c r="P38" s="205" cm="1">
        <f t="array" aca="1" ref="P38" ca="1">IFERROR(_xlfn.XLOOKUP(1,  (Охрана!$A$6:$A$14 = $D38) * 1,  _xlfn.XLOOKUP(1,  (Охрана!$B$5:$M$5 = P$2) * (Охрана!$B$4:$M$4 = $S$2), Охрана!$B$6:$M$14)), "-")</f>
        <v>6801</v>
      </c>
      <c r="Q38" s="38"/>
      <c r="R38" s="71"/>
      <c r="S38" s="4"/>
    </row>
    <row r="39" spans="1:21" ht="16.5" customHeight="1" thickBot="1" x14ac:dyDescent="0.3">
      <c r="A39" s="213" t="s">
        <v>15</v>
      </c>
      <c r="B39" s="288"/>
      <c r="C39" s="51" t="s">
        <v>38</v>
      </c>
      <c r="D39" s="52" t="s">
        <v>19</v>
      </c>
      <c r="E39" s="173" t="str" cm="1">
        <f t="array" ref="E39">IFERROR(_xlfn.XLOOKUP(1, (Фрахт!$A$5:$A$80 = $A39)* (Фрахт!$B$5:$B$80 = $C39) * (Фрахт!$C$5:$C$80 =$D39),  _xlfn.XLOOKUP(1,  (Фрахт!$D$4:$E$4 = E$2) * 1, Фрахт!$D$5:$E$80)) *  $S$1, "-")</f>
        <v>-</v>
      </c>
      <c r="F39" s="153" t="str" cm="1">
        <f t="array" ref="F39">IFERROR(_xlfn.XLOOKUP(1, (Фрахт!$A$5:$A$80 = $A39)* (Фрахт!$B$5:$B$80 = $C39) * (Фрахт!$C$5:$C$80 =$D39),  _xlfn.XLOOKUP(1,  (Фрахт!$D$4:$E$4 = F$2) * 1, Фрахт!$D$5:$E$80)) *  $S$1, "-")</f>
        <v>-</v>
      </c>
      <c r="G39" s="153" cm="1">
        <f t="array" aca="1" ref="G39" ca="1">IFERROR(_xlfn.XLOOKUP(1,  ('Drop off'!$A$6:$A$14 = $C39) * 1,  _xlfn.XLOOKUP(1,  ('Drop off'!$B$5:$I$5 = G$2) * ('Drop off'!$B$4:$I$4 = $S$2), 'Drop off'!$B$6:$I$14)) * $S$1, "-")</f>
        <v>0</v>
      </c>
      <c r="H39" s="153" cm="1">
        <f t="array" aca="1" ref="H39" ca="1">IFERROR(_xlfn.XLOOKUP(1,  ('Drop off'!$A$6:$A$14 = $C39) * 1,  _xlfn.XLOOKUP(1,  ('Drop off'!$B$5:$I$5 = H$2) * ('Drop off'!$B$4:$I$4 = $S$2), 'Drop off'!$B$6:$I$14)) * $S$1, "-")</f>
        <v>0</v>
      </c>
      <c r="I39" s="153" cm="1">
        <f t="array" aca="1" ref="I39" ca="1">IFERROR(_xlfn.XLOOKUP(1,  ('ж.д.'!$A$6:$A$14 = $D39) * 1,  _xlfn.XLOOKUP(1,  ('ж.д.'!$B$5:$M$5 = I$2) * ('ж.д.'!$B$4:$M$4 = $S$2), 'ж.д.'!$B$6:$M$14)), "-")</f>
        <v>134400</v>
      </c>
      <c r="J39" s="153" cm="1">
        <f t="array" aca="1" ref="J39" ca="1">IFERROR(_xlfn.XLOOKUP(1,  ('ж.д.'!$A$6:$A$14 = $D39) * 1,  _xlfn.XLOOKUP(1,  ('ж.д.'!$B$5:$M$5 = J$2) * ('ж.д.'!$B$4:$M$4 = $S$2), 'ж.д.'!$B$6:$M$14)), "-")</f>
        <v>149400</v>
      </c>
      <c r="K39" s="153" cm="1">
        <f t="array" aca="1" ref="K39" ca="1">IFERROR(_xlfn.XLOOKUP(1,  ('ж.д.'!$A$6:$A$14 = $D39) * 1,  _xlfn.XLOOKUP(1,  ('ж.д.'!$B$5:$M$5 = K$2) * ('ж.д.'!$B$4:$M$4 = $S$2), 'ж.д.'!$B$6:$M$14)), "-")</f>
        <v>235000</v>
      </c>
      <c r="L39" s="153" cm="1">
        <f t="array" aca="1" ref="L39" ca="1">IF(ISNUMBER(SEARCH("Транс",$C39)),_xlfn.XLOOKUP(1,('Фрахт Транс'!$A$5:$A$10=$D39)*1,_xlfn.XLOOKUP(1,('Фрахт Транс'!$B$3:$M$3 = $S$2)*('Фрахт Транс'!$B$4:$M$4=L$2),'Фрахт Транс'!$B$5:$M$10)),SUM($E39, $G39, $I39, $O39))</f>
        <v>137794</v>
      </c>
      <c r="M39" s="153" cm="1">
        <f t="array" aca="1" ref="M39" ca="1">IF(ISNUMBER(SEARCH("Транс",$C39)),_xlfn.XLOOKUP(1,('Фрахт Транс'!$A$5:$A$10=$D39)*1,_xlfn.XLOOKUP(1,('Фрахт Транс'!$B$3:$M$3=$S$2)*('Фрахт Транс'!$B$4:$M$4=M$2),'Фрахт Транс'!$B$5:$M$10)),SUM($E39, $G39, $J39, $O39))</f>
        <v>152794</v>
      </c>
      <c r="N39" s="153" cm="1">
        <f t="array" aca="1" ref="N39" ca="1">IF(ISNUMBER(SEARCH("Транс",$C39)),_xlfn.XLOOKUP(1,('Фрахт Транс'!$A$5:$A$10=$D39)*1,_xlfn.XLOOKUP(1,('Фрахт Транс'!$B$3:$M$3=$S$2)*('Фрахт Транс'!$B$4:$M$4=N$2),'Фрахт Транс'!$B$5:$M$10)),SUM($F39, $H39, $K39, $P39))</f>
        <v>241801</v>
      </c>
      <c r="O39" s="153" cm="1">
        <f t="array" aca="1" ref="O39" ca="1">IFERROR(_xlfn.XLOOKUP(1,  (Охрана!$A$6:$A$14 = $D39) * 1,  _xlfn.XLOOKUP(1,  (Охрана!$B$5:$M$5 = O$2) * (Охрана!$B$4:$M$4 = $S$2), Охрана!$B$6:$M$14)), "-")</f>
        <v>3394</v>
      </c>
      <c r="P39" s="198" cm="1">
        <f t="array" aca="1" ref="P39" ca="1">IFERROR(_xlfn.XLOOKUP(1,  (Охрана!$A$6:$A$14 = $D39) * 1,  _xlfn.XLOOKUP(1,  (Охрана!$B$5:$M$5 = P$2) * (Охрана!$B$4:$M$4 = $S$2), Охрана!$B$6:$M$14)), "-")</f>
        <v>6801</v>
      </c>
      <c r="Q39" s="282"/>
      <c r="R39" s="71"/>
      <c r="S39" s="4"/>
    </row>
    <row r="40" spans="1:21" ht="16.5" customHeight="1" thickBot="1" x14ac:dyDescent="0.3">
      <c r="A40" s="213" t="s">
        <v>15</v>
      </c>
      <c r="B40" s="288"/>
      <c r="C40" s="51" t="s">
        <v>38</v>
      </c>
      <c r="D40" s="52" t="s">
        <v>21</v>
      </c>
      <c r="E40" s="173" cm="1">
        <f t="array" ref="E40">IFERROR(_xlfn.XLOOKUP(1, (Фрахт!$A$5:$A$80 = $A40)* (Фрахт!$B$5:$B$80 = $C40) * (Фрахт!$C$5:$C$80 =$D40),  _xlfn.XLOOKUP(1,  (Фрахт!$D$4:$E$4 = E$2) * 1, Фрахт!$D$5:$E$80)) *  $S$1, "-")</f>
        <v>261000</v>
      </c>
      <c r="F40" s="153" cm="1">
        <f t="array" ref="F40">IFERROR(_xlfn.XLOOKUP(1, (Фрахт!$A$5:$A$80 = $A40)* (Фрахт!$B$5:$B$80 = $C40) * (Фрахт!$C$5:$C$80 =$D40),  _xlfn.XLOOKUP(1,  (Фрахт!$D$4:$E$4 = F$2) * 1, Фрахт!$D$5:$E$80)) *  $S$1, "-")</f>
        <v>372900</v>
      </c>
      <c r="G40" s="153" cm="1">
        <f t="array" aca="1" ref="G40" ca="1">IFERROR(_xlfn.XLOOKUP(1,  ('Drop off'!$A$6:$A$14 = $C40) * 1,  _xlfn.XLOOKUP(1,  ('Drop off'!$B$5:$I$5 = G$2) * ('Drop off'!$B$4:$I$4 = $S$2), 'Drop off'!$B$6:$I$14)) * $S$1, "-")</f>
        <v>0</v>
      </c>
      <c r="H40" s="153" cm="1">
        <f t="array" aca="1" ref="H40" ca="1">IFERROR(_xlfn.XLOOKUP(1,  ('Drop off'!$A$6:$A$14 = $C40) * 1,  _xlfn.XLOOKUP(1,  ('Drop off'!$B$5:$I$5 = H$2) * ('Drop off'!$B$4:$I$4 = $S$2), 'Drop off'!$B$6:$I$14)) * $S$1, "-")</f>
        <v>0</v>
      </c>
      <c r="I40" s="153" cm="1">
        <f t="array" aca="1" ref="I40" ca="1">IFERROR(_xlfn.XLOOKUP(1,  ('ж.д.'!$A$6:$A$14 = $D40) * 1,  _xlfn.XLOOKUP(1,  ('ж.д.'!$B$5:$M$5 = I$2) * ('ж.д.'!$B$4:$M$4 = $S$2), 'ж.д.'!$B$6:$M$14)), "-")</f>
        <v>134400</v>
      </c>
      <c r="J40" s="153" cm="1">
        <f t="array" aca="1" ref="J40" ca="1">IFERROR(_xlfn.XLOOKUP(1,  ('ж.д.'!$A$6:$A$14 = $D40) * 1,  _xlfn.XLOOKUP(1,  ('ж.д.'!$B$5:$M$5 = J$2) * ('ж.д.'!$B$4:$M$4 = $S$2), 'ж.д.'!$B$6:$M$14)), "-")</f>
        <v>149400</v>
      </c>
      <c r="K40" s="153" cm="1">
        <f t="array" aca="1" ref="K40" ca="1">IFERROR(_xlfn.XLOOKUP(1,  ('ж.д.'!$A$6:$A$14 = $D40) * 1,  _xlfn.XLOOKUP(1,  ('ж.д.'!$B$5:$M$5 = K$2) * ('ж.д.'!$B$4:$M$4 = $S$2), 'ж.д.'!$B$6:$M$14)), "-")</f>
        <v>235000</v>
      </c>
      <c r="L40" s="153" cm="1">
        <f t="array" aca="1" ref="L40" ca="1">IF(ISNUMBER(SEARCH("Транс",$C40)),_xlfn.XLOOKUP(1,('Фрахт Транс'!$A$5:$A$10=$D40)*1,_xlfn.XLOOKUP(1,('Фрахт Транс'!$B$3:$M$3 = $S$2)*('Фрахт Транс'!$B$4:$M$4=L$2),'Фрахт Транс'!$B$5:$M$10)),SUM($E40, $G40, $I40, $O40))</f>
        <v>398794</v>
      </c>
      <c r="M40" s="153" cm="1">
        <f t="array" aca="1" ref="M40" ca="1">IF(ISNUMBER(SEARCH("Транс",$C40)),_xlfn.XLOOKUP(1,('Фрахт Транс'!$A$5:$A$10=$D40)*1,_xlfn.XLOOKUP(1,('Фрахт Транс'!$B$3:$M$3=$S$2)*('Фрахт Транс'!$B$4:$M$4=M$2),'Фрахт Транс'!$B$5:$M$10)),SUM($E40, $G40, $J40, $O40))</f>
        <v>413794</v>
      </c>
      <c r="N40" s="153" cm="1">
        <f t="array" aca="1" ref="N40" ca="1">IF(ISNUMBER(SEARCH("Транс",$C40)),_xlfn.XLOOKUP(1,('Фрахт Транс'!$A$5:$A$10=$D40)*1,_xlfn.XLOOKUP(1,('Фрахт Транс'!$B$3:$M$3=$S$2)*('Фрахт Транс'!$B$4:$M$4=N$2),'Фрахт Транс'!$B$5:$M$10)),SUM($F40, $H40, $K40, $P40))</f>
        <v>614701</v>
      </c>
      <c r="O40" s="153" cm="1">
        <f t="array" aca="1" ref="O40" ca="1">IFERROR(_xlfn.XLOOKUP(1,  (Охрана!$A$6:$A$14 = $D40) * 1,  _xlfn.XLOOKUP(1,  (Охрана!$B$5:$M$5 = O$2) * (Охрана!$B$4:$M$4 = $S$2), Охрана!$B$6:$M$14)), "-")</f>
        <v>3394</v>
      </c>
      <c r="P40" s="198" cm="1">
        <f t="array" aca="1" ref="P40" ca="1">IFERROR(_xlfn.XLOOKUP(1,  (Охрана!$A$6:$A$14 = $D40) * 1,  _xlfn.XLOOKUP(1,  (Охрана!$B$5:$M$5 = P$2) * (Охрана!$B$4:$M$4 = $S$2), Охрана!$B$6:$M$14)), "-")</f>
        <v>6801</v>
      </c>
      <c r="Q40" s="282"/>
      <c r="R40" s="71"/>
      <c r="S40" s="4"/>
    </row>
    <row r="41" spans="1:21" ht="16.5" customHeight="1" thickBot="1" x14ac:dyDescent="0.3">
      <c r="A41" s="213" t="s">
        <v>15</v>
      </c>
      <c r="B41" s="288"/>
      <c r="C41" s="60" t="s">
        <v>38</v>
      </c>
      <c r="D41" s="61" t="s">
        <v>39</v>
      </c>
      <c r="E41" s="182" t="str" cm="1">
        <f t="array" ref="E41">IFERROR(_xlfn.XLOOKUP(1, (Фрахт!$A$5:$A$80 = $A41)* (Фрахт!$B$5:$B$80 = $C41) * (Фрахт!$C$5:$C$80 =$D41),  _xlfn.XLOOKUP(1,  (Фрахт!$D$4:$E$4 = E$2) * 1, Фрахт!$D$5:$E$80)) *  $S$1, "-")</f>
        <v>-</v>
      </c>
      <c r="F41" s="163" t="str" cm="1">
        <f t="array" ref="F41">IFERROR(_xlfn.XLOOKUP(1, (Фрахт!$A$5:$A$80 = $A41)* (Фрахт!$B$5:$B$80 = $C41) * (Фрахт!$C$5:$C$80 =$D41),  _xlfn.XLOOKUP(1,  (Фрахт!$D$4:$E$4 = F$2) * 1, Фрахт!$D$5:$E$80)) *  $S$1, "-")</f>
        <v>-</v>
      </c>
      <c r="G41" s="163" cm="1">
        <f t="array" aca="1" ref="G41" ca="1">IFERROR(_xlfn.XLOOKUP(1,  ('Drop off'!$A$6:$A$14 = $C41) * 1,  _xlfn.XLOOKUP(1,  ('Drop off'!$B$5:$I$5 = G$2) * ('Drop off'!$B$4:$I$4 = $S$2), 'Drop off'!$B$6:$I$14)) * $S$1, "-")</f>
        <v>0</v>
      </c>
      <c r="H41" s="163" cm="1">
        <f t="array" aca="1" ref="H41" ca="1">IFERROR(_xlfn.XLOOKUP(1,  ('Drop off'!$A$6:$A$14 = $C41) * 1,  _xlfn.XLOOKUP(1,  ('Drop off'!$B$5:$I$5 = H$2) * ('Drop off'!$B$4:$I$4 = $S$2), 'Drop off'!$B$6:$I$14)) * $S$1, "-")</f>
        <v>0</v>
      </c>
      <c r="I41" s="163" t="str" cm="1">
        <f t="array" aca="1" ref="I41" ca="1">IFERROR(_xlfn.XLOOKUP(1,  ('ж.д.'!$A$6:$A$14 = $D41) * 1,  _xlfn.XLOOKUP(1,  ('ж.д.'!$B$5:$M$5 = I$2) * ('ж.д.'!$B$4:$M$4 = $S$2), 'ж.д.'!$B$6:$M$14)), "-")</f>
        <v>-</v>
      </c>
      <c r="J41" s="163" t="str" cm="1">
        <f t="array" aca="1" ref="J41" ca="1">IFERROR(_xlfn.XLOOKUP(1,  ('ж.д.'!$A$6:$A$14 = $D41) * 1,  _xlfn.XLOOKUP(1,  ('ж.д.'!$B$5:$M$5 = J$2) * ('ж.д.'!$B$4:$M$4 = $S$2), 'ж.д.'!$B$6:$M$14)), "-")</f>
        <v>-</v>
      </c>
      <c r="K41" s="163" t="str" cm="1">
        <f t="array" aca="1" ref="K41" ca="1">IFERROR(_xlfn.XLOOKUP(1,  ('ж.д.'!$A$6:$A$14 = $D41) * 1,  _xlfn.XLOOKUP(1,  ('ж.д.'!$B$5:$M$5 = K$2) * ('ж.д.'!$B$4:$M$4 = $S$2), 'ж.д.'!$B$6:$M$14)), "-")</f>
        <v>-</v>
      </c>
      <c r="L41" s="163" cm="1">
        <f t="array" aca="1" ref="L41" ca="1">IF(ISNUMBER(SEARCH("Транс",$C41)),_xlfn.XLOOKUP(1,('Фрахт Транс'!$A$5:$A$10=$D41)*1,_xlfn.XLOOKUP(1,('Фрахт Транс'!$B$3:$M$3 = $S$2)*('Фрахт Транс'!$B$4:$M$4=L$2),'Фрахт Транс'!$B$5:$M$10)),SUM($E41, $G41, $I41, $O41))</f>
        <v>0</v>
      </c>
      <c r="M41" s="163" cm="1">
        <f t="array" aca="1" ref="M41" ca="1">IF(ISNUMBER(SEARCH("Транс",$C41)),_xlfn.XLOOKUP(1,('Фрахт Транс'!$A$5:$A$10=$D41)*1,_xlfn.XLOOKUP(1,('Фрахт Транс'!$B$3:$M$3=$S$2)*('Фрахт Транс'!$B$4:$M$4=M$2),'Фрахт Транс'!$B$5:$M$10)),SUM($E41, $G41, $J41, $O41))</f>
        <v>0</v>
      </c>
      <c r="N41" s="163" cm="1">
        <f t="array" aca="1" ref="N41" ca="1">IF(ISNUMBER(SEARCH("Транс",$C41)),_xlfn.XLOOKUP(1,('Фрахт Транс'!$A$5:$A$10=$D41)*1,_xlfn.XLOOKUP(1,('Фрахт Транс'!$B$3:$M$3=$S$2)*('Фрахт Транс'!$B$4:$M$4=N$2),'Фрахт Транс'!$B$5:$M$10)),SUM($F41, $H41, $K41, $P41))</f>
        <v>0</v>
      </c>
      <c r="O41" s="163" t="str" cm="1">
        <f t="array" aca="1" ref="O41" ca="1">IFERROR(_xlfn.XLOOKUP(1,  (Охрана!$A$6:$A$14 = $D41) * 1,  _xlfn.XLOOKUP(1,  (Охрана!$B$5:$M$5 = O$2) * (Охрана!$B$4:$M$4 = $S$2), Охрана!$B$6:$M$14)), "-")</f>
        <v>-</v>
      </c>
      <c r="P41" s="209" t="str" cm="1">
        <f t="array" aca="1" ref="P41" ca="1">IFERROR(_xlfn.XLOOKUP(1,  (Охрана!$A$6:$A$14 = $D41) * 1,  _xlfn.XLOOKUP(1,  (Охрана!$B$5:$M$5 = P$2) * (Охрана!$B$4:$M$4 = $S$2), Охрана!$B$6:$M$14)), "-")</f>
        <v>-</v>
      </c>
      <c r="Q41" s="282"/>
      <c r="R41" s="71"/>
      <c r="S41" s="4"/>
    </row>
    <row r="42" spans="1:21" ht="15.75" customHeight="1" thickBot="1" x14ac:dyDescent="0.3">
      <c r="A42" s="213" t="s">
        <v>15</v>
      </c>
      <c r="B42" s="288"/>
      <c r="C42" s="86" t="s">
        <v>54</v>
      </c>
      <c r="D42" s="87" t="s">
        <v>56</v>
      </c>
      <c r="E42" s="183" cm="1">
        <f t="array" ref="E42">IFERROR(_xlfn.XLOOKUP(1, (Фрахт!$A$5:$A$80 = $A42)* (Фрахт!$B$5:$B$80 = $C42) * (Фрахт!$C$5:$C$80 =$D42),  _xlfn.XLOOKUP(1,  (Фрахт!$D$4:$E$4 = E$2) * 1, Фрахт!$D$5:$E$80)) *  $S$1, "-")</f>
        <v>234840</v>
      </c>
      <c r="F42" s="164" cm="1">
        <f t="array" ref="F42">IFERROR(_xlfn.XLOOKUP(1, (Фрахт!$A$5:$A$80 = $A42)* (Фрахт!$B$5:$B$80 = $C42) * (Фрахт!$C$5:$C$80 =$D42),  _xlfn.XLOOKUP(1,  (Фрахт!$D$4:$E$4 = F$2) * 1, Фрахт!$D$5:$E$80)) *  $S$1, "-")</f>
        <v>343200</v>
      </c>
      <c r="G42" s="164" cm="1">
        <f t="array" aca="1" ref="G42" ca="1">IFERROR(_xlfn.XLOOKUP(1,  ('Drop off'!$A$6:$A$14 = $C42) * 1,  _xlfn.XLOOKUP(1,  ('Drop off'!$B$5:$I$5 = G$2) * ('Drop off'!$B$4:$I$4 = $S$2), 'Drop off'!$B$6:$I$14)) * $S$1, "-")</f>
        <v>6000</v>
      </c>
      <c r="H42" s="164" cm="1">
        <f t="array" aca="1" ref="H42" ca="1">IFERROR(_xlfn.XLOOKUP(1,  ('Drop off'!$A$6:$A$14 = $C42) * 1,  _xlfn.XLOOKUP(1,  ('Drop off'!$B$5:$I$5 = H$2) * ('Drop off'!$B$4:$I$4 = $S$2), 'Drop off'!$B$6:$I$14)) * $S$1, "-")</f>
        <v>6000</v>
      </c>
      <c r="I42" s="164" cm="1">
        <f t="array" aca="1" ref="I42" ca="1">IFERROR(_xlfn.XLOOKUP(1,  ('ж.д.'!$A$6:$A$14 = $D42) * 1,  _xlfn.XLOOKUP(1,  ('ж.д.'!$B$5:$M$5 = I$2) * ('ж.д.'!$B$4:$M$4 = $S$2), 'ж.д.'!$B$6:$M$14)), "-")</f>
        <v>122400</v>
      </c>
      <c r="J42" s="164" cm="1">
        <f t="array" aca="1" ref="J42" ca="1">IFERROR(_xlfn.XLOOKUP(1,  ('ж.д.'!$A$6:$A$14 = $D42) * 1,  _xlfn.XLOOKUP(1,  ('ж.д.'!$B$5:$M$5 = J$2) * ('ж.д.'!$B$4:$M$4 = $S$2), 'ж.д.'!$B$6:$M$14)), "-")</f>
        <v>139800</v>
      </c>
      <c r="K42" s="164" cm="1">
        <f t="array" aca="1" ref="K42" ca="1">IFERROR(_xlfn.XLOOKUP(1,  ('ж.д.'!$A$6:$A$14 = $D42) * 1,  _xlfn.XLOOKUP(1,  ('ж.д.'!$B$5:$M$5 = K$2) * ('ж.д.'!$B$4:$M$4 = $S$2), 'ж.д.'!$B$6:$M$14)), "-")</f>
        <v>155000</v>
      </c>
      <c r="L42" s="164" cm="1">
        <f t="array" aca="1" ref="L42" ca="1">IF(ISNUMBER(SEARCH("Транс",$C42)),_xlfn.XLOOKUP(1,('Фрахт Транс'!$A$5:$A$10=$D42)*1,_xlfn.XLOOKUP(1,('Фрахт Транс'!$B$3:$M$3 = $S$2)*('Фрахт Транс'!$B$4:$M$4=L$2),'Фрахт Транс'!$B$5:$M$10)),SUM($E42, $G42, $I42, $O42))</f>
        <v>363240</v>
      </c>
      <c r="M42" s="164" cm="1">
        <f t="array" aca="1" ref="M42" ca="1">IF(ISNUMBER(SEARCH("Транс",$C42)),_xlfn.XLOOKUP(1,('Фрахт Транс'!$A$5:$A$10=$D42)*1,_xlfn.XLOOKUP(1,('Фрахт Транс'!$B$3:$M$3=$S$2)*('Фрахт Транс'!$B$4:$M$4=M$2),'Фрахт Транс'!$B$5:$M$10)),SUM($E42, $G42, $J42, $O42))</f>
        <v>380640</v>
      </c>
      <c r="N42" s="164" cm="1">
        <f t="array" aca="1" ref="N42" ca="1">IF(ISNUMBER(SEARCH("Транс",$C42)),_xlfn.XLOOKUP(1,('Фрахт Транс'!$A$5:$A$10=$D42)*1,_xlfn.XLOOKUP(1,('Фрахт Транс'!$B$3:$M$3=$S$2)*('Фрахт Транс'!$B$4:$M$4=N$2),'Фрахт Транс'!$B$5:$M$10)),SUM($F42, $H42, $K42, $P42))</f>
        <v>504200</v>
      </c>
      <c r="O42" s="164" t="str" cm="1">
        <f t="array" aca="1" ref="O42" ca="1">IFERROR(_xlfn.XLOOKUP(1,  (Охрана!$A$6:$A$14 = $D42) * 1,  _xlfn.XLOOKUP(1,  (Охрана!$B$5:$M$5 = O$2) * (Охрана!$B$4:$M$4 = $S$2), Охрана!$B$6:$M$14)), "-")</f>
        <v>-</v>
      </c>
      <c r="P42" s="210" t="str" cm="1">
        <f t="array" aca="1" ref="P42" ca="1">IFERROR(_xlfn.XLOOKUP(1,  (Охрана!$A$6:$A$14 = $D42) * 1,  _xlfn.XLOOKUP(1,  (Охрана!$B$5:$M$5 = P$2) * (Охрана!$B$4:$M$4 = $S$2), Охрана!$B$6:$M$14)), "-")</f>
        <v>-</v>
      </c>
      <c r="Q42" s="38"/>
      <c r="R42" s="3"/>
      <c r="S42" s="6"/>
      <c r="U42" s="3"/>
    </row>
    <row r="43" spans="1:21" ht="15.75" customHeight="1" thickBot="1" x14ac:dyDescent="0.3">
      <c r="A43" s="213" t="s">
        <v>15</v>
      </c>
      <c r="B43" s="289"/>
      <c r="C43" s="78" t="s">
        <v>53</v>
      </c>
      <c r="D43" s="79" t="s">
        <v>7</v>
      </c>
      <c r="E43" s="181" cm="1">
        <f t="array" ref="E43">IFERROR(_xlfn.XLOOKUP(1, (Фрахт!$A$5:$A$80 = $A43)* (Фрахт!$B$5:$B$80 = $C43) * (Фрахт!$C$5:$C$80 =$D43),  _xlfn.XLOOKUP(1,  (Фрахт!$D$4:$E$4 = E$2) * 1, Фрахт!$D$5:$E$80)) *  $S$1, "-")</f>
        <v>282000</v>
      </c>
      <c r="F43" s="162" cm="1">
        <f t="array" ref="F43">IFERROR(_xlfn.XLOOKUP(1, (Фрахт!$A$5:$A$80 = $A43)* (Фрахт!$B$5:$B$80 = $C43) * (Фрахт!$C$5:$C$80 =$D43),  _xlfn.XLOOKUP(1,  (Фрахт!$D$4:$E$4 = F$2) * 1, Фрахт!$D$5:$E$80)) *  $S$1, "-")</f>
        <v>342000</v>
      </c>
      <c r="G43" s="162" cm="1">
        <f t="array" aca="1" ref="G43" ca="1">IFERROR(_xlfn.XLOOKUP(1,  ('Drop off'!$A$6:$A$14 = $C43) * 1,  _xlfn.XLOOKUP(1,  ('Drop off'!$B$5:$I$5 = G$2) * ('Drop off'!$B$4:$I$4 = $S$2), 'Drop off'!$B$6:$I$14)) * $S$1, "-")</f>
        <v>0</v>
      </c>
      <c r="H43" s="162" cm="1">
        <f t="array" aca="1" ref="H43" ca="1">IFERROR(_xlfn.XLOOKUP(1,  ('Drop off'!$A$6:$A$14 = $C43) * 1,  _xlfn.XLOOKUP(1,  ('Drop off'!$B$5:$I$5 = H$2) * ('Drop off'!$B$4:$I$4 = $S$2), 'Drop off'!$B$6:$I$14)) * $S$1, "-")</f>
        <v>0</v>
      </c>
      <c r="I43" s="162" cm="1">
        <f t="array" aca="1" ref="I43" ca="1">IFERROR(_xlfn.XLOOKUP(1,  ('ж.д.'!$A$6:$A$14 = $D43) * 1,  _xlfn.XLOOKUP(1,  ('ж.д.'!$B$5:$M$5 = I$2) * ('ж.д.'!$B$4:$M$4 = $S$2), 'ж.д.'!$B$6:$M$14)), "-")</f>
        <v>125000</v>
      </c>
      <c r="J43" s="162" cm="1">
        <f t="array" aca="1" ref="J43" ca="1">IFERROR(_xlfn.XLOOKUP(1,  ('ж.д.'!$A$6:$A$14 = $D43) * 1,  _xlfn.XLOOKUP(1,  ('ж.д.'!$B$5:$M$5 = J$2) * ('ж.д.'!$B$4:$M$4 = $S$2), 'ж.д.'!$B$6:$M$14)), "-")</f>
        <v>140000</v>
      </c>
      <c r="K43" s="162" cm="1">
        <f t="array" aca="1" ref="K43" ca="1">IFERROR(_xlfn.XLOOKUP(1,  ('ж.д.'!$A$6:$A$14 = $D43) * 1,  _xlfn.XLOOKUP(1,  ('ж.д.'!$B$5:$M$5 = K$2) * ('ж.д.'!$B$4:$M$4 = $S$2), 'ж.д.'!$B$6:$M$14)), "-")</f>
        <v>227000</v>
      </c>
      <c r="L43" s="162" cm="1">
        <f t="array" aca="1" ref="L43" ca="1">IF(ISNUMBER(SEARCH("Транс",$C43)),_xlfn.XLOOKUP(1,('Фрахт Транс'!$A$5:$A$10=$D43)*1,_xlfn.XLOOKUP(1,('Фрахт Транс'!$B$3:$M$3 = $S$2)*('Фрахт Транс'!$B$4:$M$4=L$2),'Фрахт Транс'!$B$5:$M$10)),SUM($E43, $G43, $I43, $O43))</f>
        <v>411100</v>
      </c>
      <c r="M43" s="162" cm="1">
        <f t="array" aca="1" ref="M43" ca="1">IF(ISNUMBER(SEARCH("Транс",$C43)),_xlfn.XLOOKUP(1,('Фрахт Транс'!$A$5:$A$10=$D43)*1,_xlfn.XLOOKUP(1,('Фрахт Транс'!$B$3:$M$3=$S$2)*('Фрахт Транс'!$B$4:$M$4=M$2),'Фрахт Транс'!$B$5:$M$10)),SUM($E43, $G43, $J43, $O43))</f>
        <v>426100</v>
      </c>
      <c r="N43" s="162" cm="1">
        <f t="array" aca="1" ref="N43" ca="1">IF(ISNUMBER(SEARCH("Транс",$C43)),_xlfn.XLOOKUP(1,('Фрахт Транс'!$A$5:$A$10=$D43)*1,_xlfn.XLOOKUP(1,('Фрахт Транс'!$B$3:$M$3=$S$2)*('Фрахт Транс'!$B$4:$M$4=N$2),'Фрахт Транс'!$B$5:$M$10)),SUM($F43, $H43, $K43, $P43))</f>
        <v>577200</v>
      </c>
      <c r="O43" s="162" cm="1">
        <f t="array" aca="1" ref="O43" ca="1">IFERROR(_xlfn.XLOOKUP(1,  (Охрана!$A$6:$A$14 = $D43) * 1,  _xlfn.XLOOKUP(1,  (Охрана!$B$5:$M$5 = O$2) * (Охрана!$B$4:$M$4 = $S$2), Охрана!$B$6:$M$14)), "-")</f>
        <v>4100</v>
      </c>
      <c r="P43" s="208" cm="1">
        <f t="array" aca="1" ref="P43" ca="1">IFERROR(_xlfn.XLOOKUP(1,  (Охрана!$A$6:$A$14 = $D43) * 1,  _xlfn.XLOOKUP(1,  (Охрана!$B$5:$M$5 = P$2) * (Охрана!$B$4:$M$4 = $S$2), Охрана!$B$6:$M$14)), "-")</f>
        <v>8200</v>
      </c>
      <c r="Q43" s="38"/>
      <c r="R43" s="71"/>
      <c r="S43" s="6"/>
      <c r="U43" s="3"/>
    </row>
    <row r="44" spans="1:21" ht="30.75" thickBot="1" x14ac:dyDescent="0.3">
      <c r="A44" s="214" t="s">
        <v>16</v>
      </c>
      <c r="B44" s="290" t="s">
        <v>16</v>
      </c>
      <c r="C44" s="63" t="s">
        <v>43</v>
      </c>
      <c r="D44" s="64" t="s">
        <v>48</v>
      </c>
      <c r="E44" s="168" t="str" cm="1">
        <f t="array" ref="E44">IFERROR(_xlfn.XLOOKUP(1, (Фрахт!$A$5:$A$80 = $A44)* (Фрахт!$B$5:$B$80 = $C44) * (Фрахт!$C$5:$C$80 =$D44),  _xlfn.XLOOKUP(1,  (Фрахт!$D$4:$E$4 = E$2) * 1, Фрахт!$D$5:$E$80)) *  $S$1, "-")</f>
        <v>-</v>
      </c>
      <c r="F44" s="168" t="str" cm="1">
        <f t="array" ref="F44">IFERROR(_xlfn.XLOOKUP(1, (Фрахт!$A$5:$A$80 = $A44)* (Фрахт!$B$5:$B$80 = $C44) * (Фрахт!$C$5:$C$80 =$D44),  _xlfn.XLOOKUP(1,  (Фрахт!$D$4:$E$4 = F$2) * 1, Фрахт!$D$5:$E$80)) *  $S$1, "-")</f>
        <v>-</v>
      </c>
      <c r="G44" s="148" cm="1">
        <f t="array" aca="1" ref="G44" ca="1">IFERROR(_xlfn.XLOOKUP(1,  ('Drop off'!$A$6:$A$14 = $C44) * 1,  _xlfn.XLOOKUP(1,  ('Drop off'!$B$5:$I$5 = G$2) * ('Drop off'!$B$4:$I$4 = $S$2), 'Drop off'!$B$6:$I$14)) * $S$1, "-")</f>
        <v>0</v>
      </c>
      <c r="H44" s="148" cm="1">
        <f t="array" aca="1" ref="H44" ca="1">IFERROR(_xlfn.XLOOKUP(1,  ('Drop off'!$A$6:$A$14 = $C44) * 1,  _xlfn.XLOOKUP(1,  ('Drop off'!$B$5:$I$5 = H$2) * ('Drop off'!$B$4:$I$4 = $S$2), 'Drop off'!$B$6:$I$14)) * $S$1, "-")</f>
        <v>0</v>
      </c>
      <c r="I44" s="148" t="str" cm="1">
        <f t="array" aca="1" ref="I44" ca="1">IFERROR(_xlfn.XLOOKUP(1,  ('ж.д.'!$A$6:$A$14 = $D44) * 1,  _xlfn.XLOOKUP(1,  ('ж.д.'!$B$5:$M$5 = I$2) * ('ж.д.'!$B$4:$M$4 = $S$2), 'ж.д.'!$B$6:$M$14)), "-")</f>
        <v>-</v>
      </c>
      <c r="J44" s="148" t="str" cm="1">
        <f t="array" aca="1" ref="J44" ca="1">IFERROR(_xlfn.XLOOKUP(1,  ('ж.д.'!$A$6:$A$14 = $D44) * 1,  _xlfn.XLOOKUP(1,  ('ж.д.'!$B$5:$M$5 = J$2) * ('ж.д.'!$B$4:$M$4 = $S$2), 'ж.д.'!$B$6:$M$14)), "-")</f>
        <v>-</v>
      </c>
      <c r="K44" s="148" t="str" cm="1">
        <f t="array" aca="1" ref="K44" ca="1">IFERROR(_xlfn.XLOOKUP(1,  ('ж.д.'!$A$6:$A$14 = $D44) * 1,  _xlfn.XLOOKUP(1,  ('ж.д.'!$B$5:$M$5 = K$2) * ('ж.д.'!$B$4:$M$4 = $S$2), 'ж.д.'!$B$6:$M$14)), "-")</f>
        <v>-</v>
      </c>
      <c r="L44" s="191" cm="1">
        <f t="array" aca="1" ref="L44" ca="1">IF(ISNUMBER(SEARCH("Транс",$C44)),_xlfn.XLOOKUP(1,('Фрахт Транс'!$A$5:$A$10=$D44)*1,_xlfn.XLOOKUP(1,('Фрахт Транс'!$B$3:$M$3 = $S$2)*('Фрахт Транс'!$B$4:$M$4=L$2),'Фрахт Транс'!$B$5:$M$10)),SUM($E44, $G44, $I44, $O44))</f>
        <v>423556</v>
      </c>
      <c r="M44" s="148" cm="1">
        <f t="array" aca="1" ref="M44" ca="1">IF(ISNUMBER(SEARCH("Транс",$C44)),_xlfn.XLOOKUP(1,('Фрахт Транс'!$A$5:$A$10=$D44)*1,_xlfn.XLOOKUP(1,('Фрахт Транс'!$B$3:$M$3=$S$2)*('Фрахт Транс'!$B$4:$M$4=M$2),'Фрахт Транс'!$B$5:$M$10)),SUM($E44, $G44, $J44, $O44))</f>
        <v>441094</v>
      </c>
      <c r="N44" s="148" cm="1">
        <f t="array" aca="1" ref="N44" ca="1">IF(ISNUMBER(SEARCH("Транс",$C44)),_xlfn.XLOOKUP(1,('Фрахт Транс'!$A$5:$A$10=$D44)*1,_xlfn.XLOOKUP(1,('Фрахт Транс'!$B$3:$M$3=$S$2)*('Фрахт Транс'!$B$4:$M$4=N$2),'Фрахт Транс'!$B$5:$M$10)),SUM($F44, $H44, $K44, $P44))</f>
        <v>599268</v>
      </c>
      <c r="O44" s="192" t="str" cm="1">
        <f t="array" aca="1" ref="O44" ca="1">IFERROR(_xlfn.XLOOKUP(1,  (Охрана!$A$6:$A$14 = $D44) * 1,  _xlfn.XLOOKUP(1,  (Охрана!$B$5:$M$5 = O$2) * (Охрана!$B$4:$M$4 = $S$2), Охрана!$B$6:$M$14)), "-")</f>
        <v>-</v>
      </c>
      <c r="P44" s="193" t="str" cm="1">
        <f t="array" aca="1" ref="P44" ca="1">IFERROR(_xlfn.XLOOKUP(1,  (Охрана!$A$6:$A$14 = $D44) * 1,  _xlfn.XLOOKUP(1,  (Охрана!$B$5:$M$5 = P$2) * (Охрана!$B$4:$M$4 = $S$2), Охрана!$B$6:$M$14)), "-")</f>
        <v>-</v>
      </c>
      <c r="Q44" s="38"/>
      <c r="R44" s="6"/>
      <c r="S44" s="6"/>
      <c r="U44" s="3"/>
    </row>
    <row r="45" spans="1:21" ht="15" customHeight="1" thickBot="1" x14ac:dyDescent="0.3">
      <c r="A45" s="214" t="s">
        <v>16</v>
      </c>
      <c r="B45" s="291"/>
      <c r="C45" s="32" t="s">
        <v>12</v>
      </c>
      <c r="D45" s="32" t="s">
        <v>30</v>
      </c>
      <c r="E45" s="169" cm="1">
        <f t="array" ref="E45">IFERROR(_xlfn.XLOOKUP(1, (Фрахт!$A$5:$A$80 = $A45)* (Фрахт!$B$5:$B$80 = $C45) * (Фрахт!$C$5:$C$80 =$D45),  _xlfn.XLOOKUP(1,  (Фрахт!$D$4:$E$4 = E$2) * 1, Фрахт!$D$5:$E$80)) *  $S$1, "-")</f>
        <v>330000</v>
      </c>
      <c r="F45" s="169" cm="1">
        <f t="array" ref="F45">IFERROR(_xlfn.XLOOKUP(1, (Фрахт!$A$5:$A$80 = $A45)* (Фрахт!$B$5:$B$80 = $C45) * (Фрахт!$C$5:$C$80 =$D45),  _xlfn.XLOOKUP(1,  (Фрахт!$D$4:$E$4 = F$2) * 1, Фрахт!$D$5:$E$80)) *  $S$1, "-")</f>
        <v>510000</v>
      </c>
      <c r="G45" s="149" cm="1">
        <f t="array" aca="1" ref="G45" ca="1">IFERROR(_xlfn.XLOOKUP(1,  ('Drop off'!$A$6:$A$14 = $C45) * 1,  _xlfn.XLOOKUP(1,  ('Drop off'!$B$5:$I$5 = G$2) * ('Drop off'!$B$4:$I$4 = $S$2), 'Drop off'!$B$6:$I$14)) * $S$1, "-")</f>
        <v>0</v>
      </c>
      <c r="H45" s="149" cm="1">
        <f t="array" aca="1" ref="H45" ca="1">IFERROR(_xlfn.XLOOKUP(1,  ('Drop off'!$A$6:$A$14 = $C45) * 1,  _xlfn.XLOOKUP(1,  ('Drop off'!$B$5:$I$5 = H$2) * ('Drop off'!$B$4:$I$4 = $S$2), 'Drop off'!$B$6:$I$14)) * $S$1, "-")</f>
        <v>0</v>
      </c>
      <c r="I45" s="149" cm="1">
        <f t="array" aca="1" ref="I45" ca="1">IFERROR(_xlfn.XLOOKUP(1,  ('ж.д.'!$A$6:$A$14 = $D45) * 1,  _xlfn.XLOOKUP(1,  ('ж.д.'!$B$5:$M$5 = I$2) * ('ж.д.'!$B$4:$M$4 = $S$2), 'ж.д.'!$B$6:$M$14)), "-")</f>
        <v>167600</v>
      </c>
      <c r="J45" s="149" cm="1">
        <f t="array" aca="1" ref="J45" ca="1">IFERROR(_xlfn.XLOOKUP(1,  ('ж.д.'!$A$6:$A$14 = $D45) * 1,  _xlfn.XLOOKUP(1,  ('ж.д.'!$B$5:$M$5 = J$2) * ('ж.д.'!$B$4:$M$4 = $S$2), 'ж.д.'!$B$6:$M$14)), "-")</f>
        <v>181540</v>
      </c>
      <c r="K45" s="149" cm="1">
        <f t="array" aca="1" ref="K45" ca="1">IFERROR(_xlfn.XLOOKUP(1,  ('ж.д.'!$A$6:$A$14 = $D45) * 1,  _xlfn.XLOOKUP(1,  ('ж.д.'!$B$5:$M$5 = K$2) * ('ж.д.'!$B$4:$M$4 = $S$2), 'ж.д.'!$B$6:$M$14)), "-")</f>
        <v>292000</v>
      </c>
      <c r="L45" s="149" cm="1">
        <f t="array" aca="1" ref="L45" ca="1">IF(ISNUMBER(SEARCH("Транс",$C45)),_xlfn.XLOOKUP(1,('Фрахт Транс'!$A$5:$A$10=$D45)*1,_xlfn.XLOOKUP(1,('Фрахт Транс'!$B$3:$M$3 = $S$2)*('Фрахт Транс'!$B$4:$M$4=L$2),'Фрахт Транс'!$B$5:$M$10)),SUM($E45, $G45, $I45, $O45))</f>
        <v>501422</v>
      </c>
      <c r="M45" s="149" cm="1">
        <f t="array" aca="1" ref="M45" ca="1">IF(ISNUMBER(SEARCH("Транс",$C45)),_xlfn.XLOOKUP(1,('Фрахт Транс'!$A$5:$A$10=$D45)*1,_xlfn.XLOOKUP(1,('Фрахт Транс'!$B$3:$M$3=$S$2)*('Фрахт Транс'!$B$4:$M$4=M$2),'Фрахт Транс'!$B$5:$M$10)),SUM($E45, $G45, $J45, $O45))</f>
        <v>515362</v>
      </c>
      <c r="N45" s="149" cm="1">
        <f t="array" aca="1" ref="N45" ca="1">IF(ISNUMBER(SEARCH("Транс",$C45)),_xlfn.XLOOKUP(1,('Фрахт Транс'!$A$5:$A$10=$D45)*1,_xlfn.XLOOKUP(1,('Фрахт Транс'!$B$3:$M$3=$S$2)*('Фрахт Транс'!$B$4:$M$4=N$2),'Фрахт Транс'!$B$5:$M$10)),SUM($F45, $H45, $K45, $P45))</f>
        <v>808910</v>
      </c>
      <c r="O45" s="149" cm="1">
        <f t="array" aca="1" ref="O45" ca="1">IFERROR(_xlfn.XLOOKUP(1,  (Охрана!$A$6:$A$14 = $D45) * 1,  _xlfn.XLOOKUP(1,  (Охрана!$B$5:$M$5 = O$2) * (Охрана!$B$4:$M$4 = $S$2), Охрана!$B$6:$M$14)), "-")</f>
        <v>3822</v>
      </c>
      <c r="P45" s="194" cm="1">
        <f t="array" aca="1" ref="P45" ca="1">IFERROR(_xlfn.XLOOKUP(1,  (Охрана!$A$6:$A$14 = $D45) * 1,  _xlfn.XLOOKUP(1,  (Охрана!$B$5:$M$5 = P$2) * (Охрана!$B$4:$M$4 = $S$2), Охрана!$B$6:$M$14)), "-")</f>
        <v>6910</v>
      </c>
      <c r="Q45" s="282"/>
      <c r="R45" s="91"/>
      <c r="S45" s="4"/>
    </row>
    <row r="46" spans="1:21" ht="15" customHeight="1" thickBot="1" x14ac:dyDescent="0.3">
      <c r="A46" s="214" t="s">
        <v>16</v>
      </c>
      <c r="B46" s="291"/>
      <c r="C46" s="32" t="s">
        <v>12</v>
      </c>
      <c r="D46" s="32" t="s">
        <v>55</v>
      </c>
      <c r="E46" s="169" cm="1">
        <f t="array" ref="E46">IFERROR(_xlfn.XLOOKUP(1, (Фрахт!$A$5:$A$80 = $A46)* (Фрахт!$B$5:$B$80 = $C46) * (Фрахт!$C$5:$C$80 =$D46),  _xlfn.XLOOKUP(1,  (Фрахт!$D$4:$E$4 = E$2) * 1, Фрахт!$D$5:$E$80)) *  $S$1, "-")</f>
        <v>330000</v>
      </c>
      <c r="F46" s="149" cm="1">
        <f t="array" ref="F46">IFERROR(_xlfn.XLOOKUP(1, (Фрахт!$A$5:$A$80 = $A46)* (Фрахт!$B$5:$B$80 = $C46) * (Фрахт!$C$5:$C$80 =$D46),  _xlfn.XLOOKUP(1,  (Фрахт!$D$4:$E$4 = F$2) * 1, Фрахт!$D$5:$E$80)) *  $S$1, "-")</f>
        <v>510000</v>
      </c>
      <c r="G46" s="149" cm="1">
        <f t="array" aca="1" ref="G46" ca="1">IFERROR(_xlfn.XLOOKUP(1,  ('Drop off'!$A$6:$A$14 = $C46) * 1,  _xlfn.XLOOKUP(1,  ('Drop off'!$B$5:$I$5 = G$2) * ('Drop off'!$B$4:$I$4 = $S$2), 'Drop off'!$B$6:$I$14)) * $S$1, "-")</f>
        <v>0</v>
      </c>
      <c r="H46" s="149" cm="1">
        <f t="array" aca="1" ref="H46" ca="1">IFERROR(_xlfn.XLOOKUP(1,  ('Drop off'!$A$6:$A$14 = $C46) * 1,  _xlfn.XLOOKUP(1,  ('Drop off'!$B$5:$I$5 = H$2) * ('Drop off'!$B$4:$I$4 = $S$2), 'Drop off'!$B$6:$I$14)) * $S$1, "-")</f>
        <v>0</v>
      </c>
      <c r="I46" s="149" cm="1">
        <f t="array" aca="1" ref="I46" ca="1">IFERROR(_xlfn.XLOOKUP(1,  ('ж.д.'!$A$6:$A$14 = $D46) * 1,  _xlfn.XLOOKUP(1,  ('ж.д.'!$B$5:$M$5 = I$2) * ('ж.д.'!$B$4:$M$4 = $S$2), 'ж.д.'!$B$6:$M$14)), "-")</f>
        <v>173730</v>
      </c>
      <c r="J46" s="149" cm="1">
        <f t="array" aca="1" ref="J46" ca="1">IFERROR(_xlfn.XLOOKUP(1,  ('ж.д.'!$A$6:$A$14 = $D46) * 1,  _xlfn.XLOOKUP(1,  ('ж.д.'!$B$5:$M$5 = J$2) * ('ж.д.'!$B$4:$M$4 = $S$2), 'ж.д.'!$B$6:$M$14)), "-")</f>
        <v>191045</v>
      </c>
      <c r="K46" s="149" cm="1">
        <f t="array" aca="1" ref="K46" ca="1">IFERROR(_xlfn.XLOOKUP(1,  ('ж.д.'!$A$6:$A$14 = $D46) * 1,  _xlfn.XLOOKUP(1,  ('ж.д.'!$B$5:$M$5 = K$2) * ('ж.д.'!$B$4:$M$4 = $S$2), 'ж.д.'!$B$6:$M$14)), "-")</f>
        <v>303815</v>
      </c>
      <c r="L46" s="149" cm="1">
        <f t="array" aca="1" ref="L46" ca="1">IF(ISNUMBER(SEARCH("Транс",$C46)),_xlfn.XLOOKUP(1,('Фрахт Транс'!$A$5:$A$10=$D46)*1,_xlfn.XLOOKUP(1,('Фрахт Транс'!$B$3:$M$3 = $S$2)*('Фрахт Транс'!$B$4:$M$4=L$2),'Фрахт Транс'!$B$5:$M$10)),SUM($E46, $G46, $I46, $O46))</f>
        <v>507552</v>
      </c>
      <c r="M46" s="149" cm="1">
        <f t="array" aca="1" ref="M46" ca="1">IF(ISNUMBER(SEARCH("Транс",$C46)),_xlfn.XLOOKUP(1,('Фрахт Транс'!$A$5:$A$10=$D46)*1,_xlfn.XLOOKUP(1,('Фрахт Транс'!$B$3:$M$3=$S$2)*('Фрахт Транс'!$B$4:$M$4=M$2),'Фрахт Транс'!$B$5:$M$10)),SUM($E46, $G46, $J46, $O46))</f>
        <v>524867</v>
      </c>
      <c r="N46" s="149" cm="1">
        <f t="array" aca="1" ref="N46" ca="1">IF(ISNUMBER(SEARCH("Транс",$C46)),_xlfn.XLOOKUP(1,('Фрахт Транс'!$A$5:$A$10=$D46)*1,_xlfn.XLOOKUP(1,('Фрахт Транс'!$B$3:$M$3=$S$2)*('Фрахт Транс'!$B$4:$M$4=N$2),'Фрахт Транс'!$B$5:$M$10)),SUM($F46, $H46, $K46, $P46))</f>
        <v>820725</v>
      </c>
      <c r="O46" s="149" cm="1">
        <f t="array" aca="1" ref="O46" ca="1">IFERROR(_xlfn.XLOOKUP(1,  (Охрана!$A$6:$A$14 = $D46) * 1,  _xlfn.XLOOKUP(1,  (Охрана!$B$5:$M$5 = O$2) * (Охрана!$B$4:$M$4 = $S$2), Охрана!$B$6:$M$14)), "-")</f>
        <v>3822</v>
      </c>
      <c r="P46" s="194" cm="1">
        <f t="array" aca="1" ref="P46" ca="1">IFERROR(_xlfn.XLOOKUP(1,  (Охрана!$A$6:$A$14 = $D46) * 1,  _xlfn.XLOOKUP(1,  (Охрана!$B$5:$M$5 = P$2) * (Охрана!$B$4:$M$4 = $S$2), Охрана!$B$6:$M$14)), "-")</f>
        <v>6910</v>
      </c>
      <c r="Q46" s="282"/>
      <c r="R46" s="3"/>
      <c r="S46" s="4"/>
    </row>
    <row r="47" spans="1:21" ht="15.75" customHeight="1" thickBot="1" x14ac:dyDescent="0.3">
      <c r="A47" s="214" t="s">
        <v>16</v>
      </c>
      <c r="B47" s="291"/>
      <c r="C47" s="41" t="s">
        <v>35</v>
      </c>
      <c r="D47" s="40" t="s">
        <v>11</v>
      </c>
      <c r="E47" s="170" cm="1">
        <f t="array" ref="E47">IFERROR(_xlfn.XLOOKUP(1, (Фрахт!$A$5:$A$80 = $A47)* (Фрахт!$B$5:$B$80 = $C47) * (Фрахт!$C$5:$C$80 =$D47),  _xlfn.XLOOKUP(1,  (Фрахт!$D$4:$E$4 = E$2) * 1, Фрахт!$D$5:$E$80)) *  $S$1, "-")</f>
        <v>315000</v>
      </c>
      <c r="F47" s="150" cm="1">
        <f t="array" ref="F47">IFERROR(_xlfn.XLOOKUP(1, (Фрахт!$A$5:$A$80 = $A47)* (Фрахт!$B$5:$B$80 = $C47) * (Фрахт!$C$5:$C$80 =$D47),  _xlfn.XLOOKUP(1,  (Фрахт!$D$4:$E$4 = F$2) * 1, Фрахт!$D$5:$E$80)) *  $S$1, "-")</f>
        <v>472500</v>
      </c>
      <c r="G47" s="150" cm="1">
        <f t="array" aca="1" ref="G47" ca="1">IFERROR(_xlfn.XLOOKUP(1,  ('Drop off'!$A$6:$A$14 = $C47) * 1,  _xlfn.XLOOKUP(1,  ('Drop off'!$B$5:$I$5 = G$2) * ('Drop off'!$B$4:$I$4 = $S$2), 'Drop off'!$B$6:$I$14)) * $S$1, "-")</f>
        <v>56700</v>
      </c>
      <c r="H47" s="150" cm="1">
        <f t="array" aca="1" ref="H47" ca="1">IFERROR(_xlfn.XLOOKUP(1,  ('Drop off'!$A$6:$A$14 = $C47) * 1,  _xlfn.XLOOKUP(1,  ('Drop off'!$B$5:$I$5 = H$2) * ('Drop off'!$B$4:$I$4 = $S$2), 'Drop off'!$B$6:$I$14)) * $S$1, "-")</f>
        <v>37800</v>
      </c>
      <c r="I47" s="150" cm="1">
        <f t="array" aca="1" ref="I47" ca="1">IFERROR(_xlfn.XLOOKUP(1,  ('ж.д.'!$A$6:$A$14 = $D47) * 1,  _xlfn.XLOOKUP(1,  ('ж.д.'!$B$5:$M$5 = I$2) * ('ж.д.'!$B$4:$M$4 = $S$2), 'ж.д.'!$B$6:$M$14)), "-")</f>
        <v>122400</v>
      </c>
      <c r="J47" s="150" cm="1">
        <f t="array" aca="1" ref="J47" ca="1">IFERROR(_xlfn.XLOOKUP(1,  ('ж.д.'!$A$6:$A$14 = $D47) * 1,  _xlfn.XLOOKUP(1,  ('ж.д.'!$B$5:$M$5 = J$2) * ('ж.д.'!$B$4:$M$4 = $S$2), 'ж.д.'!$B$6:$M$14)), "-")</f>
        <v>139800</v>
      </c>
      <c r="K47" s="150" cm="1">
        <f t="array" aca="1" ref="K47" ca="1">IFERROR(_xlfn.XLOOKUP(1,  ('ж.д.'!$A$6:$A$14 = $D47) * 1,  _xlfn.XLOOKUP(1,  ('ж.д.'!$B$5:$M$5 = K$2) * ('ж.д.'!$B$4:$M$4 = $S$2), 'ж.д.'!$B$6:$M$14)), "-")</f>
        <v>224600</v>
      </c>
      <c r="L47" s="150" cm="1">
        <f t="array" aca="1" ref="L47" ca="1">IF(ISNUMBER(SEARCH("Транс",$C47)),_xlfn.XLOOKUP(1,('Фрахт Транс'!$A$5:$A$10=$D47)*1,_xlfn.XLOOKUP(1,('Фрахт Транс'!$B$3:$M$3 = $S$2)*('Фрахт Транс'!$B$4:$M$4=L$2),'Фрахт Транс'!$B$5:$M$10)),SUM($E47, $G47, $I47, $O47))</f>
        <v>497494</v>
      </c>
      <c r="M47" s="150" cm="1">
        <f t="array" aca="1" ref="M47" ca="1">IF(ISNUMBER(SEARCH("Транс",$C47)),_xlfn.XLOOKUP(1,('Фрахт Транс'!$A$5:$A$10=$D47)*1,_xlfn.XLOOKUP(1,('Фрахт Транс'!$B$3:$M$3=$S$2)*('Фрахт Транс'!$B$4:$M$4=M$2),'Фрахт Транс'!$B$5:$M$10)),SUM($E47, $G47, $J47, $O47))</f>
        <v>514894</v>
      </c>
      <c r="N47" s="150" cm="1">
        <f t="array" aca="1" ref="N47" ca="1">IF(ISNUMBER(SEARCH("Транс",$C47)),_xlfn.XLOOKUP(1,('Фрахт Транс'!$A$5:$A$10=$D47)*1,_xlfn.XLOOKUP(1,('Фрахт Транс'!$B$3:$M$3=$S$2)*('Фрахт Транс'!$B$4:$M$4=N$2),'Фрахт Транс'!$B$5:$M$10)),SUM($F47, $H47, $K47, $P47))</f>
        <v>741701</v>
      </c>
      <c r="O47" s="150" cm="1">
        <f t="array" aca="1" ref="O47" ca="1">IFERROR(_xlfn.XLOOKUP(1,  (Охрана!$A$6:$A$14 = $D47) * 1,  _xlfn.XLOOKUP(1,  (Охрана!$B$5:$M$5 = O$2) * (Охрана!$B$4:$M$4 = $S$2), Охрана!$B$6:$M$14)), "-")</f>
        <v>3394</v>
      </c>
      <c r="P47" s="195" cm="1">
        <f t="array" aca="1" ref="P47" ca="1">IFERROR(_xlfn.XLOOKUP(1,  (Охрана!$A$6:$A$14 = $D47) * 1,  _xlfn.XLOOKUP(1,  (Охрана!$B$5:$M$5 = P$2) * (Охрана!$B$4:$M$4 = $S$2), Охрана!$B$6:$M$14)), "-")</f>
        <v>6801</v>
      </c>
      <c r="Q47" s="286"/>
      <c r="R47" s="4"/>
      <c r="S47" s="4"/>
    </row>
    <row r="48" spans="1:21" ht="15.75" customHeight="1" thickBot="1" x14ac:dyDescent="0.3">
      <c r="A48" s="214" t="s">
        <v>16</v>
      </c>
      <c r="B48" s="291"/>
      <c r="C48" s="41" t="s">
        <v>35</v>
      </c>
      <c r="D48" s="40" t="s">
        <v>34</v>
      </c>
      <c r="E48" s="170" cm="1">
        <f t="array" ref="E48">IFERROR(_xlfn.XLOOKUP(1, (Фрахт!$A$5:$A$80 = $A48)* (Фрахт!$B$5:$B$80 = $C48) * (Фрахт!$C$5:$C$80 =$D48),  _xlfn.XLOOKUP(1,  (Фрахт!$D$4:$E$4 = E$2) * 1, Фрахт!$D$5:$E$80)) *  $S$1, "-")</f>
        <v>315000</v>
      </c>
      <c r="F48" s="150" cm="1">
        <f t="array" ref="F48">IFERROR(_xlfn.XLOOKUP(1, (Фрахт!$A$5:$A$80 = $A48)* (Фрахт!$B$5:$B$80 = $C48) * (Фрахт!$C$5:$C$80 =$D48),  _xlfn.XLOOKUP(1,  (Фрахт!$D$4:$E$4 = F$2) * 1, Фрахт!$D$5:$E$80)) *  $S$1, "-")</f>
        <v>472500</v>
      </c>
      <c r="G48" s="150" cm="1">
        <f t="array" aca="1" ref="G48" ca="1">IFERROR(_xlfn.XLOOKUP(1,  ('Drop off'!$A$6:$A$14 = $C48) * 1,  _xlfn.XLOOKUP(1,  ('Drop off'!$B$5:$I$5 = G$2) * ('Drop off'!$B$4:$I$4 = $S$2), 'Drop off'!$B$6:$I$14)) * $S$1, "-")</f>
        <v>56700</v>
      </c>
      <c r="H48" s="150" cm="1">
        <f t="array" aca="1" ref="H48" ca="1">IFERROR(_xlfn.XLOOKUP(1,  ('Drop off'!$A$6:$A$14 = $C48) * 1,  _xlfn.XLOOKUP(1,  ('Drop off'!$B$5:$I$5 = H$2) * ('Drop off'!$B$4:$I$4 = $S$2), 'Drop off'!$B$6:$I$14)) * $S$1, "-")</f>
        <v>37800</v>
      </c>
      <c r="I48" s="150" cm="1">
        <f t="array" aca="1" ref="I48" ca="1">IFERROR(_xlfn.XLOOKUP(1,  ('ж.д.'!$A$6:$A$14 = $D48) * 1,  _xlfn.XLOOKUP(1,  ('ж.д.'!$B$5:$M$5 = I$2) * ('ж.д.'!$B$4:$M$4 = $S$2), 'ж.д.'!$B$6:$M$14)), "-")</f>
        <v>134400</v>
      </c>
      <c r="J48" s="150" cm="1">
        <f t="array" aca="1" ref="J48" ca="1">IFERROR(_xlfn.XLOOKUP(1,  ('ж.д.'!$A$6:$A$14 = $D48) * 1,  _xlfn.XLOOKUP(1,  ('ж.д.'!$B$5:$M$5 = J$2) * ('ж.д.'!$B$4:$M$4 = $S$2), 'ж.д.'!$B$6:$M$14)), "-")</f>
        <v>149400</v>
      </c>
      <c r="K48" s="150" cm="1">
        <f t="array" aca="1" ref="K48" ca="1">IFERROR(_xlfn.XLOOKUP(1,  ('ж.д.'!$A$6:$A$14 = $D48) * 1,  _xlfn.XLOOKUP(1,  ('ж.д.'!$B$5:$M$5 = K$2) * ('ж.д.'!$B$4:$M$4 = $S$2), 'ж.д.'!$B$6:$M$14)), "-")</f>
        <v>235000</v>
      </c>
      <c r="L48" s="150" cm="1">
        <f t="array" aca="1" ref="L48" ca="1">IF(ISNUMBER(SEARCH("Транс",$C48)),_xlfn.XLOOKUP(1,('Фрахт Транс'!$A$5:$A$10=$D48)*1,_xlfn.XLOOKUP(1,('Фрахт Транс'!$B$3:$M$3 = $S$2)*('Фрахт Транс'!$B$4:$M$4=L$2),'Фрахт Транс'!$B$5:$M$10)),SUM($E48, $G48, $I48, $O48))</f>
        <v>509494</v>
      </c>
      <c r="M48" s="150" cm="1">
        <f t="array" aca="1" ref="M48" ca="1">IF(ISNUMBER(SEARCH("Транс",$C48)),_xlfn.XLOOKUP(1,('Фрахт Транс'!$A$5:$A$10=$D48)*1,_xlfn.XLOOKUP(1,('Фрахт Транс'!$B$3:$M$3=$S$2)*('Фрахт Транс'!$B$4:$M$4=M$2),'Фрахт Транс'!$B$5:$M$10)),SUM($E48, $G48, $J48, $O48))</f>
        <v>524494</v>
      </c>
      <c r="N48" s="150" cm="1">
        <f t="array" aca="1" ref="N48" ca="1">IF(ISNUMBER(SEARCH("Транс",$C48)),_xlfn.XLOOKUP(1,('Фрахт Транс'!$A$5:$A$10=$D48)*1,_xlfn.XLOOKUP(1,('Фрахт Транс'!$B$3:$M$3=$S$2)*('Фрахт Транс'!$B$4:$M$4=N$2),'Фрахт Транс'!$B$5:$M$10)),SUM($F48, $H48, $K48, $P48))</f>
        <v>752101</v>
      </c>
      <c r="O48" s="150" cm="1">
        <f t="array" aca="1" ref="O48" ca="1">IFERROR(_xlfn.XLOOKUP(1,  (Охрана!$A$6:$A$14 = $D48) * 1,  _xlfn.XLOOKUP(1,  (Охрана!$B$5:$M$5 = O$2) * (Охрана!$B$4:$M$4 = $S$2), Охрана!$B$6:$M$14)), "-")</f>
        <v>3394</v>
      </c>
      <c r="P48" s="195" cm="1">
        <f t="array" aca="1" ref="P48" ca="1">IFERROR(_xlfn.XLOOKUP(1,  (Охрана!$A$6:$A$14 = $D48) * 1,  _xlfn.XLOOKUP(1,  (Охрана!$B$5:$M$5 = P$2) * (Охрана!$B$4:$M$4 = $S$2), Охрана!$B$6:$M$14)), "-")</f>
        <v>6801</v>
      </c>
      <c r="Q48" s="286"/>
      <c r="R48" s="4"/>
      <c r="S48" s="4"/>
    </row>
    <row r="49" spans="1:21" ht="16.5" customHeight="1" thickBot="1" x14ac:dyDescent="0.3">
      <c r="A49" s="214" t="s">
        <v>16</v>
      </c>
      <c r="B49" s="291"/>
      <c r="C49" s="41" t="s">
        <v>35</v>
      </c>
      <c r="D49" s="40" t="s">
        <v>10</v>
      </c>
      <c r="E49" s="170" cm="1">
        <f t="array" ref="E49">IFERROR(_xlfn.XLOOKUP(1, (Фрахт!$A$5:$A$80 = $A49)* (Фрахт!$B$5:$B$80 = $C49) * (Фрахт!$C$5:$C$80 =$D49),  _xlfn.XLOOKUP(1,  (Фрахт!$D$4:$E$4 = E$2) * 1, Фрахт!$D$5:$E$80)) *  $S$1, "-")</f>
        <v>315000</v>
      </c>
      <c r="F49" s="150" cm="1">
        <f t="array" ref="F49">IFERROR(_xlfn.XLOOKUP(1, (Фрахт!$A$5:$A$80 = $A49)* (Фрахт!$B$5:$B$80 = $C49) * (Фрахт!$C$5:$C$80 =$D49),  _xlfn.XLOOKUP(1,  (Фрахт!$D$4:$E$4 = F$2) * 1, Фрахт!$D$5:$E$80)) *  $S$1, "-")</f>
        <v>472500</v>
      </c>
      <c r="G49" s="150" cm="1">
        <f t="array" aca="1" ref="G49" ca="1">IFERROR(_xlfn.XLOOKUP(1,  ('Drop off'!$A$6:$A$14 = $C49) * 1,  _xlfn.XLOOKUP(1,  ('Drop off'!$B$5:$I$5 = G$2) * ('Drop off'!$B$4:$I$4 = $S$2), 'Drop off'!$B$6:$I$14)) * $S$1, "-")</f>
        <v>56700</v>
      </c>
      <c r="H49" s="150" cm="1">
        <f t="array" aca="1" ref="H49" ca="1">IFERROR(_xlfn.XLOOKUP(1,  ('Drop off'!$A$6:$A$14 = $C49) * 1,  _xlfn.XLOOKUP(1,  ('Drop off'!$B$5:$I$5 = H$2) * ('Drop off'!$B$4:$I$4 = $S$2), 'Drop off'!$B$6:$I$14)) * $S$1, "-")</f>
        <v>37800</v>
      </c>
      <c r="I49" s="150" cm="1">
        <f t="array" aca="1" ref="I49" ca="1">IFERROR(_xlfn.XLOOKUP(1,  ('ж.д.'!$A$6:$A$14 = $D49) * 1,  _xlfn.XLOOKUP(1,  ('ж.д.'!$B$5:$M$5 = I$2) * ('ж.д.'!$B$4:$M$4 = $S$2), 'ж.д.'!$B$6:$M$14)), "-")</f>
        <v>141000</v>
      </c>
      <c r="J49" s="150" cm="1">
        <f t="array" aca="1" ref="J49" ca="1">IFERROR(_xlfn.XLOOKUP(1,  ('ж.д.'!$A$6:$A$14 = $D49) * 1,  _xlfn.XLOOKUP(1,  ('ж.д.'!$B$5:$M$5 = J$2) * ('ж.д.'!$B$4:$M$4 = $S$2), 'ж.д.'!$B$6:$M$14)), "-")</f>
        <v>156600</v>
      </c>
      <c r="K49" s="150" cm="1">
        <f t="array" aca="1" ref="K49" ca="1">IFERROR(_xlfn.XLOOKUP(1,  ('ж.д.'!$A$6:$A$14 = $D49) * 1,  _xlfn.XLOOKUP(1,  ('ж.д.'!$B$5:$M$5 = K$2) * ('ж.д.'!$B$4:$M$4 = $S$2), 'ж.д.'!$B$6:$M$14)), "-")</f>
        <v>261000</v>
      </c>
      <c r="L49" s="150" cm="1">
        <f t="array" aca="1" ref="L49" ca="1">IF(ISNUMBER(SEARCH("Транс",$C49)),_xlfn.XLOOKUP(1,('Фрахт Транс'!$A$5:$A$10=$D49)*1,_xlfn.XLOOKUP(1,('Фрахт Транс'!$B$3:$M$3 = $S$2)*('Фрахт Транс'!$B$4:$M$4=L$2),'Фрахт Транс'!$B$5:$M$10)),SUM($E49, $G49, $I49, $O49))</f>
        <v>516522</v>
      </c>
      <c r="M49" s="150" cm="1">
        <f t="array" aca="1" ref="M49" ca="1">IF(ISNUMBER(SEARCH("Транс",$C49)),_xlfn.XLOOKUP(1,('Фрахт Транс'!$A$5:$A$10=$D49)*1,_xlfn.XLOOKUP(1,('Фрахт Транс'!$B$3:$M$3=$S$2)*('Фрахт Транс'!$B$4:$M$4=M$2),'Фрахт Транс'!$B$5:$M$10)),SUM($E49, $G49, $J49, $O49))</f>
        <v>532122</v>
      </c>
      <c r="N49" s="150" cm="1">
        <f t="array" aca="1" ref="N49" ca="1">IF(ISNUMBER(SEARCH("Транс",$C49)),_xlfn.XLOOKUP(1,('Фрахт Транс'!$A$5:$A$10=$D49)*1,_xlfn.XLOOKUP(1,('Фрахт Транс'!$B$3:$M$3=$S$2)*('Фрахт Транс'!$B$4:$M$4=N$2),'Фрахт Транс'!$B$5:$M$10)),SUM($F49, $H49, $K49, $P49))</f>
        <v>778210</v>
      </c>
      <c r="O49" s="150" cm="1">
        <f t="array" aca="1" ref="O49" ca="1">IFERROR(_xlfn.XLOOKUP(1,  (Охрана!$A$6:$A$14 = $D49) * 1,  _xlfn.XLOOKUP(1,  (Охрана!$B$5:$M$5 = O$2) * (Охрана!$B$4:$M$4 = $S$2), Охрана!$B$6:$M$14)), "-")</f>
        <v>3822</v>
      </c>
      <c r="P49" s="195" cm="1">
        <f t="array" aca="1" ref="P49" ca="1">IFERROR(_xlfn.XLOOKUP(1,  (Охрана!$A$6:$A$14 = $D49) * 1,  _xlfn.XLOOKUP(1,  (Охрана!$B$5:$M$5 = P$2) * (Охрана!$B$4:$M$4 = $S$2), Охрана!$B$6:$M$14)), "-")</f>
        <v>6910</v>
      </c>
      <c r="Q49" s="286"/>
      <c r="S49" s="4"/>
    </row>
    <row r="50" spans="1:21" ht="16.5" customHeight="1" thickBot="1" x14ac:dyDescent="0.3">
      <c r="A50" s="214" t="s">
        <v>16</v>
      </c>
      <c r="B50" s="291"/>
      <c r="C50" s="41" t="s">
        <v>35</v>
      </c>
      <c r="D50" s="40" t="s">
        <v>7</v>
      </c>
      <c r="E50" s="170" cm="1">
        <f t="array" ref="E50">IFERROR(_xlfn.XLOOKUP(1, (Фрахт!$A$5:$A$80 = $A50)* (Фрахт!$B$5:$B$80 = $C50) * (Фрахт!$C$5:$C$80 =$D50),  _xlfn.XLOOKUP(1,  (Фрахт!$D$4:$E$4 = E$2) * 1, Фрахт!$D$5:$E$80)) *  $S$1, "-")</f>
        <v>315000</v>
      </c>
      <c r="F50" s="150" cm="1">
        <f t="array" ref="F50">IFERROR(_xlfn.XLOOKUP(1, (Фрахт!$A$5:$A$80 = $A50)* (Фрахт!$B$5:$B$80 = $C50) * (Фрахт!$C$5:$C$80 =$D50),  _xlfn.XLOOKUP(1,  (Фрахт!$D$4:$E$4 = F$2) * 1, Фрахт!$D$5:$E$80)) *  $S$1, "-")</f>
        <v>472500</v>
      </c>
      <c r="G50" s="150" cm="1">
        <f t="array" aca="1" ref="G50" ca="1">IFERROR(_xlfn.XLOOKUP(1,  ('Drop off'!$A$6:$A$14 = $C50) * 1,  _xlfn.XLOOKUP(1,  ('Drop off'!$B$5:$I$5 = G$2) * ('Drop off'!$B$4:$I$4 = $S$2), 'Drop off'!$B$6:$I$14)) * $S$1, "-")</f>
        <v>56700</v>
      </c>
      <c r="H50" s="150" cm="1">
        <f t="array" aca="1" ref="H50" ca="1">IFERROR(_xlfn.XLOOKUP(1,  ('Drop off'!$A$6:$A$14 = $C50) * 1,  _xlfn.XLOOKUP(1,  ('Drop off'!$B$5:$I$5 = H$2) * ('Drop off'!$B$4:$I$4 = $S$2), 'Drop off'!$B$6:$I$14)) * $S$1, "-")</f>
        <v>37800</v>
      </c>
      <c r="I50" s="150" cm="1">
        <f t="array" aca="1" ref="I50" ca="1">IFERROR(_xlfn.XLOOKUP(1,  ('ж.д.'!$A$6:$A$14 = $D50) * 1,  _xlfn.XLOOKUP(1,  ('ж.д.'!$B$5:$M$5 = I$2) * ('ж.д.'!$B$4:$M$4 = $S$2), 'ж.д.'!$B$6:$M$14)), "-")</f>
        <v>125000</v>
      </c>
      <c r="J50" s="150" cm="1">
        <f t="array" aca="1" ref="J50" ca="1">IFERROR(_xlfn.XLOOKUP(1,  ('ж.д.'!$A$6:$A$14 = $D50) * 1,  _xlfn.XLOOKUP(1,  ('ж.д.'!$B$5:$M$5 = J$2) * ('ж.д.'!$B$4:$M$4 = $S$2), 'ж.д.'!$B$6:$M$14)), "-")</f>
        <v>140000</v>
      </c>
      <c r="K50" s="150" cm="1">
        <f t="array" aca="1" ref="K50" ca="1">IFERROR(_xlfn.XLOOKUP(1,  ('ж.д.'!$A$6:$A$14 = $D50) * 1,  _xlfn.XLOOKUP(1,  ('ж.д.'!$B$5:$M$5 = K$2) * ('ж.д.'!$B$4:$M$4 = $S$2), 'ж.д.'!$B$6:$M$14)), "-")</f>
        <v>227000</v>
      </c>
      <c r="L50" s="150" cm="1">
        <f t="array" aca="1" ref="L50" ca="1">IF(ISNUMBER(SEARCH("Транс",$C50)),_xlfn.XLOOKUP(1,('Фрахт Транс'!$A$5:$A$10=$D50)*1,_xlfn.XLOOKUP(1,('Фрахт Транс'!$B$3:$M$3 = $S$2)*('Фрахт Транс'!$B$4:$M$4=L$2),'Фрахт Транс'!$B$5:$M$10)),SUM($E50, $G50, $I50, $O50))</f>
        <v>500800</v>
      </c>
      <c r="M50" s="150" cm="1">
        <f t="array" aca="1" ref="M50" ca="1">IF(ISNUMBER(SEARCH("Транс",$C50)),_xlfn.XLOOKUP(1,('Фрахт Транс'!$A$5:$A$10=$D50)*1,_xlfn.XLOOKUP(1,('Фрахт Транс'!$B$3:$M$3=$S$2)*('Фрахт Транс'!$B$4:$M$4=M$2),'Фрахт Транс'!$B$5:$M$10)),SUM($E50, $G50, $J50, $O50))</f>
        <v>515800</v>
      </c>
      <c r="N50" s="150" cm="1">
        <f t="array" aca="1" ref="N50" ca="1">IF(ISNUMBER(SEARCH("Транс",$C50)),_xlfn.XLOOKUP(1,('Фрахт Транс'!$A$5:$A$10=$D50)*1,_xlfn.XLOOKUP(1,('Фрахт Транс'!$B$3:$M$3=$S$2)*('Фрахт Транс'!$B$4:$M$4=N$2),'Фрахт Транс'!$B$5:$M$10)),SUM($F50, $H50, $K50, $P50))</f>
        <v>745500</v>
      </c>
      <c r="O50" s="150" cm="1">
        <f t="array" aca="1" ref="O50" ca="1">IFERROR(_xlfn.XLOOKUP(1,  (Охрана!$A$6:$A$14 = $D50) * 1,  _xlfn.XLOOKUP(1,  (Охрана!$B$5:$M$5 = O$2) * (Охрана!$B$4:$M$4 = $S$2), Охрана!$B$6:$M$14)), "-")</f>
        <v>4100</v>
      </c>
      <c r="P50" s="195" cm="1">
        <f t="array" aca="1" ref="P50" ca="1">IFERROR(_xlfn.XLOOKUP(1,  (Охрана!$A$6:$A$14 = $D50) * 1,  _xlfn.XLOOKUP(1,  (Охрана!$B$5:$M$5 = P$2) * (Охрана!$B$4:$M$4 = $S$2), Охрана!$B$6:$M$14)), "-")</f>
        <v>8200</v>
      </c>
      <c r="Q50" s="286"/>
      <c r="R50" s="4"/>
      <c r="S50" s="4"/>
    </row>
    <row r="51" spans="1:21" ht="16.5" customHeight="1" thickBot="1" x14ac:dyDescent="0.3">
      <c r="A51" s="214" t="s">
        <v>16</v>
      </c>
      <c r="B51" s="291"/>
      <c r="C51" s="50" t="s">
        <v>36</v>
      </c>
      <c r="D51" s="50" t="s">
        <v>21</v>
      </c>
      <c r="E51" s="171" cm="1">
        <f t="array" ref="E51">IFERROR(_xlfn.XLOOKUP(1, (Фрахт!$A$5:$A$80 = $A51)* (Фрахт!$B$5:$B$80 = $C51) * (Фрахт!$C$5:$C$80 =$D51),  _xlfn.XLOOKUP(1,  (Фрахт!$D$4:$E$4 = E$2) * 1, Фрахт!$D$5:$E$80)) *  $S$1, "-")</f>
        <v>266160</v>
      </c>
      <c r="F51" s="151" cm="1">
        <f t="array" ref="F51">IFERROR(_xlfn.XLOOKUP(1, (Фрахт!$A$5:$A$80 = $A51)* (Фрахт!$B$5:$B$80 = $C51) * (Фрахт!$C$5:$C$80 =$D51),  _xlfn.XLOOKUP(1,  (Фрахт!$D$4:$E$4 = F$2) * 1, Фрахт!$D$5:$E$80)) *  $S$1, "-")</f>
        <v>442320</v>
      </c>
      <c r="G51" s="151" cm="1">
        <f t="array" aca="1" ref="G51" ca="1">IFERROR(_xlfn.XLOOKUP(1,  ('Drop off'!$A$6:$A$14 = $C51) * 1,  _xlfn.XLOOKUP(1,  ('Drop off'!$B$5:$I$5 = G$2) * ('Drop off'!$B$4:$I$4 = $S$2), 'Drop off'!$B$6:$I$14)) * $S$1, "-")</f>
        <v>42000</v>
      </c>
      <c r="H51" s="151" cm="1">
        <f t="array" aca="1" ref="H51" ca="1">IFERROR(_xlfn.XLOOKUP(1,  ('Drop off'!$A$6:$A$14 = $C51) * 1,  _xlfn.XLOOKUP(1,  ('Drop off'!$B$5:$I$5 = H$2) * ('Drop off'!$B$4:$I$4 = $S$2), 'Drop off'!$B$6:$I$14)) * $S$1, "-")</f>
        <v>42000</v>
      </c>
      <c r="I51" s="151" cm="1">
        <f t="array" aca="1" ref="I51" ca="1">IFERROR(_xlfn.XLOOKUP(1,  ('ж.д.'!$A$6:$A$14 = $D51) * 1,  _xlfn.XLOOKUP(1,  ('ж.д.'!$B$5:$M$5 = I$2) * ('ж.д.'!$B$4:$M$4 = $S$2), 'ж.д.'!$B$6:$M$14)), "-")</f>
        <v>134400</v>
      </c>
      <c r="J51" s="151" cm="1">
        <f t="array" aca="1" ref="J51" ca="1">IFERROR(_xlfn.XLOOKUP(1,  ('ж.д.'!$A$6:$A$14 = $D51) * 1,  _xlfn.XLOOKUP(1,  ('ж.д.'!$B$5:$M$5 = J$2) * ('ж.д.'!$B$4:$M$4 = $S$2), 'ж.д.'!$B$6:$M$14)), "-")</f>
        <v>149400</v>
      </c>
      <c r="K51" s="151" cm="1">
        <f t="array" aca="1" ref="K51" ca="1">IFERROR(_xlfn.XLOOKUP(1,  ('ж.д.'!$A$6:$A$14 = $D51) * 1,  _xlfn.XLOOKUP(1,  ('ж.д.'!$B$5:$M$5 = K$2) * ('ж.д.'!$B$4:$M$4 = $S$2), 'ж.д.'!$B$6:$M$14)), "-")</f>
        <v>235000</v>
      </c>
      <c r="L51" s="151" cm="1">
        <f t="array" aca="1" ref="L51" ca="1">IF(ISNUMBER(SEARCH("Транс",$C51)),_xlfn.XLOOKUP(1,('Фрахт Транс'!$A$5:$A$10=$D51)*1,_xlfn.XLOOKUP(1,('Фрахт Транс'!$B$3:$M$3 = $S$2)*('Фрахт Транс'!$B$4:$M$4=L$2),'Фрахт Транс'!$B$5:$M$10)),SUM($E51, $G51, $I51, $O51))</f>
        <v>445954</v>
      </c>
      <c r="M51" s="151" cm="1">
        <f t="array" aca="1" ref="M51" ca="1">IF(ISNUMBER(SEARCH("Транс",$C51)),_xlfn.XLOOKUP(1,('Фрахт Транс'!$A$5:$A$10=$D51)*1,_xlfn.XLOOKUP(1,('Фрахт Транс'!$B$3:$M$3=$S$2)*('Фрахт Транс'!$B$4:$M$4=M$2),'Фрахт Транс'!$B$5:$M$10)),SUM($E51, $G51, $J51, $O51))</f>
        <v>460954</v>
      </c>
      <c r="N51" s="151" cm="1">
        <f t="array" aca="1" ref="N51" ca="1">IF(ISNUMBER(SEARCH("Транс",$C51)),_xlfn.XLOOKUP(1,('Фрахт Транс'!$A$5:$A$10=$D51)*1,_xlfn.XLOOKUP(1,('Фрахт Транс'!$B$3:$M$3=$S$2)*('Фрахт Транс'!$B$4:$M$4=N$2),'Фрахт Транс'!$B$5:$M$10)),SUM($F51, $H51, $K51, $P51))</f>
        <v>726121</v>
      </c>
      <c r="O51" s="151" cm="1">
        <f t="array" aca="1" ref="O51" ca="1">IFERROR(_xlfn.XLOOKUP(1,  (Охрана!$A$6:$A$14 = $D51) * 1,  _xlfn.XLOOKUP(1,  (Охрана!$B$5:$M$5 = O$2) * (Охрана!$B$4:$M$4 = $S$2), Охрана!$B$6:$M$14)), "-")</f>
        <v>3394</v>
      </c>
      <c r="P51" s="196" cm="1">
        <f t="array" aca="1" ref="P51" ca="1">IFERROR(_xlfn.XLOOKUP(1,  (Охрана!$A$6:$A$14 = $D51) * 1,  _xlfn.XLOOKUP(1,  (Охрана!$B$5:$M$5 = P$2) * (Охрана!$B$4:$M$4 = $S$2), Охрана!$B$6:$M$14)), "-")</f>
        <v>6801</v>
      </c>
      <c r="Q51" s="38"/>
      <c r="R51" s="71"/>
      <c r="S51" s="4"/>
    </row>
    <row r="52" spans="1:21" ht="15.75" customHeight="1" thickBot="1" x14ac:dyDescent="0.3">
      <c r="A52" s="214" t="s">
        <v>16</v>
      </c>
      <c r="B52" s="292"/>
      <c r="C52" s="56" t="s">
        <v>37</v>
      </c>
      <c r="D52" s="57" t="s">
        <v>11</v>
      </c>
      <c r="E52" s="184" t="str" cm="1">
        <f t="array" ref="E52">IFERROR(_xlfn.XLOOKUP(1, (Фрахт!$A$5:$A$80 = $A52)* (Фрахт!$B$5:$B$80 = $C52) * (Фрахт!$C$5:$C$80 =$D52),  _xlfn.XLOOKUP(1,  (Фрахт!$D$4:$E$4 = E$2) * 1, Фрахт!$D$5:$E$80)) *  $S$1, "-")</f>
        <v>-</v>
      </c>
      <c r="F52" s="165" t="str" cm="1">
        <f t="array" ref="F52">IFERROR(_xlfn.XLOOKUP(1, (Фрахт!$A$5:$A$80 = $A52)* (Фрахт!$B$5:$B$80 = $C52) * (Фрахт!$C$5:$C$80 =$D52),  _xlfn.XLOOKUP(1,  (Фрахт!$D$4:$E$4 = F$2) * 1, Фрахт!$D$5:$E$80)) *  $S$1, "-")</f>
        <v>-</v>
      </c>
      <c r="G52" s="165" cm="1">
        <f t="array" aca="1" ref="G52" ca="1">IFERROR(_xlfn.XLOOKUP(1,  ('Drop off'!$A$6:$A$14 = $C52) * 1,  _xlfn.XLOOKUP(1,  ('Drop off'!$B$5:$I$5 = G$2) * ('Drop off'!$B$4:$I$4 = $S$2), 'Drop off'!$B$6:$I$14)) * $S$1, "-")</f>
        <v>0</v>
      </c>
      <c r="H52" s="165" cm="1">
        <f t="array" aca="1" ref="H52" ca="1">IFERROR(_xlfn.XLOOKUP(1,  ('Drop off'!$A$6:$A$14 = $C52) * 1,  _xlfn.XLOOKUP(1,  ('Drop off'!$B$5:$I$5 = H$2) * ('Drop off'!$B$4:$I$4 = $S$2), 'Drop off'!$B$6:$I$14)) * $S$1, "-")</f>
        <v>0</v>
      </c>
      <c r="I52" s="165" cm="1">
        <f t="array" aca="1" ref="I52" ca="1">IFERROR(_xlfn.XLOOKUP(1,  ('ж.д.'!$A$6:$A$14 = $D52) * 1,  _xlfn.XLOOKUP(1,  ('ж.д.'!$B$5:$M$5 = I$2) * ('ж.д.'!$B$4:$M$4 = $S$2), 'ж.д.'!$B$6:$M$14)), "-")</f>
        <v>122400</v>
      </c>
      <c r="J52" s="165" cm="1">
        <f t="array" aca="1" ref="J52" ca="1">IFERROR(_xlfn.XLOOKUP(1,  ('ж.д.'!$A$6:$A$14 = $D52) * 1,  _xlfn.XLOOKUP(1,  ('ж.д.'!$B$5:$M$5 = J$2) * ('ж.д.'!$B$4:$M$4 = $S$2), 'ж.д.'!$B$6:$M$14)), "-")</f>
        <v>139800</v>
      </c>
      <c r="K52" s="165" cm="1">
        <f t="array" aca="1" ref="K52" ca="1">IFERROR(_xlfn.XLOOKUP(1,  ('ж.д.'!$A$6:$A$14 = $D52) * 1,  _xlfn.XLOOKUP(1,  ('ж.д.'!$B$5:$M$5 = K$2) * ('ж.д.'!$B$4:$M$4 = $S$2), 'ж.д.'!$B$6:$M$14)), "-")</f>
        <v>224600</v>
      </c>
      <c r="L52" s="165" cm="1">
        <f t="array" aca="1" ref="L52" ca="1">IF(ISNUMBER(SEARCH("Транс",$C52)),_xlfn.XLOOKUP(1,('Фрахт Транс'!$A$5:$A$10=$D52)*1,_xlfn.XLOOKUP(1,('Фрахт Транс'!$B$3:$M$3 = $S$2)*('Фрахт Транс'!$B$4:$M$4=L$2),'Фрахт Транс'!$B$5:$M$10)),SUM($E52, $G52, $I52, $O52))</f>
        <v>125794</v>
      </c>
      <c r="M52" s="165" cm="1">
        <f t="array" aca="1" ref="M52" ca="1">IF(ISNUMBER(SEARCH("Транс",$C52)),_xlfn.XLOOKUP(1,('Фрахт Транс'!$A$5:$A$10=$D52)*1,_xlfn.XLOOKUP(1,('Фрахт Транс'!$B$3:$M$3=$S$2)*('Фрахт Транс'!$B$4:$M$4=M$2),'Фрахт Транс'!$B$5:$M$10)),SUM($E52, $G52, $J52, $O52))</f>
        <v>143194</v>
      </c>
      <c r="N52" s="165" cm="1">
        <f t="array" aca="1" ref="N52" ca="1">IF(ISNUMBER(SEARCH("Транс",$C52)),_xlfn.XLOOKUP(1,('Фрахт Транс'!$A$5:$A$10=$D52)*1,_xlfn.XLOOKUP(1,('Фрахт Транс'!$B$3:$M$3=$S$2)*('Фрахт Транс'!$B$4:$M$4=N$2),'Фрахт Транс'!$B$5:$M$10)),SUM($F52, $H52, $K52, $P52))</f>
        <v>231401</v>
      </c>
      <c r="O52" s="165" cm="1">
        <f t="array" aca="1" ref="O52" ca="1">IFERROR(_xlfn.XLOOKUP(1,  (Охрана!$A$6:$A$14 = $D52) * 1,  _xlfn.XLOOKUP(1,  (Охрана!$B$5:$M$5 = O$2) * (Охрана!$B$4:$M$4 = $S$2), Охрана!$B$6:$M$14)), "-")</f>
        <v>3394</v>
      </c>
      <c r="P52" s="211" cm="1">
        <f t="array" aca="1" ref="P52" ca="1">IFERROR(_xlfn.XLOOKUP(1,  (Охрана!$A$6:$A$14 = $D52) * 1,  _xlfn.XLOOKUP(1,  (Охрана!$B$5:$M$5 = P$2) * (Охрана!$B$4:$M$4 = $S$2), Охрана!$B$6:$M$14)), "-")</f>
        <v>6801</v>
      </c>
      <c r="Q52" s="38"/>
      <c r="R52" s="71"/>
      <c r="S52" s="6"/>
      <c r="U52" s="3"/>
    </row>
    <row r="53" spans="1:21" ht="30.75" thickBot="1" x14ac:dyDescent="0.3">
      <c r="A53" s="213" t="s">
        <v>17</v>
      </c>
      <c r="B53" s="287" t="s">
        <v>17</v>
      </c>
      <c r="C53" s="63" t="s">
        <v>43</v>
      </c>
      <c r="D53" s="64" t="s">
        <v>47</v>
      </c>
      <c r="E53" s="168" t="str" cm="1">
        <f t="array" ref="E53">IFERROR(_xlfn.XLOOKUP(1, (Фрахт!$A$5:$A$80 = $A53)* (Фрахт!$B$5:$B$80 = $C53) * (Фрахт!$C$5:$C$80 =$D53),  _xlfn.XLOOKUP(1,  (Фрахт!$D$4:$E$4 = E$2) * 1, Фрахт!$D$5:$E$80)) *  $S$1, "-")</f>
        <v>-</v>
      </c>
      <c r="F53" s="168" t="str" cm="1">
        <f t="array" ref="F53">IFERROR(_xlfn.XLOOKUP(1, (Фрахт!$A$5:$A$80 = $A53)* (Фрахт!$B$5:$B$80 = $C53) * (Фрахт!$C$5:$C$80 =$D53),  _xlfn.XLOOKUP(1,  (Фрахт!$D$4:$E$4 = F$2) * 1, Фрахт!$D$5:$E$80)) *  $S$1, "-")</f>
        <v>-</v>
      </c>
      <c r="G53" s="148" cm="1">
        <f t="array" aca="1" ref="G53" ca="1">IFERROR(_xlfn.XLOOKUP(1,  ('Drop off'!$A$6:$A$14 = $C53) * 1,  _xlfn.XLOOKUP(1,  ('Drop off'!$B$5:$I$5 = G$2) * ('Drop off'!$B$4:$I$4 = $S$2), 'Drop off'!$B$6:$I$14)) * $S$1, "-")</f>
        <v>0</v>
      </c>
      <c r="H53" s="148" cm="1">
        <f t="array" aca="1" ref="H53" ca="1">IFERROR(_xlfn.XLOOKUP(1,  ('Drop off'!$A$6:$A$14 = $C53) * 1,  _xlfn.XLOOKUP(1,  ('Drop off'!$B$5:$I$5 = H$2) * ('Drop off'!$B$4:$I$4 = $S$2), 'Drop off'!$B$6:$I$14)) * $S$1, "-")</f>
        <v>0</v>
      </c>
      <c r="I53" s="148" t="str" cm="1">
        <f t="array" aca="1" ref="I53" ca="1">IFERROR(_xlfn.XLOOKUP(1,  ('ж.д.'!$A$6:$A$14 = $D53) * 1,  _xlfn.XLOOKUP(1,  ('ж.д.'!$B$5:$M$5 = I$2) * ('ж.д.'!$B$4:$M$4 = $S$2), 'ж.д.'!$B$6:$M$14)), "-")</f>
        <v>-</v>
      </c>
      <c r="J53" s="148" t="str" cm="1">
        <f t="array" aca="1" ref="J53" ca="1">IFERROR(_xlfn.XLOOKUP(1,  ('ж.д.'!$A$6:$A$14 = $D53) * 1,  _xlfn.XLOOKUP(1,  ('ж.д.'!$B$5:$M$5 = J$2) * ('ж.д.'!$B$4:$M$4 = $S$2), 'ж.д.'!$B$6:$M$14)), "-")</f>
        <v>-</v>
      </c>
      <c r="K53" s="148" t="str" cm="1">
        <f t="array" aca="1" ref="K53" ca="1">IFERROR(_xlfn.XLOOKUP(1,  ('ж.д.'!$A$6:$A$14 = $D53) * 1,  _xlfn.XLOOKUP(1,  ('ж.д.'!$B$5:$M$5 = K$2) * ('ж.д.'!$B$4:$M$4 = $S$2), 'ж.д.'!$B$6:$M$14)), "-")</f>
        <v>-</v>
      </c>
      <c r="L53" s="191" cm="1">
        <f t="array" aca="1" ref="L53" ca="1">IF(ISNUMBER(SEARCH("Транс",$C53)),_xlfn.XLOOKUP(1,('Фрахт Транс'!$A$5:$A$10=$D53)*1,_xlfn.XLOOKUP(1,('Фрахт Транс'!$B$3:$M$3 = $S$2)*('Фрахт Транс'!$B$4:$M$4=L$2),'Фрахт Транс'!$B$5:$M$10)),SUM($E53, $G53, $I53, $O53))</f>
        <v>356456</v>
      </c>
      <c r="M53" s="148" cm="1">
        <f t="array" aca="1" ref="M53" ca="1">IF(ISNUMBER(SEARCH("Транс",$C53)),_xlfn.XLOOKUP(1,('Фрахт Транс'!$A$5:$A$10=$D53)*1,_xlfn.XLOOKUP(1,('Фрахт Транс'!$B$3:$M$3=$S$2)*('Фрахт Транс'!$B$4:$M$4=M$2),'Фрахт Транс'!$B$5:$M$10)),SUM($E53, $G53, $J53, $O53))</f>
        <v>373994</v>
      </c>
      <c r="N53" s="148" cm="1">
        <f t="array" aca="1" ref="N53" ca="1">IF(ISNUMBER(SEARCH("Транс",$C53)),_xlfn.XLOOKUP(1,('Фрахт Транс'!$A$5:$A$10=$D53)*1,_xlfn.XLOOKUP(1,('Фрахт Транс'!$B$3:$M$3=$S$2)*('Фрахт Транс'!$B$4:$M$4=N$2),'Фрахт Транс'!$B$5:$M$10)),SUM($F53, $H53, $K53, $P53))</f>
        <v>538268</v>
      </c>
      <c r="O53" s="192" t="str" cm="1">
        <f t="array" aca="1" ref="O53" ca="1">IFERROR(_xlfn.XLOOKUP(1,  (Охрана!$A$6:$A$14 = $D53) * 1,  _xlfn.XLOOKUP(1,  (Охрана!$B$5:$M$5 = O$2) * (Охрана!$B$4:$M$4 = $S$2), Охрана!$B$6:$M$14)), "-")</f>
        <v>-</v>
      </c>
      <c r="P53" s="193" t="str" cm="1">
        <f t="array" aca="1" ref="P53" ca="1">IFERROR(_xlfn.XLOOKUP(1,  (Охрана!$A$6:$A$14 = $D53) * 1,  _xlfn.XLOOKUP(1,  (Охрана!$B$5:$M$5 = P$2) * (Охрана!$B$4:$M$4 = $S$2), Охрана!$B$6:$M$14)), "-")</f>
        <v>-</v>
      </c>
      <c r="Q53" s="38"/>
      <c r="R53" s="6"/>
      <c r="S53" s="6"/>
      <c r="U53" s="3"/>
    </row>
    <row r="54" spans="1:21" ht="15" customHeight="1" thickBot="1" x14ac:dyDescent="0.3">
      <c r="A54" s="213" t="s">
        <v>17</v>
      </c>
      <c r="B54" s="288"/>
      <c r="C54" s="32" t="s">
        <v>12</v>
      </c>
      <c r="D54" s="32" t="s">
        <v>30</v>
      </c>
      <c r="E54" s="169" cm="1">
        <f t="array" ref="E54">IFERROR(_xlfn.XLOOKUP(1, (Фрахт!$A$5:$A$80 = $A54)* (Фрахт!$B$5:$B$80 = $C54) * (Фрахт!$C$5:$C$80 =$D54),  _xlfn.XLOOKUP(1,  (Фрахт!$D$4:$E$4 = E$2) * 1, Фрахт!$D$5:$E$80)) *  $S$1, "-")</f>
        <v>330000</v>
      </c>
      <c r="F54" s="149" cm="1">
        <f t="array" ref="F54">IFERROR(_xlfn.XLOOKUP(1, (Фрахт!$A$5:$A$80 = $A54)* (Фрахт!$B$5:$B$80 = $C54) * (Фрахт!$C$5:$C$80 =$D54),  _xlfn.XLOOKUP(1,  (Фрахт!$D$4:$E$4 = F$2) * 1, Фрахт!$D$5:$E$80)) *  $S$1, "-")</f>
        <v>450000</v>
      </c>
      <c r="G54" s="149" cm="1">
        <f t="array" aca="1" ref="G54" ca="1">IFERROR(_xlfn.XLOOKUP(1,  ('Drop off'!$A$6:$A$14 = $C54) * 1,  _xlfn.XLOOKUP(1,  ('Drop off'!$B$5:$I$5 = G$2) * ('Drop off'!$B$4:$I$4 = $S$2), 'Drop off'!$B$6:$I$14)) * $S$1, "-")</f>
        <v>0</v>
      </c>
      <c r="H54" s="149" cm="1">
        <f t="array" aca="1" ref="H54" ca="1">IFERROR(_xlfn.XLOOKUP(1,  ('Drop off'!$A$6:$A$14 = $C54) * 1,  _xlfn.XLOOKUP(1,  ('Drop off'!$B$5:$I$5 = H$2) * ('Drop off'!$B$4:$I$4 = $S$2), 'Drop off'!$B$6:$I$14)) * $S$1, "-")</f>
        <v>0</v>
      </c>
      <c r="I54" s="149" cm="1">
        <f t="array" aca="1" ref="I54" ca="1">IFERROR(_xlfn.XLOOKUP(1,  ('ж.д.'!$A$6:$A$14 = $D54) * 1,  _xlfn.XLOOKUP(1,  ('ж.д.'!$B$5:$M$5 = I$2) * ('ж.д.'!$B$4:$M$4 = $S$2), 'ж.д.'!$B$6:$M$14)), "-")</f>
        <v>167600</v>
      </c>
      <c r="J54" s="149" cm="1">
        <f t="array" aca="1" ref="J54" ca="1">IFERROR(_xlfn.XLOOKUP(1,  ('ж.д.'!$A$6:$A$14 = $D54) * 1,  _xlfn.XLOOKUP(1,  ('ж.д.'!$B$5:$M$5 = J$2) * ('ж.д.'!$B$4:$M$4 = $S$2), 'ж.д.'!$B$6:$M$14)), "-")</f>
        <v>181540</v>
      </c>
      <c r="K54" s="149" cm="1">
        <f t="array" aca="1" ref="K54" ca="1">IFERROR(_xlfn.XLOOKUP(1,  ('ж.д.'!$A$6:$A$14 = $D54) * 1,  _xlfn.XLOOKUP(1,  ('ж.д.'!$B$5:$M$5 = K$2) * ('ж.д.'!$B$4:$M$4 = $S$2), 'ж.д.'!$B$6:$M$14)), "-")</f>
        <v>292000</v>
      </c>
      <c r="L54" s="149" cm="1">
        <f t="array" aca="1" ref="L54" ca="1">IF(ISNUMBER(SEARCH("Транс",$C54)),_xlfn.XLOOKUP(1,('Фрахт Транс'!$A$5:$A$10=$D54)*1,_xlfn.XLOOKUP(1,('Фрахт Транс'!$B$3:$M$3 = $S$2)*('Фрахт Транс'!$B$4:$M$4=L$2),'Фрахт Транс'!$B$5:$M$10)),SUM($E54, $G54, $I54, $O54))</f>
        <v>501422</v>
      </c>
      <c r="M54" s="149" cm="1">
        <f t="array" aca="1" ref="M54" ca="1">IF(ISNUMBER(SEARCH("Транс",$C54)),_xlfn.XLOOKUP(1,('Фрахт Транс'!$A$5:$A$10=$D54)*1,_xlfn.XLOOKUP(1,('Фрахт Транс'!$B$3:$M$3=$S$2)*('Фрахт Транс'!$B$4:$M$4=M$2),'Фрахт Транс'!$B$5:$M$10)),SUM($E54, $G54, $J54, $O54))</f>
        <v>515362</v>
      </c>
      <c r="N54" s="149" cm="1">
        <f t="array" aca="1" ref="N54" ca="1">IF(ISNUMBER(SEARCH("Транс",$C54)),_xlfn.XLOOKUP(1,('Фрахт Транс'!$A$5:$A$10=$D54)*1,_xlfn.XLOOKUP(1,('Фрахт Транс'!$B$3:$M$3=$S$2)*('Фрахт Транс'!$B$4:$M$4=N$2),'Фрахт Транс'!$B$5:$M$10)),SUM($F54, $H54, $K54, $P54))</f>
        <v>748910</v>
      </c>
      <c r="O54" s="149" cm="1">
        <f t="array" aca="1" ref="O54" ca="1">IFERROR(_xlfn.XLOOKUP(1,  (Охрана!$A$6:$A$14 = $D54) * 1,  _xlfn.XLOOKUP(1,  (Охрана!$B$5:$M$5 = O$2) * (Охрана!$B$4:$M$4 = $S$2), Охрана!$B$6:$M$14)), "-")</f>
        <v>3822</v>
      </c>
      <c r="P54" s="194" cm="1">
        <f t="array" aca="1" ref="P54" ca="1">IFERROR(_xlfn.XLOOKUP(1,  (Охрана!$A$6:$A$14 = $D54) * 1,  _xlfn.XLOOKUP(1,  (Охрана!$B$5:$M$5 = P$2) * (Охрана!$B$4:$M$4 = $S$2), Охрана!$B$6:$M$14)), "-")</f>
        <v>6910</v>
      </c>
      <c r="Q54" s="282"/>
      <c r="R54" s="91"/>
      <c r="S54" s="4"/>
    </row>
    <row r="55" spans="1:21" ht="15" customHeight="1" thickBot="1" x14ac:dyDescent="0.3">
      <c r="A55" s="213" t="s">
        <v>17</v>
      </c>
      <c r="B55" s="288"/>
      <c r="C55" s="32" t="s">
        <v>12</v>
      </c>
      <c r="D55" s="32" t="s">
        <v>55</v>
      </c>
      <c r="E55" s="169" cm="1">
        <f t="array" ref="E55">IFERROR(_xlfn.XLOOKUP(1, (Фрахт!$A$5:$A$80 = $A55)* (Фрахт!$B$5:$B$80 = $C55) * (Фрахт!$C$5:$C$80 =$D55),  _xlfn.XLOOKUP(1,  (Фрахт!$D$4:$E$4 = E$2) * 1, Фрахт!$D$5:$E$80)) *  $S$1, "-")</f>
        <v>330000</v>
      </c>
      <c r="F55" s="149" cm="1">
        <f t="array" ref="F55">IFERROR(_xlfn.XLOOKUP(1, (Фрахт!$A$5:$A$80 = $A55)* (Фрахт!$B$5:$B$80 = $C55) * (Фрахт!$C$5:$C$80 =$D55),  _xlfn.XLOOKUP(1,  (Фрахт!$D$4:$E$4 = F$2) * 1, Фрахт!$D$5:$E$80)) *  $S$1, "-")</f>
        <v>450000</v>
      </c>
      <c r="G55" s="149" cm="1">
        <f t="array" aca="1" ref="G55" ca="1">IFERROR(_xlfn.XLOOKUP(1,  ('Drop off'!$A$6:$A$14 = $C55) * 1,  _xlfn.XLOOKUP(1,  ('Drop off'!$B$5:$I$5 = G$2) * ('Drop off'!$B$4:$I$4 = $S$2), 'Drop off'!$B$6:$I$14)) * $S$1, "-")</f>
        <v>0</v>
      </c>
      <c r="H55" s="149" cm="1">
        <f t="array" aca="1" ref="H55" ca="1">IFERROR(_xlfn.XLOOKUP(1,  ('Drop off'!$A$6:$A$14 = $C55) * 1,  _xlfn.XLOOKUP(1,  ('Drop off'!$B$5:$I$5 = H$2) * ('Drop off'!$B$4:$I$4 = $S$2), 'Drop off'!$B$6:$I$14)) * $S$1, "-")</f>
        <v>0</v>
      </c>
      <c r="I55" s="149" cm="1">
        <f t="array" aca="1" ref="I55" ca="1">IFERROR(_xlfn.XLOOKUP(1,  ('ж.д.'!$A$6:$A$14 = $D55) * 1,  _xlfn.XLOOKUP(1,  ('ж.д.'!$B$5:$M$5 = I$2) * ('ж.д.'!$B$4:$M$4 = $S$2), 'ж.д.'!$B$6:$M$14)), "-")</f>
        <v>173730</v>
      </c>
      <c r="J55" s="149" cm="1">
        <f t="array" aca="1" ref="J55" ca="1">IFERROR(_xlfn.XLOOKUP(1,  ('ж.д.'!$A$6:$A$14 = $D55) * 1,  _xlfn.XLOOKUP(1,  ('ж.д.'!$B$5:$M$5 = J$2) * ('ж.д.'!$B$4:$M$4 = $S$2), 'ж.д.'!$B$6:$M$14)), "-")</f>
        <v>191045</v>
      </c>
      <c r="K55" s="149" cm="1">
        <f t="array" aca="1" ref="K55" ca="1">IFERROR(_xlfn.XLOOKUP(1,  ('ж.д.'!$A$6:$A$14 = $D55) * 1,  _xlfn.XLOOKUP(1,  ('ж.д.'!$B$5:$M$5 = K$2) * ('ж.д.'!$B$4:$M$4 = $S$2), 'ж.д.'!$B$6:$M$14)), "-")</f>
        <v>303815</v>
      </c>
      <c r="L55" s="149" cm="1">
        <f t="array" aca="1" ref="L55" ca="1">IF(ISNUMBER(SEARCH("Транс",$C55)),_xlfn.XLOOKUP(1,('Фрахт Транс'!$A$5:$A$10=$D55)*1,_xlfn.XLOOKUP(1,('Фрахт Транс'!$B$3:$M$3 = $S$2)*('Фрахт Транс'!$B$4:$M$4=L$2),'Фрахт Транс'!$B$5:$M$10)),SUM($E55, $G55, $I55, $O55))</f>
        <v>507552</v>
      </c>
      <c r="M55" s="149" cm="1">
        <f t="array" aca="1" ref="M55" ca="1">IF(ISNUMBER(SEARCH("Транс",$C55)),_xlfn.XLOOKUP(1,('Фрахт Транс'!$A$5:$A$10=$D55)*1,_xlfn.XLOOKUP(1,('Фрахт Транс'!$B$3:$M$3=$S$2)*('Фрахт Транс'!$B$4:$M$4=M$2),'Фрахт Транс'!$B$5:$M$10)),SUM($E55, $G55, $J55, $O55))</f>
        <v>524867</v>
      </c>
      <c r="N55" s="149" cm="1">
        <f t="array" aca="1" ref="N55" ca="1">IF(ISNUMBER(SEARCH("Транс",$C55)),_xlfn.XLOOKUP(1,('Фрахт Транс'!$A$5:$A$10=$D55)*1,_xlfn.XLOOKUP(1,('Фрахт Транс'!$B$3:$M$3=$S$2)*('Фрахт Транс'!$B$4:$M$4=N$2),'Фрахт Транс'!$B$5:$M$10)),SUM($F55, $H55, $K55, $P55))</f>
        <v>760725</v>
      </c>
      <c r="O55" s="149" cm="1">
        <f t="array" aca="1" ref="O55" ca="1">IFERROR(_xlfn.XLOOKUP(1,  (Охрана!$A$6:$A$14 = $D55) * 1,  _xlfn.XLOOKUP(1,  (Охрана!$B$5:$M$5 = O$2) * (Охрана!$B$4:$M$4 = $S$2), Охрана!$B$6:$M$14)), "-")</f>
        <v>3822</v>
      </c>
      <c r="P55" s="194" cm="1">
        <f t="array" aca="1" ref="P55" ca="1">IFERROR(_xlfn.XLOOKUP(1,  (Охрана!$A$6:$A$14 = $D55) * 1,  _xlfn.XLOOKUP(1,  (Охрана!$B$5:$M$5 = P$2) * (Охрана!$B$4:$M$4 = $S$2), Охрана!$B$6:$M$14)), "-")</f>
        <v>6910</v>
      </c>
      <c r="Q55" s="282"/>
      <c r="R55" s="3"/>
      <c r="S55" s="4"/>
    </row>
    <row r="56" spans="1:21" ht="15.75" customHeight="1" thickBot="1" x14ac:dyDescent="0.3">
      <c r="A56" s="213" t="s">
        <v>17</v>
      </c>
      <c r="B56" s="288"/>
      <c r="C56" s="41" t="s">
        <v>35</v>
      </c>
      <c r="D56" s="40" t="s">
        <v>11</v>
      </c>
      <c r="E56" s="170" cm="1">
        <f t="array" ref="E56">IFERROR(_xlfn.XLOOKUP(1, (Фрахт!$A$5:$A$80 = $A56)* (Фрахт!$B$5:$B$80 = $C56) * (Фрахт!$C$5:$C$80 =$D56),  _xlfn.XLOOKUP(1,  (Фрахт!$D$4:$E$4 = E$2) * 1, Фрахт!$D$5:$E$80)) *  $S$1, "-")</f>
        <v>283500</v>
      </c>
      <c r="F56" s="150" cm="1">
        <f t="array" ref="F56">IFERROR(_xlfn.XLOOKUP(1, (Фрахт!$A$5:$A$80 = $A56)* (Фрахт!$B$5:$B$80 = $C56) * (Фрахт!$C$5:$C$80 =$D56),  _xlfn.XLOOKUP(1,  (Фрахт!$D$4:$E$4 = F$2) * 1, Фрахт!$D$5:$E$80)) *  $S$1, "-")</f>
        <v>472500</v>
      </c>
      <c r="G56" s="150" cm="1">
        <f t="array" aca="1" ref="G56" ca="1">IFERROR(_xlfn.XLOOKUP(1,  ('Drop off'!$A$6:$A$14 = $C56) * 1,  _xlfn.XLOOKUP(1,  ('Drop off'!$B$5:$I$5 = G$2) * ('Drop off'!$B$4:$I$4 = $S$2), 'Drop off'!$B$6:$I$14)) * $S$1, "-")</f>
        <v>56700</v>
      </c>
      <c r="H56" s="150" cm="1">
        <f t="array" aca="1" ref="H56" ca="1">IFERROR(_xlfn.XLOOKUP(1,  ('Drop off'!$A$6:$A$14 = $C56) * 1,  _xlfn.XLOOKUP(1,  ('Drop off'!$B$5:$I$5 = H$2) * ('Drop off'!$B$4:$I$4 = $S$2), 'Drop off'!$B$6:$I$14)) * $S$1, "-")</f>
        <v>37800</v>
      </c>
      <c r="I56" s="150" cm="1">
        <f t="array" aca="1" ref="I56" ca="1">IFERROR(_xlfn.XLOOKUP(1,  ('ж.д.'!$A$6:$A$14 = $D56) * 1,  _xlfn.XLOOKUP(1,  ('ж.д.'!$B$5:$M$5 = I$2) * ('ж.д.'!$B$4:$M$4 = $S$2), 'ж.д.'!$B$6:$M$14)), "-")</f>
        <v>122400</v>
      </c>
      <c r="J56" s="150" cm="1">
        <f t="array" aca="1" ref="J56" ca="1">IFERROR(_xlfn.XLOOKUP(1,  ('ж.д.'!$A$6:$A$14 = $D56) * 1,  _xlfn.XLOOKUP(1,  ('ж.д.'!$B$5:$M$5 = J$2) * ('ж.д.'!$B$4:$M$4 = $S$2), 'ж.д.'!$B$6:$M$14)), "-")</f>
        <v>139800</v>
      </c>
      <c r="K56" s="150" cm="1">
        <f t="array" aca="1" ref="K56" ca="1">IFERROR(_xlfn.XLOOKUP(1,  ('ж.д.'!$A$6:$A$14 = $D56) * 1,  _xlfn.XLOOKUP(1,  ('ж.д.'!$B$5:$M$5 = K$2) * ('ж.д.'!$B$4:$M$4 = $S$2), 'ж.д.'!$B$6:$M$14)), "-")</f>
        <v>224600</v>
      </c>
      <c r="L56" s="150" cm="1">
        <f t="array" aca="1" ref="L56" ca="1">IF(ISNUMBER(SEARCH("Транс",$C56)),_xlfn.XLOOKUP(1,('Фрахт Транс'!$A$5:$A$10=$D56)*1,_xlfn.XLOOKUP(1,('Фрахт Транс'!$B$3:$M$3 = $S$2)*('Фрахт Транс'!$B$4:$M$4=L$2),'Фрахт Транс'!$B$5:$M$10)),SUM($E56, $G56, $I56, $O56))</f>
        <v>465994</v>
      </c>
      <c r="M56" s="150" cm="1">
        <f t="array" aca="1" ref="M56" ca="1">IF(ISNUMBER(SEARCH("Транс",$C56)),_xlfn.XLOOKUP(1,('Фрахт Транс'!$A$5:$A$10=$D56)*1,_xlfn.XLOOKUP(1,('Фрахт Транс'!$B$3:$M$3=$S$2)*('Фрахт Транс'!$B$4:$M$4=M$2),'Фрахт Транс'!$B$5:$M$10)),SUM($E56, $G56, $J56, $O56))</f>
        <v>483394</v>
      </c>
      <c r="N56" s="150" cm="1">
        <f t="array" aca="1" ref="N56" ca="1">IF(ISNUMBER(SEARCH("Транс",$C56)),_xlfn.XLOOKUP(1,('Фрахт Транс'!$A$5:$A$10=$D56)*1,_xlfn.XLOOKUP(1,('Фрахт Транс'!$B$3:$M$3=$S$2)*('Фрахт Транс'!$B$4:$M$4=N$2),'Фрахт Транс'!$B$5:$M$10)),SUM($F56, $H56, $K56, $P56))</f>
        <v>741701</v>
      </c>
      <c r="O56" s="150" cm="1">
        <f t="array" aca="1" ref="O56" ca="1">IFERROR(_xlfn.XLOOKUP(1,  (Охрана!$A$6:$A$14 = $D56) * 1,  _xlfn.XLOOKUP(1,  (Охрана!$B$5:$M$5 = O$2) * (Охрана!$B$4:$M$4 = $S$2), Охрана!$B$6:$M$14)), "-")</f>
        <v>3394</v>
      </c>
      <c r="P56" s="195" cm="1">
        <f t="array" aca="1" ref="P56" ca="1">IFERROR(_xlfn.XLOOKUP(1,  (Охрана!$A$6:$A$14 = $D56) * 1,  _xlfn.XLOOKUP(1,  (Охрана!$B$5:$M$5 = P$2) * (Охрана!$B$4:$M$4 = $S$2), Охрана!$B$6:$M$14)), "-")</f>
        <v>6801</v>
      </c>
      <c r="Q56" s="286"/>
      <c r="R56" s="4"/>
      <c r="S56" s="4"/>
    </row>
    <row r="57" spans="1:21" ht="15.75" customHeight="1" thickBot="1" x14ac:dyDescent="0.3">
      <c r="A57" s="213" t="s">
        <v>17</v>
      </c>
      <c r="B57" s="288"/>
      <c r="C57" s="41" t="s">
        <v>35</v>
      </c>
      <c r="D57" s="40" t="s">
        <v>34</v>
      </c>
      <c r="E57" s="170" cm="1">
        <f t="array" ref="E57">IFERROR(_xlfn.XLOOKUP(1, (Фрахт!$A$5:$A$80 = $A57)* (Фрахт!$B$5:$B$80 = $C57) * (Фрахт!$C$5:$C$80 =$D57),  _xlfn.XLOOKUP(1,  (Фрахт!$D$4:$E$4 = E$2) * 1, Фрахт!$D$5:$E$80)) *  $S$1, "-")</f>
        <v>283500</v>
      </c>
      <c r="F57" s="150" cm="1">
        <f t="array" ref="F57">IFERROR(_xlfn.XLOOKUP(1, (Фрахт!$A$5:$A$80 = $A57)* (Фрахт!$B$5:$B$80 = $C57) * (Фрахт!$C$5:$C$80 =$D57),  _xlfn.XLOOKUP(1,  (Фрахт!$D$4:$E$4 = F$2) * 1, Фрахт!$D$5:$E$80)) *  $S$1, "-")</f>
        <v>472500</v>
      </c>
      <c r="G57" s="150" cm="1">
        <f t="array" aca="1" ref="G57" ca="1">IFERROR(_xlfn.XLOOKUP(1,  ('Drop off'!$A$6:$A$14 = $C57) * 1,  _xlfn.XLOOKUP(1,  ('Drop off'!$B$5:$I$5 = G$2) * ('Drop off'!$B$4:$I$4 = $S$2), 'Drop off'!$B$6:$I$14)) * $S$1, "-")</f>
        <v>56700</v>
      </c>
      <c r="H57" s="150" cm="1">
        <f t="array" aca="1" ref="H57" ca="1">IFERROR(_xlfn.XLOOKUP(1,  ('Drop off'!$A$6:$A$14 = $C57) * 1,  _xlfn.XLOOKUP(1,  ('Drop off'!$B$5:$I$5 = H$2) * ('Drop off'!$B$4:$I$4 = $S$2), 'Drop off'!$B$6:$I$14)) * $S$1, "-")</f>
        <v>37800</v>
      </c>
      <c r="I57" s="150" cm="1">
        <f t="array" aca="1" ref="I57" ca="1">IFERROR(_xlfn.XLOOKUP(1,  ('ж.д.'!$A$6:$A$14 = $D57) * 1,  _xlfn.XLOOKUP(1,  ('ж.д.'!$B$5:$M$5 = I$2) * ('ж.д.'!$B$4:$M$4 = $S$2), 'ж.д.'!$B$6:$M$14)), "-")</f>
        <v>134400</v>
      </c>
      <c r="J57" s="150" cm="1">
        <f t="array" aca="1" ref="J57" ca="1">IFERROR(_xlfn.XLOOKUP(1,  ('ж.д.'!$A$6:$A$14 = $D57) * 1,  _xlfn.XLOOKUP(1,  ('ж.д.'!$B$5:$M$5 = J$2) * ('ж.д.'!$B$4:$M$4 = $S$2), 'ж.д.'!$B$6:$M$14)), "-")</f>
        <v>149400</v>
      </c>
      <c r="K57" s="150" cm="1">
        <f t="array" aca="1" ref="K57" ca="1">IFERROR(_xlfn.XLOOKUP(1,  ('ж.д.'!$A$6:$A$14 = $D57) * 1,  _xlfn.XLOOKUP(1,  ('ж.д.'!$B$5:$M$5 = K$2) * ('ж.д.'!$B$4:$M$4 = $S$2), 'ж.д.'!$B$6:$M$14)), "-")</f>
        <v>235000</v>
      </c>
      <c r="L57" s="150" cm="1">
        <f t="array" aca="1" ref="L57" ca="1">IF(ISNUMBER(SEARCH("Транс",$C57)),_xlfn.XLOOKUP(1,('Фрахт Транс'!$A$5:$A$10=$D57)*1,_xlfn.XLOOKUP(1,('Фрахт Транс'!$B$3:$M$3 = $S$2)*('Фрахт Транс'!$B$4:$M$4=L$2),'Фрахт Транс'!$B$5:$M$10)),SUM($E57, $G57, $I57, $O57))</f>
        <v>477994</v>
      </c>
      <c r="M57" s="150" cm="1">
        <f t="array" aca="1" ref="M57" ca="1">IF(ISNUMBER(SEARCH("Транс",$C57)),_xlfn.XLOOKUP(1,('Фрахт Транс'!$A$5:$A$10=$D57)*1,_xlfn.XLOOKUP(1,('Фрахт Транс'!$B$3:$M$3=$S$2)*('Фрахт Транс'!$B$4:$M$4=M$2),'Фрахт Транс'!$B$5:$M$10)),SUM($E57, $G57, $J57, $O57))</f>
        <v>492994</v>
      </c>
      <c r="N57" s="150" cm="1">
        <f t="array" aca="1" ref="N57" ca="1">IF(ISNUMBER(SEARCH("Транс",$C57)),_xlfn.XLOOKUP(1,('Фрахт Транс'!$A$5:$A$10=$D57)*1,_xlfn.XLOOKUP(1,('Фрахт Транс'!$B$3:$M$3=$S$2)*('Фрахт Транс'!$B$4:$M$4=N$2),'Фрахт Транс'!$B$5:$M$10)),SUM($F57, $H57, $K57, $P57))</f>
        <v>752101</v>
      </c>
      <c r="O57" s="150" cm="1">
        <f t="array" aca="1" ref="O57" ca="1">IFERROR(_xlfn.XLOOKUP(1,  (Охрана!$A$6:$A$14 = $D57) * 1,  _xlfn.XLOOKUP(1,  (Охрана!$B$5:$M$5 = O$2) * (Охрана!$B$4:$M$4 = $S$2), Охрана!$B$6:$M$14)), "-")</f>
        <v>3394</v>
      </c>
      <c r="P57" s="195" cm="1">
        <f t="array" aca="1" ref="P57" ca="1">IFERROR(_xlfn.XLOOKUP(1,  (Охрана!$A$6:$A$14 = $D57) * 1,  _xlfn.XLOOKUP(1,  (Охрана!$B$5:$M$5 = P$2) * (Охрана!$B$4:$M$4 = $S$2), Охрана!$B$6:$M$14)), "-")</f>
        <v>6801</v>
      </c>
      <c r="Q57" s="286"/>
      <c r="R57" s="4"/>
      <c r="S57" s="4"/>
    </row>
    <row r="58" spans="1:21" ht="16.5" customHeight="1" thickBot="1" x14ac:dyDescent="0.3">
      <c r="A58" s="213" t="s">
        <v>17</v>
      </c>
      <c r="B58" s="288"/>
      <c r="C58" s="41" t="s">
        <v>35</v>
      </c>
      <c r="D58" s="40" t="s">
        <v>10</v>
      </c>
      <c r="E58" s="170" cm="1">
        <f t="array" ref="E58">IFERROR(_xlfn.XLOOKUP(1, (Фрахт!$A$5:$A$80 = $A58)* (Фрахт!$B$5:$B$80 = $C58) * (Фрахт!$C$5:$C$80 =$D58),  _xlfn.XLOOKUP(1,  (Фрахт!$D$4:$E$4 = E$2) * 1, Фрахт!$D$5:$E$80)) *  $S$1, "-")</f>
        <v>283500</v>
      </c>
      <c r="F58" s="150" cm="1">
        <f t="array" ref="F58">IFERROR(_xlfn.XLOOKUP(1, (Фрахт!$A$5:$A$80 = $A58)* (Фрахт!$B$5:$B$80 = $C58) * (Фрахт!$C$5:$C$80 =$D58),  _xlfn.XLOOKUP(1,  (Фрахт!$D$4:$E$4 = F$2) * 1, Фрахт!$D$5:$E$80)) *  $S$1, "-")</f>
        <v>472500</v>
      </c>
      <c r="G58" s="150" cm="1">
        <f t="array" aca="1" ref="G58" ca="1">IFERROR(_xlfn.XLOOKUP(1,  ('Drop off'!$A$6:$A$14 = $C58) * 1,  _xlfn.XLOOKUP(1,  ('Drop off'!$B$5:$I$5 = G$2) * ('Drop off'!$B$4:$I$4 = $S$2), 'Drop off'!$B$6:$I$14)) * $S$1, "-")</f>
        <v>56700</v>
      </c>
      <c r="H58" s="150" cm="1">
        <f t="array" aca="1" ref="H58" ca="1">IFERROR(_xlfn.XLOOKUP(1,  ('Drop off'!$A$6:$A$14 = $C58) * 1,  _xlfn.XLOOKUP(1,  ('Drop off'!$B$5:$I$5 = H$2) * ('Drop off'!$B$4:$I$4 = $S$2), 'Drop off'!$B$6:$I$14)) * $S$1, "-")</f>
        <v>37800</v>
      </c>
      <c r="I58" s="150" cm="1">
        <f t="array" aca="1" ref="I58" ca="1">IFERROR(_xlfn.XLOOKUP(1,  ('ж.д.'!$A$6:$A$14 = $D58) * 1,  _xlfn.XLOOKUP(1,  ('ж.д.'!$B$5:$M$5 = I$2) * ('ж.д.'!$B$4:$M$4 = $S$2), 'ж.д.'!$B$6:$M$14)), "-")</f>
        <v>141000</v>
      </c>
      <c r="J58" s="150" cm="1">
        <f t="array" aca="1" ref="J58" ca="1">IFERROR(_xlfn.XLOOKUP(1,  ('ж.д.'!$A$6:$A$14 = $D58) * 1,  _xlfn.XLOOKUP(1,  ('ж.д.'!$B$5:$M$5 = J$2) * ('ж.д.'!$B$4:$M$4 = $S$2), 'ж.д.'!$B$6:$M$14)), "-")</f>
        <v>156600</v>
      </c>
      <c r="K58" s="150" cm="1">
        <f t="array" aca="1" ref="K58" ca="1">IFERROR(_xlfn.XLOOKUP(1,  ('ж.д.'!$A$6:$A$14 = $D58) * 1,  _xlfn.XLOOKUP(1,  ('ж.д.'!$B$5:$M$5 = K$2) * ('ж.д.'!$B$4:$M$4 = $S$2), 'ж.д.'!$B$6:$M$14)), "-")</f>
        <v>261000</v>
      </c>
      <c r="L58" s="150" cm="1">
        <f t="array" aca="1" ref="L58" ca="1">IF(ISNUMBER(SEARCH("Транс",$C58)),_xlfn.XLOOKUP(1,('Фрахт Транс'!$A$5:$A$10=$D58)*1,_xlfn.XLOOKUP(1,('Фрахт Транс'!$B$3:$M$3 = $S$2)*('Фрахт Транс'!$B$4:$M$4=L$2),'Фрахт Транс'!$B$5:$M$10)),SUM($E58, $G58, $I58, $O58))</f>
        <v>485022</v>
      </c>
      <c r="M58" s="150" cm="1">
        <f t="array" aca="1" ref="M58" ca="1">IF(ISNUMBER(SEARCH("Транс",$C58)),_xlfn.XLOOKUP(1,('Фрахт Транс'!$A$5:$A$10=$D58)*1,_xlfn.XLOOKUP(1,('Фрахт Транс'!$B$3:$M$3=$S$2)*('Фрахт Транс'!$B$4:$M$4=M$2),'Фрахт Транс'!$B$5:$M$10)),SUM($E58, $G58, $J58, $O58))</f>
        <v>500622</v>
      </c>
      <c r="N58" s="150" cm="1">
        <f t="array" aca="1" ref="N58" ca="1">IF(ISNUMBER(SEARCH("Транс",$C58)),_xlfn.XLOOKUP(1,('Фрахт Транс'!$A$5:$A$10=$D58)*1,_xlfn.XLOOKUP(1,('Фрахт Транс'!$B$3:$M$3=$S$2)*('Фрахт Транс'!$B$4:$M$4=N$2),'Фрахт Транс'!$B$5:$M$10)),SUM($F58, $H58, $K58, $P58))</f>
        <v>778210</v>
      </c>
      <c r="O58" s="150" cm="1">
        <f t="array" aca="1" ref="O58" ca="1">IFERROR(_xlfn.XLOOKUP(1,  (Охрана!$A$6:$A$14 = $D58) * 1,  _xlfn.XLOOKUP(1,  (Охрана!$B$5:$M$5 = O$2) * (Охрана!$B$4:$M$4 = $S$2), Охрана!$B$6:$M$14)), "-")</f>
        <v>3822</v>
      </c>
      <c r="P58" s="195" cm="1">
        <f t="array" aca="1" ref="P58" ca="1">IFERROR(_xlfn.XLOOKUP(1,  (Охрана!$A$6:$A$14 = $D58) * 1,  _xlfn.XLOOKUP(1,  (Охрана!$B$5:$M$5 = P$2) * (Охрана!$B$4:$M$4 = $S$2), Охрана!$B$6:$M$14)), "-")</f>
        <v>6910</v>
      </c>
      <c r="Q58" s="286"/>
      <c r="S58" s="4"/>
    </row>
    <row r="59" spans="1:21" ht="16.5" customHeight="1" thickBot="1" x14ac:dyDescent="0.3">
      <c r="A59" s="213" t="s">
        <v>17</v>
      </c>
      <c r="B59" s="288"/>
      <c r="C59" s="41" t="s">
        <v>35</v>
      </c>
      <c r="D59" s="40" t="s">
        <v>7</v>
      </c>
      <c r="E59" s="170" cm="1">
        <f t="array" ref="E59">IFERROR(_xlfn.XLOOKUP(1, (Фрахт!$A$5:$A$80 = $A59)* (Фрахт!$B$5:$B$80 = $C59) * (Фрахт!$C$5:$C$80 =$D59),  _xlfn.XLOOKUP(1,  (Фрахт!$D$4:$E$4 = E$2) * 1, Фрахт!$D$5:$E$80)) *  $S$1, "-")</f>
        <v>283500</v>
      </c>
      <c r="F59" s="150" cm="1">
        <f t="array" ref="F59">IFERROR(_xlfn.XLOOKUP(1, (Фрахт!$A$5:$A$80 = $A59)* (Фрахт!$B$5:$B$80 = $C59) * (Фрахт!$C$5:$C$80 =$D59),  _xlfn.XLOOKUP(1,  (Фрахт!$D$4:$E$4 = F$2) * 1, Фрахт!$D$5:$E$80)) *  $S$1, "-")</f>
        <v>472500</v>
      </c>
      <c r="G59" s="150" cm="1">
        <f t="array" aca="1" ref="G59" ca="1">IFERROR(_xlfn.XLOOKUP(1,  ('Drop off'!$A$6:$A$14 = $C59) * 1,  _xlfn.XLOOKUP(1,  ('Drop off'!$B$5:$I$5 = G$2) * ('Drop off'!$B$4:$I$4 = $S$2), 'Drop off'!$B$6:$I$14)) * $S$1, "-")</f>
        <v>56700</v>
      </c>
      <c r="H59" s="150" cm="1">
        <f t="array" aca="1" ref="H59" ca="1">IFERROR(_xlfn.XLOOKUP(1,  ('Drop off'!$A$6:$A$14 = $C59) * 1,  _xlfn.XLOOKUP(1,  ('Drop off'!$B$5:$I$5 = H$2) * ('Drop off'!$B$4:$I$4 = $S$2), 'Drop off'!$B$6:$I$14)) * $S$1, "-")</f>
        <v>37800</v>
      </c>
      <c r="I59" s="150" cm="1">
        <f t="array" aca="1" ref="I59" ca="1">IFERROR(_xlfn.XLOOKUP(1,  ('ж.д.'!$A$6:$A$14 = $D59) * 1,  _xlfn.XLOOKUP(1,  ('ж.д.'!$B$5:$M$5 = I$2) * ('ж.д.'!$B$4:$M$4 = $S$2), 'ж.д.'!$B$6:$M$14)), "-")</f>
        <v>125000</v>
      </c>
      <c r="J59" s="150" cm="1">
        <f t="array" aca="1" ref="J59" ca="1">IFERROR(_xlfn.XLOOKUP(1,  ('ж.д.'!$A$6:$A$14 = $D59) * 1,  _xlfn.XLOOKUP(1,  ('ж.д.'!$B$5:$M$5 = J$2) * ('ж.д.'!$B$4:$M$4 = $S$2), 'ж.д.'!$B$6:$M$14)), "-")</f>
        <v>140000</v>
      </c>
      <c r="K59" s="150" cm="1">
        <f t="array" aca="1" ref="K59" ca="1">IFERROR(_xlfn.XLOOKUP(1,  ('ж.д.'!$A$6:$A$14 = $D59) * 1,  _xlfn.XLOOKUP(1,  ('ж.д.'!$B$5:$M$5 = K$2) * ('ж.д.'!$B$4:$M$4 = $S$2), 'ж.д.'!$B$6:$M$14)), "-")</f>
        <v>227000</v>
      </c>
      <c r="L59" s="150" cm="1">
        <f t="array" aca="1" ref="L59" ca="1">IF(ISNUMBER(SEARCH("Транс",$C59)),_xlfn.XLOOKUP(1,('Фрахт Транс'!$A$5:$A$10=$D59)*1,_xlfn.XLOOKUP(1,('Фрахт Транс'!$B$3:$M$3 = $S$2)*('Фрахт Транс'!$B$4:$M$4=L$2),'Фрахт Транс'!$B$5:$M$10)),SUM($E59, $G59, $I59, $O59))</f>
        <v>469300</v>
      </c>
      <c r="M59" s="150" cm="1">
        <f t="array" aca="1" ref="M59" ca="1">IF(ISNUMBER(SEARCH("Транс",$C59)),_xlfn.XLOOKUP(1,('Фрахт Транс'!$A$5:$A$10=$D59)*1,_xlfn.XLOOKUP(1,('Фрахт Транс'!$B$3:$M$3=$S$2)*('Фрахт Транс'!$B$4:$M$4=M$2),'Фрахт Транс'!$B$5:$M$10)),SUM($E59, $G59, $J59, $O59))</f>
        <v>484300</v>
      </c>
      <c r="N59" s="150" cm="1">
        <f t="array" aca="1" ref="N59" ca="1">IF(ISNUMBER(SEARCH("Транс",$C59)),_xlfn.XLOOKUP(1,('Фрахт Транс'!$A$5:$A$10=$D59)*1,_xlfn.XLOOKUP(1,('Фрахт Транс'!$B$3:$M$3=$S$2)*('Фрахт Транс'!$B$4:$M$4=N$2),'Фрахт Транс'!$B$5:$M$10)),SUM($F59, $H59, $K59, $P59))</f>
        <v>745500</v>
      </c>
      <c r="O59" s="150" cm="1">
        <f t="array" aca="1" ref="O59" ca="1">IFERROR(_xlfn.XLOOKUP(1,  (Охрана!$A$6:$A$14 = $D59) * 1,  _xlfn.XLOOKUP(1,  (Охрана!$B$5:$M$5 = O$2) * (Охрана!$B$4:$M$4 = $S$2), Охрана!$B$6:$M$14)), "-")</f>
        <v>4100</v>
      </c>
      <c r="P59" s="195" cm="1">
        <f t="array" aca="1" ref="P59" ca="1">IFERROR(_xlfn.XLOOKUP(1,  (Охрана!$A$6:$A$14 = $D59) * 1,  _xlfn.XLOOKUP(1,  (Охрана!$B$5:$M$5 = P$2) * (Охрана!$B$4:$M$4 = $S$2), Охрана!$B$6:$M$14)), "-")</f>
        <v>8200</v>
      </c>
      <c r="Q59" s="286"/>
      <c r="R59" s="4"/>
      <c r="S59" s="4"/>
    </row>
    <row r="60" spans="1:21" ht="16.5" customHeight="1" thickBot="1" x14ac:dyDescent="0.3">
      <c r="A60" s="213" t="s">
        <v>17</v>
      </c>
      <c r="B60" s="288"/>
      <c r="C60" s="50" t="s">
        <v>36</v>
      </c>
      <c r="D60" s="50" t="s">
        <v>21</v>
      </c>
      <c r="E60" s="171" cm="1">
        <f t="array" ref="E60">IFERROR(_xlfn.XLOOKUP(1, (Фрахт!$A$5:$A$80 = $A60)* (Фрахт!$B$5:$B$80 = $C60) * (Фрахт!$C$5:$C$80 =$D60),  _xlfn.XLOOKUP(1,  (Фрахт!$D$4:$E$4 = E$2) * 1, Фрахт!$D$5:$E$80)) *  $S$1, "-")</f>
        <v>275160</v>
      </c>
      <c r="F60" s="151" cm="1">
        <f t="array" ref="F60">IFERROR(_xlfn.XLOOKUP(1, (Фрахт!$A$5:$A$80 = $A60)* (Фрахт!$B$5:$B$80 = $C60) * (Фрахт!$C$5:$C$80 =$D60),  _xlfn.XLOOKUP(1,  (Фрахт!$D$4:$E$4 = F$2) * 1, Фрахт!$D$5:$E$80)) *  $S$1, "-")</f>
        <v>454320</v>
      </c>
      <c r="G60" s="151" cm="1">
        <f t="array" aca="1" ref="G60" ca="1">IFERROR(_xlfn.XLOOKUP(1,  ('Drop off'!$A$6:$A$14 = $C60) * 1,  _xlfn.XLOOKUP(1,  ('Drop off'!$B$5:$I$5 = G$2) * ('Drop off'!$B$4:$I$4 = $S$2), 'Drop off'!$B$6:$I$14)) * $S$1, "-")</f>
        <v>42000</v>
      </c>
      <c r="H60" s="151" cm="1">
        <f t="array" aca="1" ref="H60" ca="1">IFERROR(_xlfn.XLOOKUP(1,  ('Drop off'!$A$6:$A$14 = $C60) * 1,  _xlfn.XLOOKUP(1,  ('Drop off'!$B$5:$I$5 = H$2) * ('Drop off'!$B$4:$I$4 = $S$2), 'Drop off'!$B$6:$I$14)) * $S$1, "-")</f>
        <v>42000</v>
      </c>
      <c r="I60" s="151" cm="1">
        <f t="array" aca="1" ref="I60" ca="1">IFERROR(_xlfn.XLOOKUP(1,  ('ж.д.'!$A$6:$A$14 = $D60) * 1,  _xlfn.XLOOKUP(1,  ('ж.д.'!$B$5:$M$5 = I$2) * ('ж.д.'!$B$4:$M$4 = $S$2), 'ж.д.'!$B$6:$M$14)), "-")</f>
        <v>134400</v>
      </c>
      <c r="J60" s="151" cm="1">
        <f t="array" aca="1" ref="J60" ca="1">IFERROR(_xlfn.XLOOKUP(1,  ('ж.д.'!$A$6:$A$14 = $D60) * 1,  _xlfn.XLOOKUP(1,  ('ж.д.'!$B$5:$M$5 = J$2) * ('ж.д.'!$B$4:$M$4 = $S$2), 'ж.д.'!$B$6:$M$14)), "-")</f>
        <v>149400</v>
      </c>
      <c r="K60" s="151" cm="1">
        <f t="array" aca="1" ref="K60" ca="1">IFERROR(_xlfn.XLOOKUP(1,  ('ж.д.'!$A$6:$A$14 = $D60) * 1,  _xlfn.XLOOKUP(1,  ('ж.д.'!$B$5:$M$5 = K$2) * ('ж.д.'!$B$4:$M$4 = $S$2), 'ж.д.'!$B$6:$M$14)), "-")</f>
        <v>235000</v>
      </c>
      <c r="L60" s="151" cm="1">
        <f t="array" aca="1" ref="L60" ca="1">IF(ISNUMBER(SEARCH("Транс",$C60)),_xlfn.XLOOKUP(1,('Фрахт Транс'!$A$5:$A$10=$D60)*1,_xlfn.XLOOKUP(1,('Фрахт Транс'!$B$3:$M$3 = $S$2)*('Фрахт Транс'!$B$4:$M$4=L$2),'Фрахт Транс'!$B$5:$M$10)),SUM($E60, $G60, $I60, $O60))</f>
        <v>454954</v>
      </c>
      <c r="M60" s="151" cm="1">
        <f t="array" aca="1" ref="M60" ca="1">IF(ISNUMBER(SEARCH("Транс",$C60)),_xlfn.XLOOKUP(1,('Фрахт Транс'!$A$5:$A$10=$D60)*1,_xlfn.XLOOKUP(1,('Фрахт Транс'!$B$3:$M$3=$S$2)*('Фрахт Транс'!$B$4:$M$4=M$2),'Фрахт Транс'!$B$5:$M$10)),SUM($E60, $G60, $J60, $O60))</f>
        <v>469954</v>
      </c>
      <c r="N60" s="151" cm="1">
        <f t="array" aca="1" ref="N60" ca="1">IF(ISNUMBER(SEARCH("Транс",$C60)),_xlfn.XLOOKUP(1,('Фрахт Транс'!$A$5:$A$10=$D60)*1,_xlfn.XLOOKUP(1,('Фрахт Транс'!$B$3:$M$3=$S$2)*('Фрахт Транс'!$B$4:$M$4=N$2),'Фрахт Транс'!$B$5:$M$10)),SUM($F60, $H60, $K60, $P60))</f>
        <v>738121</v>
      </c>
      <c r="O60" s="151" cm="1">
        <f t="array" aca="1" ref="O60" ca="1">IFERROR(_xlfn.XLOOKUP(1,  (Охрана!$A$6:$A$14 = $D60) * 1,  _xlfn.XLOOKUP(1,  (Охрана!$B$5:$M$5 = O$2) * (Охрана!$B$4:$M$4 = $S$2), Охрана!$B$6:$M$14)), "-")</f>
        <v>3394</v>
      </c>
      <c r="P60" s="196" cm="1">
        <f t="array" aca="1" ref="P60" ca="1">IFERROR(_xlfn.XLOOKUP(1,  (Охрана!$A$6:$A$14 = $D60) * 1,  _xlfn.XLOOKUP(1,  (Охрана!$B$5:$M$5 = P$2) * (Охрана!$B$4:$M$4 = $S$2), Охрана!$B$6:$M$14)), "-")</f>
        <v>6801</v>
      </c>
      <c r="Q60" s="38"/>
      <c r="R60" s="71"/>
      <c r="S60" s="4"/>
    </row>
    <row r="61" spans="1:21" ht="16.5" customHeight="1" thickBot="1" x14ac:dyDescent="0.3">
      <c r="A61" s="213" t="s">
        <v>17</v>
      </c>
      <c r="B61" s="288"/>
      <c r="C61" s="69" t="s">
        <v>50</v>
      </c>
      <c r="D61" s="70" t="s">
        <v>11</v>
      </c>
      <c r="E61" s="185" t="str" cm="1">
        <f t="array" ref="E61">IFERROR(_xlfn.XLOOKUP(1, (Фрахт!$A$5:$A$80 = $A61)* (Фрахт!$B$5:$B$80 = $C61) * (Фрахт!$C$5:$C$80 =$D61),  _xlfn.XLOOKUP(1,  (Фрахт!$D$4:$E$4 = E$2) * 1, Фрахт!$D$5:$E$80)) *  $S$1, "-")</f>
        <v>-</v>
      </c>
      <c r="F61" s="166" t="str" cm="1">
        <f t="array" ref="F61">IFERROR(_xlfn.XLOOKUP(1, (Фрахт!$A$5:$A$80 = $A61)* (Фрахт!$B$5:$B$80 = $C61) * (Фрахт!$C$5:$C$80 =$D61),  _xlfn.XLOOKUP(1,  (Фрахт!$D$4:$E$4 = F$2) * 1, Фрахт!$D$5:$E$80)) *  $S$1, "-")</f>
        <v>-</v>
      </c>
      <c r="G61" s="166" t="str" cm="1">
        <f t="array" aca="1" ref="G61" ca="1">IFERROR(_xlfn.XLOOKUP(1,  ('Drop off'!$A$6:$A$14 = $C61) * 1,  _xlfn.XLOOKUP(1,  ('Drop off'!$B$5:$I$5 = G$2) * ('Drop off'!$B$4:$I$4 = $S$2), 'Drop off'!$B$6:$I$14)) * $S$1, "-")</f>
        <v>-</v>
      </c>
      <c r="H61" s="166" t="str" cm="1">
        <f t="array" aca="1" ref="H61" ca="1">IFERROR(_xlfn.XLOOKUP(1,  ('Drop off'!$A$6:$A$14 = $C61) * 1,  _xlfn.XLOOKUP(1,  ('Drop off'!$B$5:$I$5 = H$2) * ('Drop off'!$B$4:$I$4 = $S$2), 'Drop off'!$B$6:$I$14)) * $S$1, "-")</f>
        <v>-</v>
      </c>
      <c r="I61" s="166" cm="1">
        <f t="array" aca="1" ref="I61" ca="1">IFERROR(_xlfn.XLOOKUP(1,  ('ж.д.'!$A$6:$A$14 = $D61) * 1,  _xlfn.XLOOKUP(1,  ('ж.д.'!$B$5:$M$5 = I$2) * ('ж.д.'!$B$4:$M$4 = $S$2), 'ж.д.'!$B$6:$M$14)), "-")</f>
        <v>122400</v>
      </c>
      <c r="J61" s="166" cm="1">
        <f t="array" aca="1" ref="J61" ca="1">IFERROR(_xlfn.XLOOKUP(1,  ('ж.д.'!$A$6:$A$14 = $D61) * 1,  _xlfn.XLOOKUP(1,  ('ж.д.'!$B$5:$M$5 = J$2) * ('ж.д.'!$B$4:$M$4 = $S$2), 'ж.д.'!$B$6:$M$14)), "-")</f>
        <v>139800</v>
      </c>
      <c r="K61" s="166" cm="1">
        <f t="array" aca="1" ref="K61" ca="1">IFERROR(_xlfn.XLOOKUP(1,  ('ж.д.'!$A$6:$A$14 = $D61) * 1,  _xlfn.XLOOKUP(1,  ('ж.д.'!$B$5:$M$5 = K$2) * ('ж.д.'!$B$4:$M$4 = $S$2), 'ж.д.'!$B$6:$M$14)), "-")</f>
        <v>224600</v>
      </c>
      <c r="L61" s="166" cm="1">
        <f t="array" aca="1" ref="L61" ca="1">IF(ISNUMBER(SEARCH("Транс",$C61)),_xlfn.XLOOKUP(1,('Фрахт Транс'!$A$5:$A$10=$D61)*1,_xlfn.XLOOKUP(1,('Фрахт Транс'!$B$3:$M$3 = $S$2)*('Фрахт Транс'!$B$4:$M$4=L$2),'Фрахт Транс'!$B$5:$M$10)),SUM($E61, $G61, $I61, $O61))</f>
        <v>125794</v>
      </c>
      <c r="M61" s="166" cm="1">
        <f t="array" aca="1" ref="M61" ca="1">IF(ISNUMBER(SEARCH("Транс",$C61)),_xlfn.XLOOKUP(1,('Фрахт Транс'!$A$5:$A$10=$D61)*1,_xlfn.XLOOKUP(1,('Фрахт Транс'!$B$3:$M$3=$S$2)*('Фрахт Транс'!$B$4:$M$4=M$2),'Фрахт Транс'!$B$5:$M$10)),SUM($E61, $G61, $J61, $O61))</f>
        <v>143194</v>
      </c>
      <c r="N61" s="166" cm="1">
        <f t="array" aca="1" ref="N61" ca="1">IF(ISNUMBER(SEARCH("Транс",$C61)),_xlfn.XLOOKUP(1,('Фрахт Транс'!$A$5:$A$10=$D61)*1,_xlfn.XLOOKUP(1,('Фрахт Транс'!$B$3:$M$3=$S$2)*('Фрахт Транс'!$B$4:$M$4=N$2),'Фрахт Транс'!$B$5:$M$10)),SUM($F61, $H61, $K61, $P61))</f>
        <v>231401</v>
      </c>
      <c r="O61" s="166" cm="1">
        <f t="array" aca="1" ref="O61" ca="1">IFERROR(_xlfn.XLOOKUP(1,  (Охрана!$A$6:$A$14 = $D61) * 1,  _xlfn.XLOOKUP(1,  (Охрана!$B$5:$M$5 = O$2) * (Охрана!$B$4:$M$4 = $S$2), Охрана!$B$6:$M$14)), "-")</f>
        <v>3394</v>
      </c>
      <c r="P61" s="207" cm="1">
        <f t="array" aca="1" ref="P61" ca="1">IFERROR(_xlfn.XLOOKUP(1,  (Охрана!$A$6:$A$14 = $D61) * 1,  _xlfn.XLOOKUP(1,  (Охрана!$B$5:$M$5 = P$2) * (Охрана!$B$4:$M$4 = $S$2), Охрана!$B$6:$M$14)), "-")</f>
        <v>6801</v>
      </c>
      <c r="Q61" s="38"/>
      <c r="R61" s="71"/>
      <c r="S61" s="4"/>
    </row>
    <row r="62" spans="1:21" ht="15.75" customHeight="1" thickBot="1" x14ac:dyDescent="0.3">
      <c r="A62" s="213" t="s">
        <v>17</v>
      </c>
      <c r="B62" s="289"/>
      <c r="C62" s="44" t="s">
        <v>37</v>
      </c>
      <c r="D62" s="45" t="s">
        <v>11</v>
      </c>
      <c r="E62" s="178" cm="1">
        <f t="array" ref="E62">IFERROR(_xlfn.XLOOKUP(1, (Фрахт!$A$5:$A$80 = $A62)* (Фрахт!$B$5:$B$80 = $C62) * (Фрахт!$C$5:$C$80 =$D62),  _xlfn.XLOOKUP(1,  (Фрахт!$D$4:$E$4 = E$2) * 1, Фрахт!$D$5:$E$80)) *  $S$1, "-")</f>
        <v>216000</v>
      </c>
      <c r="F62" s="159" cm="1">
        <f t="array" ref="F62">IFERROR(_xlfn.XLOOKUP(1, (Фрахт!$A$5:$A$80 = $A62)* (Фрахт!$B$5:$B$80 = $C62) * (Фрахт!$C$5:$C$80 =$D62),  _xlfn.XLOOKUP(1,  (Фрахт!$D$4:$E$4 = F$2) * 1, Фрахт!$D$5:$E$80)) *  $S$1, "-")</f>
        <v>360000</v>
      </c>
      <c r="G62" s="159" cm="1">
        <f t="array" aca="1" ref="G62" ca="1">IFERROR(_xlfn.XLOOKUP(1,  ('Drop off'!$A$6:$A$14 = $C62) * 1,  _xlfn.XLOOKUP(1,  ('Drop off'!$B$5:$I$5 = G$2) * ('Drop off'!$B$4:$I$4 = $S$2), 'Drop off'!$B$6:$I$14)) * $S$1, "-")</f>
        <v>0</v>
      </c>
      <c r="H62" s="159" cm="1">
        <f t="array" aca="1" ref="H62" ca="1">IFERROR(_xlfn.XLOOKUP(1,  ('Drop off'!$A$6:$A$14 = $C62) * 1,  _xlfn.XLOOKUP(1,  ('Drop off'!$B$5:$I$5 = H$2) * ('Drop off'!$B$4:$I$4 = $S$2), 'Drop off'!$B$6:$I$14)) * $S$1, "-")</f>
        <v>0</v>
      </c>
      <c r="I62" s="159" cm="1">
        <f t="array" aca="1" ref="I62" ca="1">IFERROR(_xlfn.XLOOKUP(1,  ('ж.д.'!$A$6:$A$14 = $D62) * 1,  _xlfn.XLOOKUP(1,  ('ж.д.'!$B$5:$M$5 = I$2) * ('ж.д.'!$B$4:$M$4 = $S$2), 'ж.д.'!$B$6:$M$14)), "-")</f>
        <v>122400</v>
      </c>
      <c r="J62" s="159" cm="1">
        <f t="array" aca="1" ref="J62" ca="1">IFERROR(_xlfn.XLOOKUP(1,  ('ж.д.'!$A$6:$A$14 = $D62) * 1,  _xlfn.XLOOKUP(1,  ('ж.д.'!$B$5:$M$5 = J$2) * ('ж.д.'!$B$4:$M$4 = $S$2), 'ж.д.'!$B$6:$M$14)), "-")</f>
        <v>139800</v>
      </c>
      <c r="K62" s="159" cm="1">
        <f t="array" aca="1" ref="K62" ca="1">IFERROR(_xlfn.XLOOKUP(1,  ('ж.д.'!$A$6:$A$14 = $D62) * 1,  _xlfn.XLOOKUP(1,  ('ж.д.'!$B$5:$M$5 = K$2) * ('ж.д.'!$B$4:$M$4 = $S$2), 'ж.д.'!$B$6:$M$14)), "-")</f>
        <v>224600</v>
      </c>
      <c r="L62" s="159" cm="1">
        <f t="array" aca="1" ref="L62" ca="1">IF(ISNUMBER(SEARCH("Транс",$C62)),_xlfn.XLOOKUP(1,('Фрахт Транс'!$A$5:$A$10=$D62)*1,_xlfn.XLOOKUP(1,('Фрахт Транс'!$B$3:$M$3 = $S$2)*('Фрахт Транс'!$B$4:$M$4=L$2),'Фрахт Транс'!$B$5:$M$10)),SUM($E62, $G62, $I62, $O62))</f>
        <v>341794</v>
      </c>
      <c r="M62" s="159" cm="1">
        <f t="array" aca="1" ref="M62" ca="1">IF(ISNUMBER(SEARCH("Транс",$C62)),_xlfn.XLOOKUP(1,('Фрахт Транс'!$A$5:$A$10=$D62)*1,_xlfn.XLOOKUP(1,('Фрахт Транс'!$B$3:$M$3=$S$2)*('Фрахт Транс'!$B$4:$M$4=M$2),'Фрахт Транс'!$B$5:$M$10)),SUM($E62, $G62, $J62, $O62))</f>
        <v>359194</v>
      </c>
      <c r="N62" s="159" cm="1">
        <f t="array" aca="1" ref="N62" ca="1">IF(ISNUMBER(SEARCH("Транс",$C62)),_xlfn.XLOOKUP(1,('Фрахт Транс'!$A$5:$A$10=$D62)*1,_xlfn.XLOOKUP(1,('Фрахт Транс'!$B$3:$M$3=$S$2)*('Фрахт Транс'!$B$4:$M$4=N$2),'Фрахт Транс'!$B$5:$M$10)),SUM($F62, $H62, $K62, $P62))</f>
        <v>591401</v>
      </c>
      <c r="O62" s="159" cm="1">
        <f t="array" aca="1" ref="O62" ca="1">IFERROR(_xlfn.XLOOKUP(1,  (Охрана!$A$6:$A$14 = $D62) * 1,  _xlfn.XLOOKUP(1,  (Охрана!$B$5:$M$5 = O$2) * (Охрана!$B$4:$M$4 = $S$2), Охрана!$B$6:$M$14)), "-")</f>
        <v>3394</v>
      </c>
      <c r="P62" s="205" cm="1">
        <f t="array" aca="1" ref="P62" ca="1">IFERROR(_xlfn.XLOOKUP(1,  (Охрана!$A$6:$A$14 = $D62) * 1,  _xlfn.XLOOKUP(1,  (Охрана!$B$5:$M$5 = P$2) * (Охрана!$B$4:$M$4 = $S$2), Охрана!$B$6:$M$14)), "-")</f>
        <v>6801</v>
      </c>
      <c r="Q62" s="38"/>
      <c r="R62" s="71"/>
      <c r="S62" s="6"/>
      <c r="U62" s="3"/>
    </row>
    <row r="63" spans="1:21" ht="30.75" thickBot="1" x14ac:dyDescent="0.3">
      <c r="A63" s="214" t="s">
        <v>18</v>
      </c>
      <c r="B63" s="290" t="s">
        <v>18</v>
      </c>
      <c r="C63" s="63" t="s">
        <v>43</v>
      </c>
      <c r="D63" s="64" t="s">
        <v>49</v>
      </c>
      <c r="E63" s="168" t="str" cm="1">
        <f t="array" ref="E63">IFERROR(_xlfn.XLOOKUP(1, (Фрахт!$A$5:$A$80 = $A63)* (Фрахт!$B$5:$B$80 = $C63) * (Фрахт!$C$5:$C$80 =$D63),  _xlfn.XLOOKUP(1,  (Фрахт!$D$4:$E$4 = E$2) * 1, Фрахт!$D$5:$E$80)) *  $S$1, "-")</f>
        <v>-</v>
      </c>
      <c r="F63" s="148" t="str" cm="1">
        <f t="array" ref="F63">IFERROR(_xlfn.XLOOKUP(1, (Фрахт!$A$5:$A$80 = $A63)* (Фрахт!$B$5:$B$80 = $C63) * (Фрахт!$C$5:$C$80 =$D63),  _xlfn.XLOOKUP(1,  (Фрахт!$D$4:$E$4 = F$2) * 1, Фрахт!$D$5:$E$80)) *  $S$1, "-")</f>
        <v>-</v>
      </c>
      <c r="G63" s="148" cm="1">
        <f t="array" aca="1" ref="G63" ca="1">IFERROR(_xlfn.XLOOKUP(1,  ('Drop off'!$A$6:$A$14 = $C63) * 1,  _xlfn.XLOOKUP(1,  ('Drop off'!$B$5:$I$5 = G$2) * ('Drop off'!$B$4:$I$4 = $S$2), 'Drop off'!$B$6:$I$14)) * $S$1, "-")</f>
        <v>0</v>
      </c>
      <c r="H63" s="148" cm="1">
        <f t="array" aca="1" ref="H63" ca="1">IFERROR(_xlfn.XLOOKUP(1,  ('Drop off'!$A$6:$A$14 = $C63) * 1,  _xlfn.XLOOKUP(1,  ('Drop off'!$B$5:$I$5 = H$2) * ('Drop off'!$B$4:$I$4 = $S$2), 'Drop off'!$B$6:$I$14)) * $S$1, "-")</f>
        <v>0</v>
      </c>
      <c r="I63" s="148" t="str" cm="1">
        <f t="array" aca="1" ref="I63" ca="1">IFERROR(_xlfn.XLOOKUP(1,  ('ж.д.'!$A$6:$A$14 = $D63) * 1,  _xlfn.XLOOKUP(1,  ('ж.д.'!$B$5:$M$5 = I$2) * ('ж.д.'!$B$4:$M$4 = $S$2), 'ж.д.'!$B$6:$M$14)), "-")</f>
        <v>-</v>
      </c>
      <c r="J63" s="148" t="str" cm="1">
        <f t="array" aca="1" ref="J63" ca="1">IFERROR(_xlfn.XLOOKUP(1,  ('ж.д.'!$A$6:$A$14 = $D63) * 1,  _xlfn.XLOOKUP(1,  ('ж.д.'!$B$5:$M$5 = J$2) * ('ж.д.'!$B$4:$M$4 = $S$2), 'ж.д.'!$B$6:$M$14)), "-")</f>
        <v>-</v>
      </c>
      <c r="K63" s="148" t="str" cm="1">
        <f t="array" aca="1" ref="K63" ca="1">IFERROR(_xlfn.XLOOKUP(1,  ('ж.д.'!$A$6:$A$14 = $D63) * 1,  _xlfn.XLOOKUP(1,  ('ж.д.'!$B$5:$M$5 = K$2) * ('ж.д.'!$B$4:$M$4 = $S$2), 'ж.д.'!$B$6:$M$14)), "-")</f>
        <v>-</v>
      </c>
      <c r="L63" s="191" cm="1">
        <f t="array" aca="1" ref="L63" ca="1">IF(ISNUMBER(SEARCH("Транс",$C63)),_xlfn.XLOOKUP(1,('Фрахт Транс'!$A$5:$A$10=$D63)*1,_xlfn.XLOOKUP(1,('Фрахт Транс'!$B$3:$M$3 = $S$2)*('Фрахт Транс'!$B$4:$M$4=L$2),'Фрахт Транс'!$B$5:$M$10)),SUM($E63, $G63, $I63, $O63))</f>
        <v>399156</v>
      </c>
      <c r="M63" s="148" cm="1">
        <f t="array" aca="1" ref="M63" ca="1">IF(ISNUMBER(SEARCH("Транс",$C63)),_xlfn.XLOOKUP(1,('Фрахт Транс'!$A$5:$A$10=$D63)*1,_xlfn.XLOOKUP(1,('Фрахт Транс'!$B$3:$M$3=$S$2)*('Фрахт Транс'!$B$4:$M$4=M$2),'Фрахт Транс'!$B$5:$M$10)),SUM($E63, $G63, $J63, $O63))</f>
        <v>416694</v>
      </c>
      <c r="N63" s="148" cm="1">
        <f t="array" aca="1" ref="N63" ca="1">IF(ISNUMBER(SEARCH("Транс",$C63)),_xlfn.XLOOKUP(1,('Фрахт Транс'!$A$5:$A$10=$D63)*1,_xlfn.XLOOKUP(1,('Фрахт Транс'!$B$3:$M$3=$S$2)*('Фрахт Транс'!$B$4:$M$4=N$2),'Фрахт Транс'!$B$5:$M$10)),SUM($F63, $H63, $K63, $P63))</f>
        <v>587068</v>
      </c>
      <c r="O63" s="192" t="str" cm="1">
        <f t="array" aca="1" ref="O63" ca="1">IFERROR(_xlfn.XLOOKUP(1,  (Охрана!$A$6:$A$14 = $D63) * 1,  _xlfn.XLOOKUP(1,  (Охрана!$B$5:$M$5 = O$2) * (Охрана!$B$4:$M$4 = $S$2), Охрана!$B$6:$M$14)), "-")</f>
        <v>-</v>
      </c>
      <c r="P63" s="193" t="str" cm="1">
        <f t="array" aca="1" ref="P63" ca="1">IFERROR(_xlfn.XLOOKUP(1,  (Охрана!$A$6:$A$14 = $D63) * 1,  _xlfn.XLOOKUP(1,  (Охрана!$B$5:$M$5 = P$2) * (Охрана!$B$4:$M$4 = $S$2), Охрана!$B$6:$M$14)), "-")</f>
        <v>-</v>
      </c>
      <c r="Q63" s="38"/>
      <c r="R63" s="6"/>
      <c r="S63" s="6"/>
      <c r="U63" s="3"/>
    </row>
    <row r="64" spans="1:21" ht="15" customHeight="1" thickBot="1" x14ac:dyDescent="0.3">
      <c r="A64" s="214" t="s">
        <v>18</v>
      </c>
      <c r="B64" s="291"/>
      <c r="C64" s="32" t="s">
        <v>12</v>
      </c>
      <c r="D64" s="32" t="s">
        <v>30</v>
      </c>
      <c r="E64" s="169" cm="1">
        <f t="array" ref="E64">IFERROR(_xlfn.XLOOKUP(1, (Фрахт!$A$5:$A$80 = $A64)* (Фрахт!$B$5:$B$80 = $C64) * (Фрахт!$C$5:$C$80 =$D64),  _xlfn.XLOOKUP(1,  (Фрахт!$D$4:$E$4 = E$2) * 1, Фрахт!$D$5:$E$80)) *  $S$1, "-")</f>
        <v>330000</v>
      </c>
      <c r="F64" s="149" cm="1">
        <f t="array" ref="F64">IFERROR(_xlfn.XLOOKUP(1, (Фрахт!$A$5:$A$80 = $A64)* (Фрахт!$B$5:$B$80 = $C64) * (Фрахт!$C$5:$C$80 =$D64),  _xlfn.XLOOKUP(1,  (Фрахт!$D$4:$E$4 = F$2) * 1, Фрахт!$D$5:$E$80)) *  $S$1, "-")</f>
        <v>510000</v>
      </c>
      <c r="G64" s="149" cm="1">
        <f t="array" aca="1" ref="G64" ca="1">IFERROR(_xlfn.XLOOKUP(1,  ('Drop off'!$A$6:$A$14 = $C64) * 1,  _xlfn.XLOOKUP(1,  ('Drop off'!$B$5:$I$5 = G$2) * ('Drop off'!$B$4:$I$4 = $S$2), 'Drop off'!$B$6:$I$14)) * $S$1, "-")</f>
        <v>0</v>
      </c>
      <c r="H64" s="149" cm="1">
        <f t="array" aca="1" ref="H64" ca="1">IFERROR(_xlfn.XLOOKUP(1,  ('Drop off'!$A$6:$A$14 = $C64) * 1,  _xlfn.XLOOKUP(1,  ('Drop off'!$B$5:$I$5 = H$2) * ('Drop off'!$B$4:$I$4 = $S$2), 'Drop off'!$B$6:$I$14)) * $S$1, "-")</f>
        <v>0</v>
      </c>
      <c r="I64" s="149" cm="1">
        <f t="array" aca="1" ref="I64" ca="1">IFERROR(_xlfn.XLOOKUP(1,  ('ж.д.'!$A$6:$A$14 = $D64) * 1,  _xlfn.XLOOKUP(1,  ('ж.д.'!$B$5:$M$5 = I$2) * ('ж.д.'!$B$4:$M$4 = $S$2), 'ж.д.'!$B$6:$M$14)), "-")</f>
        <v>167600</v>
      </c>
      <c r="J64" s="149" cm="1">
        <f t="array" aca="1" ref="J64" ca="1">IFERROR(_xlfn.XLOOKUP(1,  ('ж.д.'!$A$6:$A$14 = $D64) * 1,  _xlfn.XLOOKUP(1,  ('ж.д.'!$B$5:$M$5 = J$2) * ('ж.д.'!$B$4:$M$4 = $S$2), 'ж.д.'!$B$6:$M$14)), "-")</f>
        <v>181540</v>
      </c>
      <c r="K64" s="149" cm="1">
        <f t="array" aca="1" ref="K64" ca="1">IFERROR(_xlfn.XLOOKUP(1,  ('ж.д.'!$A$6:$A$14 = $D64) * 1,  _xlfn.XLOOKUP(1,  ('ж.д.'!$B$5:$M$5 = K$2) * ('ж.д.'!$B$4:$M$4 = $S$2), 'ж.д.'!$B$6:$M$14)), "-")</f>
        <v>292000</v>
      </c>
      <c r="L64" s="149" cm="1">
        <f t="array" aca="1" ref="L64" ca="1">IF(ISNUMBER(SEARCH("Транс",$C64)),_xlfn.XLOOKUP(1,('Фрахт Транс'!$A$5:$A$10=$D64)*1,_xlfn.XLOOKUP(1,('Фрахт Транс'!$B$3:$M$3 = $S$2)*('Фрахт Транс'!$B$4:$M$4=L$2),'Фрахт Транс'!$B$5:$M$10)),SUM($E64, $G64, $I64, $O64))</f>
        <v>501422</v>
      </c>
      <c r="M64" s="149" cm="1">
        <f t="array" aca="1" ref="M64" ca="1">IF(ISNUMBER(SEARCH("Транс",$C64)),_xlfn.XLOOKUP(1,('Фрахт Транс'!$A$5:$A$10=$D64)*1,_xlfn.XLOOKUP(1,('Фрахт Транс'!$B$3:$M$3=$S$2)*('Фрахт Транс'!$B$4:$M$4=M$2),'Фрахт Транс'!$B$5:$M$10)),SUM($E64, $G64, $J64, $O64))</f>
        <v>515362</v>
      </c>
      <c r="N64" s="149" cm="1">
        <f t="array" aca="1" ref="N64" ca="1">IF(ISNUMBER(SEARCH("Транс",$C64)),_xlfn.XLOOKUP(1,('Фрахт Транс'!$A$5:$A$10=$D64)*1,_xlfn.XLOOKUP(1,('Фрахт Транс'!$B$3:$M$3=$S$2)*('Фрахт Транс'!$B$4:$M$4=N$2),'Фрахт Транс'!$B$5:$M$10)),SUM($F64, $H64, $K64, $P64))</f>
        <v>808910</v>
      </c>
      <c r="O64" s="149" cm="1">
        <f t="array" aca="1" ref="O64" ca="1">IFERROR(_xlfn.XLOOKUP(1,  (Охрана!$A$6:$A$14 = $D64) * 1,  _xlfn.XLOOKUP(1,  (Охрана!$B$5:$M$5 = O$2) * (Охрана!$B$4:$M$4 = $S$2), Охрана!$B$6:$M$14)), "-")</f>
        <v>3822</v>
      </c>
      <c r="P64" s="194" cm="1">
        <f t="array" aca="1" ref="P64" ca="1">IFERROR(_xlfn.XLOOKUP(1,  (Охрана!$A$6:$A$14 = $D64) * 1,  _xlfn.XLOOKUP(1,  (Охрана!$B$5:$M$5 = P$2) * (Охрана!$B$4:$M$4 = $S$2), Охрана!$B$6:$M$14)), "-")</f>
        <v>6910</v>
      </c>
      <c r="Q64" s="282"/>
      <c r="R64" s="91"/>
      <c r="S64" s="4"/>
    </row>
    <row r="65" spans="1:19" ht="15" customHeight="1" thickBot="1" x14ac:dyDescent="0.3">
      <c r="A65" s="214" t="s">
        <v>18</v>
      </c>
      <c r="B65" s="291"/>
      <c r="C65" s="32" t="s">
        <v>12</v>
      </c>
      <c r="D65" s="32" t="s">
        <v>55</v>
      </c>
      <c r="E65" s="169" cm="1">
        <f t="array" ref="E65">IFERROR(_xlfn.XLOOKUP(1, (Фрахт!$A$5:$A$80 = $A65)* (Фрахт!$B$5:$B$80 = $C65) * (Фрахт!$C$5:$C$80 =$D65),  _xlfn.XLOOKUP(1,  (Фрахт!$D$4:$E$4 = E$2) * 1, Фрахт!$D$5:$E$80)) *  $S$1, "-")</f>
        <v>330000</v>
      </c>
      <c r="F65" s="149" cm="1">
        <f t="array" ref="F65">IFERROR(_xlfn.XLOOKUP(1, (Фрахт!$A$5:$A$80 = $A65)* (Фрахт!$B$5:$B$80 = $C65) * (Фрахт!$C$5:$C$80 =$D65),  _xlfn.XLOOKUP(1,  (Фрахт!$D$4:$E$4 = F$2) * 1, Фрахт!$D$5:$E$80)) *  $S$1, "-")</f>
        <v>510000</v>
      </c>
      <c r="G65" s="149" cm="1">
        <f t="array" aca="1" ref="G65" ca="1">IFERROR(_xlfn.XLOOKUP(1,  ('Drop off'!$A$6:$A$14 = $C65) * 1,  _xlfn.XLOOKUP(1,  ('Drop off'!$B$5:$I$5 = G$2) * ('Drop off'!$B$4:$I$4 = $S$2), 'Drop off'!$B$6:$I$14)) * $S$1, "-")</f>
        <v>0</v>
      </c>
      <c r="H65" s="149" cm="1">
        <f t="array" aca="1" ref="H65" ca="1">IFERROR(_xlfn.XLOOKUP(1,  ('Drop off'!$A$6:$A$14 = $C65) * 1,  _xlfn.XLOOKUP(1,  ('Drop off'!$B$5:$I$5 = H$2) * ('Drop off'!$B$4:$I$4 = $S$2), 'Drop off'!$B$6:$I$14)) * $S$1, "-")</f>
        <v>0</v>
      </c>
      <c r="I65" s="149" cm="1">
        <f t="array" aca="1" ref="I65" ca="1">IFERROR(_xlfn.XLOOKUP(1,  ('ж.д.'!$A$6:$A$14 = $D65) * 1,  _xlfn.XLOOKUP(1,  ('ж.д.'!$B$5:$M$5 = I$2) * ('ж.д.'!$B$4:$M$4 = $S$2), 'ж.д.'!$B$6:$M$14)), "-")</f>
        <v>173730</v>
      </c>
      <c r="J65" s="149" cm="1">
        <f t="array" aca="1" ref="J65" ca="1">IFERROR(_xlfn.XLOOKUP(1,  ('ж.д.'!$A$6:$A$14 = $D65) * 1,  _xlfn.XLOOKUP(1,  ('ж.д.'!$B$5:$M$5 = J$2) * ('ж.д.'!$B$4:$M$4 = $S$2), 'ж.д.'!$B$6:$M$14)), "-")</f>
        <v>191045</v>
      </c>
      <c r="K65" s="149" cm="1">
        <f t="array" aca="1" ref="K65" ca="1">IFERROR(_xlfn.XLOOKUP(1,  ('ж.д.'!$A$6:$A$14 = $D65) * 1,  _xlfn.XLOOKUP(1,  ('ж.д.'!$B$5:$M$5 = K$2) * ('ж.д.'!$B$4:$M$4 = $S$2), 'ж.д.'!$B$6:$M$14)), "-")</f>
        <v>303815</v>
      </c>
      <c r="L65" s="149" cm="1">
        <f t="array" aca="1" ref="L65" ca="1">IF(ISNUMBER(SEARCH("Транс",$C65)),_xlfn.XLOOKUP(1,('Фрахт Транс'!$A$5:$A$10=$D65)*1,_xlfn.XLOOKUP(1,('Фрахт Транс'!$B$3:$M$3 = $S$2)*('Фрахт Транс'!$B$4:$M$4=L$2),'Фрахт Транс'!$B$5:$M$10)),SUM($E65, $G65, $I65, $O65))</f>
        <v>507552</v>
      </c>
      <c r="M65" s="149" cm="1">
        <f t="array" aca="1" ref="M65" ca="1">IF(ISNUMBER(SEARCH("Транс",$C65)),_xlfn.XLOOKUP(1,('Фрахт Транс'!$A$5:$A$10=$D65)*1,_xlfn.XLOOKUP(1,('Фрахт Транс'!$B$3:$M$3=$S$2)*('Фрахт Транс'!$B$4:$M$4=M$2),'Фрахт Транс'!$B$5:$M$10)),SUM($E65, $G65, $J65, $O65))</f>
        <v>524867</v>
      </c>
      <c r="N65" s="149" cm="1">
        <f t="array" aca="1" ref="N65" ca="1">IF(ISNUMBER(SEARCH("Транс",$C65)),_xlfn.XLOOKUP(1,('Фрахт Транс'!$A$5:$A$10=$D65)*1,_xlfn.XLOOKUP(1,('Фрахт Транс'!$B$3:$M$3=$S$2)*('Фрахт Транс'!$B$4:$M$4=N$2),'Фрахт Транс'!$B$5:$M$10)),SUM($F65, $H65, $K65, $P65))</f>
        <v>820725</v>
      </c>
      <c r="O65" s="149" cm="1">
        <f t="array" aca="1" ref="O65" ca="1">IFERROR(_xlfn.XLOOKUP(1,  (Охрана!$A$6:$A$14 = $D65) * 1,  _xlfn.XLOOKUP(1,  (Охрана!$B$5:$M$5 = O$2) * (Охрана!$B$4:$M$4 = $S$2), Охрана!$B$6:$M$14)), "-")</f>
        <v>3822</v>
      </c>
      <c r="P65" s="194" cm="1">
        <f t="array" aca="1" ref="P65" ca="1">IFERROR(_xlfn.XLOOKUP(1,  (Охрана!$A$6:$A$14 = $D65) * 1,  _xlfn.XLOOKUP(1,  (Охрана!$B$5:$M$5 = P$2) * (Охрана!$B$4:$M$4 = $S$2), Охрана!$B$6:$M$14)), "-")</f>
        <v>6910</v>
      </c>
      <c r="Q65" s="282"/>
      <c r="R65" s="3"/>
      <c r="S65" s="4"/>
    </row>
    <row r="66" spans="1:19" ht="15.75" customHeight="1" thickBot="1" x14ac:dyDescent="0.3">
      <c r="A66" s="214" t="s">
        <v>18</v>
      </c>
      <c r="B66" s="291"/>
      <c r="C66" s="41" t="s">
        <v>35</v>
      </c>
      <c r="D66" s="40" t="s">
        <v>11</v>
      </c>
      <c r="E66" s="170" cm="1">
        <f t="array" ref="E66">IFERROR(_xlfn.XLOOKUP(1, (Фрахт!$A$5:$A$80 = $A66)* (Фрахт!$B$5:$B$80 = $C66) * (Фрахт!$C$5:$C$80 =$D66),  _xlfn.XLOOKUP(1,  (Фрахт!$D$4:$E$4 = E$2) * 1, Фрахт!$D$5:$E$80)) *  $S$1, "-")</f>
        <v>346500</v>
      </c>
      <c r="F66" s="150" cm="1">
        <f t="array" ref="F66">IFERROR(_xlfn.XLOOKUP(1, (Фрахт!$A$5:$A$80 = $A66)* (Фрахт!$B$5:$B$80 = $C66) * (Фрахт!$C$5:$C$80 =$D66),  _xlfn.XLOOKUP(1,  (Фрахт!$D$4:$E$4 = F$2) * 1, Фрахт!$D$5:$E$80)) *  $S$1, "-")</f>
        <v>504000</v>
      </c>
      <c r="G66" s="150" cm="1">
        <f t="array" aca="1" ref="G66" ca="1">IFERROR(_xlfn.XLOOKUP(1,  ('Drop off'!$A$6:$A$14 = $C66) * 1,  _xlfn.XLOOKUP(1,  ('Drop off'!$B$5:$I$5 = G$2) * ('Drop off'!$B$4:$I$4 = $S$2), 'Drop off'!$B$6:$I$14)) * $S$1, "-")</f>
        <v>56700</v>
      </c>
      <c r="H66" s="150" cm="1">
        <f t="array" aca="1" ref="H66" ca="1">IFERROR(_xlfn.XLOOKUP(1,  ('Drop off'!$A$6:$A$14 = $C66) * 1,  _xlfn.XLOOKUP(1,  ('Drop off'!$B$5:$I$5 = H$2) * ('Drop off'!$B$4:$I$4 = $S$2), 'Drop off'!$B$6:$I$14)) * $S$1, "-")</f>
        <v>37800</v>
      </c>
      <c r="I66" s="150" cm="1">
        <f t="array" aca="1" ref="I66" ca="1">IFERROR(_xlfn.XLOOKUP(1,  ('ж.д.'!$A$6:$A$14 = $D66) * 1,  _xlfn.XLOOKUP(1,  ('ж.д.'!$B$5:$M$5 = I$2) * ('ж.д.'!$B$4:$M$4 = $S$2), 'ж.д.'!$B$6:$M$14)), "-")</f>
        <v>122400</v>
      </c>
      <c r="J66" s="150" cm="1">
        <f t="array" aca="1" ref="J66" ca="1">IFERROR(_xlfn.XLOOKUP(1,  ('ж.д.'!$A$6:$A$14 = $D66) * 1,  _xlfn.XLOOKUP(1,  ('ж.д.'!$B$5:$M$5 = J$2) * ('ж.д.'!$B$4:$M$4 = $S$2), 'ж.д.'!$B$6:$M$14)), "-")</f>
        <v>139800</v>
      </c>
      <c r="K66" s="150" cm="1">
        <f t="array" aca="1" ref="K66" ca="1">IFERROR(_xlfn.XLOOKUP(1,  ('ж.д.'!$A$6:$A$14 = $D66) * 1,  _xlfn.XLOOKUP(1,  ('ж.д.'!$B$5:$M$5 = K$2) * ('ж.д.'!$B$4:$M$4 = $S$2), 'ж.д.'!$B$6:$M$14)), "-")</f>
        <v>224600</v>
      </c>
      <c r="L66" s="150" cm="1">
        <f t="array" aca="1" ref="L66" ca="1">IF(ISNUMBER(SEARCH("Транс",$C66)),_xlfn.XLOOKUP(1,('Фрахт Транс'!$A$5:$A$10=$D66)*1,_xlfn.XLOOKUP(1,('Фрахт Транс'!$B$3:$M$3 = $S$2)*('Фрахт Транс'!$B$4:$M$4=L$2),'Фрахт Транс'!$B$5:$M$10)),SUM($E66, $G66, $I66, $O66))</f>
        <v>528994</v>
      </c>
      <c r="M66" s="150" cm="1">
        <f t="array" aca="1" ref="M66" ca="1">IF(ISNUMBER(SEARCH("Транс",$C66)),_xlfn.XLOOKUP(1,('Фрахт Транс'!$A$5:$A$10=$D66)*1,_xlfn.XLOOKUP(1,('Фрахт Транс'!$B$3:$M$3=$S$2)*('Фрахт Транс'!$B$4:$M$4=M$2),'Фрахт Транс'!$B$5:$M$10)),SUM($E66, $G66, $J66, $O66))</f>
        <v>546394</v>
      </c>
      <c r="N66" s="150" cm="1">
        <f t="array" aca="1" ref="N66" ca="1">IF(ISNUMBER(SEARCH("Транс",$C66)),_xlfn.XLOOKUP(1,('Фрахт Транс'!$A$5:$A$10=$D66)*1,_xlfn.XLOOKUP(1,('Фрахт Транс'!$B$3:$M$3=$S$2)*('Фрахт Транс'!$B$4:$M$4=N$2),'Фрахт Транс'!$B$5:$M$10)),SUM($F66, $H66, $K66, $P66))</f>
        <v>773201</v>
      </c>
      <c r="O66" s="150" cm="1">
        <f t="array" aca="1" ref="O66" ca="1">IFERROR(_xlfn.XLOOKUP(1,  (Охрана!$A$6:$A$14 = $D66) * 1,  _xlfn.XLOOKUP(1,  (Охрана!$B$5:$M$5 = O$2) * (Охрана!$B$4:$M$4 = $S$2), Охрана!$B$6:$M$14)), "-")</f>
        <v>3394</v>
      </c>
      <c r="P66" s="195" cm="1">
        <f t="array" aca="1" ref="P66" ca="1">IFERROR(_xlfn.XLOOKUP(1,  (Охрана!$A$6:$A$14 = $D66) * 1,  _xlfn.XLOOKUP(1,  (Охрана!$B$5:$M$5 = P$2) * (Охрана!$B$4:$M$4 = $S$2), Охрана!$B$6:$M$14)), "-")</f>
        <v>6801</v>
      </c>
      <c r="Q66" s="286"/>
      <c r="R66" s="4"/>
      <c r="S66" s="4"/>
    </row>
    <row r="67" spans="1:19" ht="15.75" customHeight="1" thickBot="1" x14ac:dyDescent="0.3">
      <c r="A67" s="214" t="s">
        <v>18</v>
      </c>
      <c r="B67" s="291"/>
      <c r="C67" s="41" t="s">
        <v>35</v>
      </c>
      <c r="D67" s="40" t="s">
        <v>34</v>
      </c>
      <c r="E67" s="170" cm="1">
        <f t="array" ref="E67">IFERROR(_xlfn.XLOOKUP(1, (Фрахт!$A$5:$A$80 = $A67)* (Фрахт!$B$5:$B$80 = $C67) * (Фрахт!$C$5:$C$80 =$D67),  _xlfn.XLOOKUP(1,  (Фрахт!$D$4:$E$4 = E$2) * 1, Фрахт!$D$5:$E$80)) *  $S$1, "-")</f>
        <v>346500</v>
      </c>
      <c r="F67" s="150" cm="1">
        <f t="array" ref="F67">IFERROR(_xlfn.XLOOKUP(1, (Фрахт!$A$5:$A$80 = $A67)* (Фрахт!$B$5:$B$80 = $C67) * (Фрахт!$C$5:$C$80 =$D67),  _xlfn.XLOOKUP(1,  (Фрахт!$D$4:$E$4 = F$2) * 1, Фрахт!$D$5:$E$80)) *  $S$1, "-")</f>
        <v>504000</v>
      </c>
      <c r="G67" s="150" cm="1">
        <f t="array" aca="1" ref="G67" ca="1">IFERROR(_xlfn.XLOOKUP(1,  ('Drop off'!$A$6:$A$14 = $C67) * 1,  _xlfn.XLOOKUP(1,  ('Drop off'!$B$5:$I$5 = G$2) * ('Drop off'!$B$4:$I$4 = $S$2), 'Drop off'!$B$6:$I$14)) * $S$1, "-")</f>
        <v>56700</v>
      </c>
      <c r="H67" s="150" cm="1">
        <f t="array" aca="1" ref="H67" ca="1">IFERROR(_xlfn.XLOOKUP(1,  ('Drop off'!$A$6:$A$14 = $C67) * 1,  _xlfn.XLOOKUP(1,  ('Drop off'!$B$5:$I$5 = H$2) * ('Drop off'!$B$4:$I$4 = $S$2), 'Drop off'!$B$6:$I$14)) * $S$1, "-")</f>
        <v>37800</v>
      </c>
      <c r="I67" s="150" cm="1">
        <f t="array" aca="1" ref="I67" ca="1">IFERROR(_xlfn.XLOOKUP(1,  ('ж.д.'!$A$6:$A$14 = $D67) * 1,  _xlfn.XLOOKUP(1,  ('ж.д.'!$B$5:$M$5 = I$2) * ('ж.д.'!$B$4:$M$4 = $S$2), 'ж.д.'!$B$6:$M$14)), "-")</f>
        <v>134400</v>
      </c>
      <c r="J67" s="150" cm="1">
        <f t="array" aca="1" ref="J67" ca="1">IFERROR(_xlfn.XLOOKUP(1,  ('ж.д.'!$A$6:$A$14 = $D67) * 1,  _xlfn.XLOOKUP(1,  ('ж.д.'!$B$5:$M$5 = J$2) * ('ж.д.'!$B$4:$M$4 = $S$2), 'ж.д.'!$B$6:$M$14)), "-")</f>
        <v>149400</v>
      </c>
      <c r="K67" s="150" cm="1">
        <f t="array" aca="1" ref="K67" ca="1">IFERROR(_xlfn.XLOOKUP(1,  ('ж.д.'!$A$6:$A$14 = $D67) * 1,  _xlfn.XLOOKUP(1,  ('ж.д.'!$B$5:$M$5 = K$2) * ('ж.д.'!$B$4:$M$4 = $S$2), 'ж.д.'!$B$6:$M$14)), "-")</f>
        <v>235000</v>
      </c>
      <c r="L67" s="150" cm="1">
        <f t="array" aca="1" ref="L67" ca="1">IF(ISNUMBER(SEARCH("Транс",$C67)),_xlfn.XLOOKUP(1,('Фрахт Транс'!$A$5:$A$10=$D67)*1,_xlfn.XLOOKUP(1,('Фрахт Транс'!$B$3:$M$3 = $S$2)*('Фрахт Транс'!$B$4:$M$4=L$2),'Фрахт Транс'!$B$5:$M$10)),SUM($E67, $G67, $I67, $O67))</f>
        <v>540994</v>
      </c>
      <c r="M67" s="150" cm="1">
        <f t="array" aca="1" ref="M67" ca="1">IF(ISNUMBER(SEARCH("Транс",$C67)),_xlfn.XLOOKUP(1,('Фрахт Транс'!$A$5:$A$10=$D67)*1,_xlfn.XLOOKUP(1,('Фрахт Транс'!$B$3:$M$3=$S$2)*('Фрахт Транс'!$B$4:$M$4=M$2),'Фрахт Транс'!$B$5:$M$10)),SUM($E67, $G67, $J67, $O67))</f>
        <v>555994</v>
      </c>
      <c r="N67" s="150" cm="1">
        <f t="array" aca="1" ref="N67" ca="1">IF(ISNUMBER(SEARCH("Транс",$C67)),_xlfn.XLOOKUP(1,('Фрахт Транс'!$A$5:$A$10=$D67)*1,_xlfn.XLOOKUP(1,('Фрахт Транс'!$B$3:$M$3=$S$2)*('Фрахт Транс'!$B$4:$M$4=N$2),'Фрахт Транс'!$B$5:$M$10)),SUM($F67, $H67, $K67, $P67))</f>
        <v>783601</v>
      </c>
      <c r="O67" s="150" cm="1">
        <f t="array" aca="1" ref="O67" ca="1">IFERROR(_xlfn.XLOOKUP(1,  (Охрана!$A$6:$A$14 = $D67) * 1,  _xlfn.XLOOKUP(1,  (Охрана!$B$5:$M$5 = O$2) * (Охрана!$B$4:$M$4 = $S$2), Охрана!$B$6:$M$14)), "-")</f>
        <v>3394</v>
      </c>
      <c r="P67" s="195" cm="1">
        <f t="array" aca="1" ref="P67" ca="1">IFERROR(_xlfn.XLOOKUP(1,  (Охрана!$A$6:$A$14 = $D67) * 1,  _xlfn.XLOOKUP(1,  (Охрана!$B$5:$M$5 = P$2) * (Охрана!$B$4:$M$4 = $S$2), Охрана!$B$6:$M$14)), "-")</f>
        <v>6801</v>
      </c>
      <c r="Q67" s="286"/>
      <c r="R67" s="4"/>
      <c r="S67" s="4"/>
    </row>
    <row r="68" spans="1:19" ht="16.5" customHeight="1" thickBot="1" x14ac:dyDescent="0.3">
      <c r="A68" s="214" t="s">
        <v>18</v>
      </c>
      <c r="B68" s="291"/>
      <c r="C68" s="41" t="s">
        <v>35</v>
      </c>
      <c r="D68" s="40" t="s">
        <v>10</v>
      </c>
      <c r="E68" s="170" cm="1">
        <f t="array" ref="E68">IFERROR(_xlfn.XLOOKUP(1, (Фрахт!$A$5:$A$80 = $A68)* (Фрахт!$B$5:$B$80 = $C68) * (Фрахт!$C$5:$C$80 =$D68),  _xlfn.XLOOKUP(1,  (Фрахт!$D$4:$E$4 = E$2) * 1, Фрахт!$D$5:$E$80)) *  $S$1, "-")</f>
        <v>346500</v>
      </c>
      <c r="F68" s="150" cm="1">
        <f t="array" ref="F68">IFERROR(_xlfn.XLOOKUP(1, (Фрахт!$A$5:$A$80 = $A68)* (Фрахт!$B$5:$B$80 = $C68) * (Фрахт!$C$5:$C$80 =$D68),  _xlfn.XLOOKUP(1,  (Фрахт!$D$4:$E$4 = F$2) * 1, Фрахт!$D$5:$E$80)) *  $S$1, "-")</f>
        <v>504000</v>
      </c>
      <c r="G68" s="150" cm="1">
        <f t="array" aca="1" ref="G68" ca="1">IFERROR(_xlfn.XLOOKUP(1,  ('Drop off'!$A$6:$A$14 = $C68) * 1,  _xlfn.XLOOKUP(1,  ('Drop off'!$B$5:$I$5 = G$2) * ('Drop off'!$B$4:$I$4 = $S$2), 'Drop off'!$B$6:$I$14)) * $S$1, "-")</f>
        <v>56700</v>
      </c>
      <c r="H68" s="150" cm="1">
        <f t="array" aca="1" ref="H68" ca="1">IFERROR(_xlfn.XLOOKUP(1,  ('Drop off'!$A$6:$A$14 = $C68) * 1,  _xlfn.XLOOKUP(1,  ('Drop off'!$B$5:$I$5 = H$2) * ('Drop off'!$B$4:$I$4 = $S$2), 'Drop off'!$B$6:$I$14)) * $S$1, "-")</f>
        <v>37800</v>
      </c>
      <c r="I68" s="150" cm="1">
        <f t="array" aca="1" ref="I68" ca="1">IFERROR(_xlfn.XLOOKUP(1,  ('ж.д.'!$A$6:$A$14 = $D68) * 1,  _xlfn.XLOOKUP(1,  ('ж.д.'!$B$5:$M$5 = I$2) * ('ж.д.'!$B$4:$M$4 = $S$2), 'ж.д.'!$B$6:$M$14)), "-")</f>
        <v>141000</v>
      </c>
      <c r="J68" s="150" cm="1">
        <f t="array" aca="1" ref="J68" ca="1">IFERROR(_xlfn.XLOOKUP(1,  ('ж.д.'!$A$6:$A$14 = $D68) * 1,  _xlfn.XLOOKUP(1,  ('ж.д.'!$B$5:$M$5 = J$2) * ('ж.д.'!$B$4:$M$4 = $S$2), 'ж.д.'!$B$6:$M$14)), "-")</f>
        <v>156600</v>
      </c>
      <c r="K68" s="150" cm="1">
        <f t="array" aca="1" ref="K68" ca="1">IFERROR(_xlfn.XLOOKUP(1,  ('ж.д.'!$A$6:$A$14 = $D68) * 1,  _xlfn.XLOOKUP(1,  ('ж.д.'!$B$5:$M$5 = K$2) * ('ж.д.'!$B$4:$M$4 = $S$2), 'ж.д.'!$B$6:$M$14)), "-")</f>
        <v>261000</v>
      </c>
      <c r="L68" s="150" cm="1">
        <f t="array" aca="1" ref="L68" ca="1">IF(ISNUMBER(SEARCH("Транс",$C68)),_xlfn.XLOOKUP(1,('Фрахт Транс'!$A$5:$A$10=$D68)*1,_xlfn.XLOOKUP(1,('Фрахт Транс'!$B$3:$M$3 = $S$2)*('Фрахт Транс'!$B$4:$M$4=L$2),'Фрахт Транс'!$B$5:$M$10)),SUM($E68, $G68, $I68, $O68))</f>
        <v>548022</v>
      </c>
      <c r="M68" s="150" cm="1">
        <f t="array" aca="1" ref="M68" ca="1">IF(ISNUMBER(SEARCH("Транс",$C68)),_xlfn.XLOOKUP(1,('Фрахт Транс'!$A$5:$A$10=$D68)*1,_xlfn.XLOOKUP(1,('Фрахт Транс'!$B$3:$M$3=$S$2)*('Фрахт Транс'!$B$4:$M$4=M$2),'Фрахт Транс'!$B$5:$M$10)),SUM($E68, $G68, $J68, $O68))</f>
        <v>563622</v>
      </c>
      <c r="N68" s="150" cm="1">
        <f t="array" aca="1" ref="N68" ca="1">IF(ISNUMBER(SEARCH("Транс",$C68)),_xlfn.XLOOKUP(1,('Фрахт Транс'!$A$5:$A$10=$D68)*1,_xlfn.XLOOKUP(1,('Фрахт Транс'!$B$3:$M$3=$S$2)*('Фрахт Транс'!$B$4:$M$4=N$2),'Фрахт Транс'!$B$5:$M$10)),SUM($F68, $H68, $K68, $P68))</f>
        <v>809710</v>
      </c>
      <c r="O68" s="150" cm="1">
        <f t="array" aca="1" ref="O68" ca="1">IFERROR(_xlfn.XLOOKUP(1,  (Охрана!$A$6:$A$14 = $D68) * 1,  _xlfn.XLOOKUP(1,  (Охрана!$B$5:$M$5 = O$2) * (Охрана!$B$4:$M$4 = $S$2), Охрана!$B$6:$M$14)), "-")</f>
        <v>3822</v>
      </c>
      <c r="P68" s="195" cm="1">
        <f t="array" aca="1" ref="P68" ca="1">IFERROR(_xlfn.XLOOKUP(1,  (Охрана!$A$6:$A$14 = $D68) * 1,  _xlfn.XLOOKUP(1,  (Охрана!$B$5:$M$5 = P$2) * (Охрана!$B$4:$M$4 = $S$2), Охрана!$B$6:$M$14)), "-")</f>
        <v>6910</v>
      </c>
      <c r="Q68" s="286"/>
      <c r="S68" s="4"/>
    </row>
    <row r="69" spans="1:19" ht="15.75" customHeight="1" thickBot="1" x14ac:dyDescent="0.3">
      <c r="A69" s="214" t="s">
        <v>18</v>
      </c>
      <c r="B69" s="291"/>
      <c r="C69" s="41" t="s">
        <v>35</v>
      </c>
      <c r="D69" s="40" t="s">
        <v>7</v>
      </c>
      <c r="E69" s="170" cm="1">
        <f t="array" ref="E69">IFERROR(_xlfn.XLOOKUP(1, (Фрахт!$A$5:$A$80 = $A69)* (Фрахт!$B$5:$B$80 = $C69) * (Фрахт!$C$5:$C$80 =$D69),  _xlfn.XLOOKUP(1,  (Фрахт!$D$4:$E$4 = E$2) * 1, Фрахт!$D$5:$E$80)) *  $S$1, "-")</f>
        <v>346500</v>
      </c>
      <c r="F69" s="150" cm="1">
        <f t="array" ref="F69">IFERROR(_xlfn.XLOOKUP(1, (Фрахт!$A$5:$A$80 = $A69)* (Фрахт!$B$5:$B$80 = $C69) * (Фрахт!$C$5:$C$80 =$D69),  _xlfn.XLOOKUP(1,  (Фрахт!$D$4:$E$4 = F$2) * 1, Фрахт!$D$5:$E$80)) *  $S$1, "-")</f>
        <v>504000</v>
      </c>
      <c r="G69" s="150" cm="1">
        <f t="array" aca="1" ref="G69" ca="1">IFERROR(_xlfn.XLOOKUP(1,  ('Drop off'!$A$6:$A$14 = $C69) * 1,  _xlfn.XLOOKUP(1,  ('Drop off'!$B$5:$I$5 = G$2) * ('Drop off'!$B$4:$I$4 = $S$2), 'Drop off'!$B$6:$I$14)) * $S$1, "-")</f>
        <v>56700</v>
      </c>
      <c r="H69" s="150" cm="1">
        <f t="array" aca="1" ref="H69" ca="1">IFERROR(_xlfn.XLOOKUP(1,  ('Drop off'!$A$6:$A$14 = $C69) * 1,  _xlfn.XLOOKUP(1,  ('Drop off'!$B$5:$I$5 = H$2) * ('Drop off'!$B$4:$I$4 = $S$2), 'Drop off'!$B$6:$I$14)) * $S$1, "-")</f>
        <v>37800</v>
      </c>
      <c r="I69" s="150" cm="1">
        <f t="array" aca="1" ref="I69" ca="1">IFERROR(_xlfn.XLOOKUP(1,  ('ж.д.'!$A$6:$A$14 = $D69) * 1,  _xlfn.XLOOKUP(1,  ('ж.д.'!$B$5:$M$5 = I$2) * ('ж.д.'!$B$4:$M$4 = $S$2), 'ж.д.'!$B$6:$M$14)), "-")</f>
        <v>125000</v>
      </c>
      <c r="J69" s="150" cm="1">
        <f t="array" aca="1" ref="J69" ca="1">IFERROR(_xlfn.XLOOKUP(1,  ('ж.д.'!$A$6:$A$14 = $D69) * 1,  _xlfn.XLOOKUP(1,  ('ж.д.'!$B$5:$M$5 = J$2) * ('ж.д.'!$B$4:$M$4 = $S$2), 'ж.д.'!$B$6:$M$14)), "-")</f>
        <v>140000</v>
      </c>
      <c r="K69" s="150" cm="1">
        <f t="array" aca="1" ref="K69" ca="1">IFERROR(_xlfn.XLOOKUP(1,  ('ж.д.'!$A$6:$A$14 = $D69) * 1,  _xlfn.XLOOKUP(1,  ('ж.д.'!$B$5:$M$5 = K$2) * ('ж.д.'!$B$4:$M$4 = $S$2), 'ж.д.'!$B$6:$M$14)), "-")</f>
        <v>227000</v>
      </c>
      <c r="L69" s="150" cm="1">
        <f t="array" aca="1" ref="L69" ca="1">IF(ISNUMBER(SEARCH("Транс",$C69)),_xlfn.XLOOKUP(1,('Фрахт Транс'!$A$5:$A$10=$D69)*1,_xlfn.XLOOKUP(1,('Фрахт Транс'!$B$3:$M$3 = $S$2)*('Фрахт Транс'!$B$4:$M$4=L$2),'Фрахт Транс'!$B$5:$M$10)),SUM($E69, $G69, $I69, $O69))</f>
        <v>532300</v>
      </c>
      <c r="M69" s="150" cm="1">
        <f t="array" aca="1" ref="M69" ca="1">IF(ISNUMBER(SEARCH("Транс",$C69)),_xlfn.XLOOKUP(1,('Фрахт Транс'!$A$5:$A$10=$D69)*1,_xlfn.XLOOKUP(1,('Фрахт Транс'!$B$3:$M$3=$S$2)*('Фрахт Транс'!$B$4:$M$4=M$2),'Фрахт Транс'!$B$5:$M$10)),SUM($E69, $G69, $J69, $O69))</f>
        <v>547300</v>
      </c>
      <c r="N69" s="150" cm="1">
        <f t="array" aca="1" ref="N69" ca="1">IF(ISNUMBER(SEARCH("Транс",$C69)),_xlfn.XLOOKUP(1,('Фрахт Транс'!$A$5:$A$10=$D69)*1,_xlfn.XLOOKUP(1,('Фрахт Транс'!$B$3:$M$3=$S$2)*('Фрахт Транс'!$B$4:$M$4=N$2),'Фрахт Транс'!$B$5:$M$10)),SUM($F69, $H69, $K69, $P69))</f>
        <v>777000</v>
      </c>
      <c r="O69" s="150" cm="1">
        <f t="array" aca="1" ref="O69" ca="1">IFERROR(_xlfn.XLOOKUP(1,  (Охрана!$A$6:$A$14 = $D69) * 1,  _xlfn.XLOOKUP(1,  (Охрана!$B$5:$M$5 = O$2) * (Охрана!$B$4:$M$4 = $S$2), Охрана!$B$6:$M$14)), "-")</f>
        <v>4100</v>
      </c>
      <c r="P69" s="195" cm="1">
        <f t="array" aca="1" ref="P69" ca="1">IFERROR(_xlfn.XLOOKUP(1,  (Охрана!$A$6:$A$14 = $D69) * 1,  _xlfn.XLOOKUP(1,  (Охрана!$B$5:$M$5 = P$2) * (Охрана!$B$4:$M$4 = $S$2), Охрана!$B$6:$M$14)), "-")</f>
        <v>8200</v>
      </c>
      <c r="Q69" s="286"/>
      <c r="R69" s="4"/>
    </row>
    <row r="70" spans="1:19" ht="16.5" thickBot="1" x14ac:dyDescent="0.3">
      <c r="A70" s="214" t="s">
        <v>18</v>
      </c>
      <c r="B70" s="291"/>
      <c r="C70" s="50" t="s">
        <v>36</v>
      </c>
      <c r="D70" s="50" t="s">
        <v>21</v>
      </c>
      <c r="E70" s="171" cm="1">
        <f t="array" ref="E70">IFERROR(_xlfn.XLOOKUP(1, (Фрахт!$A$5:$A$80 = $A70)* (Фрахт!$B$5:$B$80 = $C70) * (Фрахт!$C$5:$C$80 =$D70),  _xlfn.XLOOKUP(1,  (Фрахт!$D$4:$E$4 = E$2) * 1, Фрахт!$D$5:$E$80)) *  $S$1, "-")</f>
        <v>275160</v>
      </c>
      <c r="F70" s="151" cm="1">
        <f t="array" ref="F70">IFERROR(_xlfn.XLOOKUP(1, (Фрахт!$A$5:$A$80 = $A70)* (Фрахт!$B$5:$B$80 = $C70) * (Фрахт!$C$5:$C$80 =$D70),  _xlfn.XLOOKUP(1,  (Фрахт!$D$4:$E$4 = F$2) * 1, Фрахт!$D$5:$E$80)) *  $S$1, "-")</f>
        <v>454320</v>
      </c>
      <c r="G70" s="151" cm="1">
        <f t="array" aca="1" ref="G70" ca="1">IFERROR(_xlfn.XLOOKUP(1,  ('Drop off'!$A$6:$A$14 = $C70) * 1,  _xlfn.XLOOKUP(1,  ('Drop off'!$B$5:$I$5 = G$2) * ('Drop off'!$B$4:$I$4 = $S$2), 'Drop off'!$B$6:$I$14)) * $S$1, "-")</f>
        <v>42000</v>
      </c>
      <c r="H70" s="151" cm="1">
        <f t="array" aca="1" ref="H70" ca="1">IFERROR(_xlfn.XLOOKUP(1,  ('Drop off'!$A$6:$A$14 = $C70) * 1,  _xlfn.XLOOKUP(1,  ('Drop off'!$B$5:$I$5 = H$2) * ('Drop off'!$B$4:$I$4 = $S$2), 'Drop off'!$B$6:$I$14)) * $S$1, "-")</f>
        <v>42000</v>
      </c>
      <c r="I70" s="151" cm="1">
        <f t="array" aca="1" ref="I70" ca="1">IFERROR(_xlfn.XLOOKUP(1,  ('ж.д.'!$A$6:$A$14 = $D70) * 1,  _xlfn.XLOOKUP(1,  ('ж.д.'!$B$5:$M$5 = I$2) * ('ж.д.'!$B$4:$M$4 = $S$2), 'ж.д.'!$B$6:$M$14)), "-")</f>
        <v>134400</v>
      </c>
      <c r="J70" s="151" cm="1">
        <f t="array" aca="1" ref="J70" ca="1">IFERROR(_xlfn.XLOOKUP(1,  ('ж.д.'!$A$6:$A$14 = $D70) * 1,  _xlfn.XLOOKUP(1,  ('ж.д.'!$B$5:$M$5 = J$2) * ('ж.д.'!$B$4:$M$4 = $S$2), 'ж.д.'!$B$6:$M$14)), "-")</f>
        <v>149400</v>
      </c>
      <c r="K70" s="151" cm="1">
        <f t="array" aca="1" ref="K70" ca="1">IFERROR(_xlfn.XLOOKUP(1,  ('ж.д.'!$A$6:$A$14 = $D70) * 1,  _xlfn.XLOOKUP(1,  ('ж.д.'!$B$5:$M$5 = K$2) * ('ж.д.'!$B$4:$M$4 = $S$2), 'ж.д.'!$B$6:$M$14)), "-")</f>
        <v>235000</v>
      </c>
      <c r="L70" s="151" cm="1">
        <f t="array" aca="1" ref="L70" ca="1">IF(ISNUMBER(SEARCH("Транс",$C70)),_xlfn.XLOOKUP(1,('Фрахт Транс'!$A$5:$A$10=$D70)*1,_xlfn.XLOOKUP(1,('Фрахт Транс'!$B$3:$M$3 = $S$2)*('Фрахт Транс'!$B$4:$M$4=L$2),'Фрахт Транс'!$B$5:$M$10)),SUM($E70, $G70, $I70, $O70))</f>
        <v>454954</v>
      </c>
      <c r="M70" s="151" cm="1">
        <f t="array" aca="1" ref="M70" ca="1">IF(ISNUMBER(SEARCH("Транс",$C70)),_xlfn.XLOOKUP(1,('Фрахт Транс'!$A$5:$A$10=$D70)*1,_xlfn.XLOOKUP(1,('Фрахт Транс'!$B$3:$M$3=$S$2)*('Фрахт Транс'!$B$4:$M$4=M$2),'Фрахт Транс'!$B$5:$M$10)),SUM($E70, $G70, $J70, $O70))</f>
        <v>469954</v>
      </c>
      <c r="N70" s="151" cm="1">
        <f t="array" aca="1" ref="N70" ca="1">IF(ISNUMBER(SEARCH("Транс",$C70)),_xlfn.XLOOKUP(1,('Фрахт Транс'!$A$5:$A$10=$D70)*1,_xlfn.XLOOKUP(1,('Фрахт Транс'!$B$3:$M$3=$S$2)*('Фрахт Транс'!$B$4:$M$4=N$2),'Фрахт Транс'!$B$5:$M$10)),SUM($F70, $H70, $K70, $P70))</f>
        <v>738121</v>
      </c>
      <c r="O70" s="151" cm="1">
        <f t="array" aca="1" ref="O70" ca="1">IFERROR(_xlfn.XLOOKUP(1,  (Охрана!$A$6:$A$14 = $D70) * 1,  _xlfn.XLOOKUP(1,  (Охрана!$B$5:$M$5 = O$2) * (Охрана!$B$4:$M$4 = $S$2), Охрана!$B$6:$M$14)), "-")</f>
        <v>3394</v>
      </c>
      <c r="P70" s="196" cm="1">
        <f t="array" aca="1" ref="P70" ca="1">IFERROR(_xlfn.XLOOKUP(1,  (Охрана!$A$6:$A$14 = $D70) * 1,  _xlfn.XLOOKUP(1,  (Охрана!$B$5:$M$5 = P$2) * (Охрана!$B$4:$M$4 = $S$2), Охрана!$B$6:$M$14)), "-")</f>
        <v>6801</v>
      </c>
      <c r="Q70" s="38"/>
      <c r="R70" s="71"/>
    </row>
    <row r="71" spans="1:19" ht="18.75" customHeight="1" thickBot="1" x14ac:dyDescent="0.3">
      <c r="A71" s="214" t="s">
        <v>18</v>
      </c>
      <c r="B71" s="292"/>
      <c r="C71" s="56" t="s">
        <v>37</v>
      </c>
      <c r="D71" s="57" t="s">
        <v>11</v>
      </c>
      <c r="E71" s="184" t="str" cm="1">
        <f t="array" ref="E71">IFERROR(_xlfn.XLOOKUP(1, (Фрахт!$A$5:$A$80 = $A71)* (Фрахт!$B$5:$B$80 = $C71) * (Фрахт!$C$5:$C$80 =$D71),  _xlfn.XLOOKUP(1,  (Фрахт!$D$4:$E$4 = E$2) * 1, Фрахт!$D$5:$E$80)) *  $S$1, "-")</f>
        <v>-</v>
      </c>
      <c r="F71" s="165" t="str" cm="1">
        <f t="array" ref="F71">IFERROR(_xlfn.XLOOKUP(1, (Фрахт!$A$5:$A$80 = $A71)* (Фрахт!$B$5:$B$80 = $C71) * (Фрахт!$C$5:$C$80 =$D71),  _xlfn.XLOOKUP(1,  (Фрахт!$D$4:$E$4 = F$2) * 1, Фрахт!$D$5:$E$80)) *  $S$1, "-")</f>
        <v>-</v>
      </c>
      <c r="G71" s="165" cm="1">
        <f t="array" aca="1" ref="G71" ca="1">IFERROR(_xlfn.XLOOKUP(1,  ('Drop off'!$A$6:$A$14 = $C71) * 1,  _xlfn.XLOOKUP(1,  ('Drop off'!$B$5:$I$5 = G$2) * ('Drop off'!$B$4:$I$4 = $S$2), 'Drop off'!$B$6:$I$14)) * $S$1, "-")</f>
        <v>0</v>
      </c>
      <c r="H71" s="165" cm="1">
        <f t="array" aca="1" ref="H71" ca="1">IFERROR(_xlfn.XLOOKUP(1,  ('Drop off'!$A$6:$A$14 = $C71) * 1,  _xlfn.XLOOKUP(1,  ('Drop off'!$B$5:$I$5 = H$2) * ('Drop off'!$B$4:$I$4 = $S$2), 'Drop off'!$B$6:$I$14)) * $S$1, "-")</f>
        <v>0</v>
      </c>
      <c r="I71" s="165" cm="1">
        <f t="array" aca="1" ref="I71" ca="1">IFERROR(_xlfn.XLOOKUP(1,  ('ж.д.'!$A$6:$A$14 = $D71) * 1,  _xlfn.XLOOKUP(1,  ('ж.д.'!$B$5:$M$5 = I$2) * ('ж.д.'!$B$4:$M$4 = $S$2), 'ж.д.'!$B$6:$M$14)), "-")</f>
        <v>122400</v>
      </c>
      <c r="J71" s="165" cm="1">
        <f t="array" aca="1" ref="J71" ca="1">IFERROR(_xlfn.XLOOKUP(1,  ('ж.д.'!$A$6:$A$14 = $D71) * 1,  _xlfn.XLOOKUP(1,  ('ж.д.'!$B$5:$M$5 = J$2) * ('ж.д.'!$B$4:$M$4 = $S$2), 'ж.д.'!$B$6:$M$14)), "-")</f>
        <v>139800</v>
      </c>
      <c r="K71" s="165" cm="1">
        <f t="array" aca="1" ref="K71" ca="1">IFERROR(_xlfn.XLOOKUP(1,  ('ж.д.'!$A$6:$A$14 = $D71) * 1,  _xlfn.XLOOKUP(1,  ('ж.д.'!$B$5:$M$5 = K$2) * ('ж.д.'!$B$4:$M$4 = $S$2), 'ж.д.'!$B$6:$M$14)), "-")</f>
        <v>224600</v>
      </c>
      <c r="L71" s="165" cm="1">
        <f t="array" aca="1" ref="L71" ca="1">IF(ISNUMBER(SEARCH("Транс",$C71)),_xlfn.XLOOKUP(1,('Фрахт Транс'!$A$5:$A$10=$D71)*1,_xlfn.XLOOKUP(1,('Фрахт Транс'!$B$3:$M$3 = $S$2)*('Фрахт Транс'!$B$4:$M$4=L$2),'Фрахт Транс'!$B$5:$M$10)),SUM($E71, $G71, $I71, $O71))</f>
        <v>125794</v>
      </c>
      <c r="M71" s="165" cm="1">
        <f t="array" aca="1" ref="M71" ca="1">IF(ISNUMBER(SEARCH("Транс",$C71)),_xlfn.XLOOKUP(1,('Фрахт Транс'!$A$5:$A$10=$D71)*1,_xlfn.XLOOKUP(1,('Фрахт Транс'!$B$3:$M$3=$S$2)*('Фрахт Транс'!$B$4:$M$4=M$2),'Фрахт Транс'!$B$5:$M$10)),SUM($E71, $G71, $J71, $O71))</f>
        <v>143194</v>
      </c>
      <c r="N71" s="165" cm="1">
        <f t="array" aca="1" ref="N71" ca="1">IF(ISNUMBER(SEARCH("Транс",$C71)),_xlfn.XLOOKUP(1,('Фрахт Транс'!$A$5:$A$10=$D71)*1,_xlfn.XLOOKUP(1,('Фрахт Транс'!$B$3:$M$3=$S$2)*('Фрахт Транс'!$B$4:$M$4=N$2),'Фрахт Транс'!$B$5:$M$10)),SUM($F71, $H71, $K71, $P71))</f>
        <v>231401</v>
      </c>
      <c r="O71" s="165" cm="1">
        <f t="array" aca="1" ref="O71" ca="1">IFERROR(_xlfn.XLOOKUP(1,  (Охрана!$A$6:$A$14 = $D71) * 1,  _xlfn.XLOOKUP(1,  (Охрана!$B$5:$M$5 = O$2) * (Охрана!$B$4:$M$4 = $S$2), Охрана!$B$6:$M$14)), "-")</f>
        <v>3394</v>
      </c>
      <c r="P71" s="211" cm="1">
        <f t="array" aca="1" ref="P71" ca="1">IFERROR(_xlfn.XLOOKUP(1,  (Охрана!$A$6:$A$14 = $D71) * 1,  _xlfn.XLOOKUP(1,  (Охрана!$B$5:$M$5 = P$2) * (Охрана!$B$4:$M$4 = $S$2), Охрана!$B$6:$M$14)), "-")</f>
        <v>6801</v>
      </c>
      <c r="Q71" s="38"/>
      <c r="R71" s="71"/>
    </row>
    <row r="73" spans="1:19" x14ac:dyDescent="0.25">
      <c r="A73" s="90"/>
    </row>
    <row r="74" spans="1:19" x14ac:dyDescent="0.25">
      <c r="A74" s="212"/>
    </row>
    <row r="75" spans="1:19" x14ac:dyDescent="0.25">
      <c r="C75" s="212"/>
    </row>
  </sheetData>
  <mergeCells count="31">
    <mergeCell ref="A1:A2"/>
    <mergeCell ref="B3:B17"/>
    <mergeCell ref="Q39:Q41"/>
    <mergeCell ref="B63:B71"/>
    <mergeCell ref="B53:B62"/>
    <mergeCell ref="B44:B52"/>
    <mergeCell ref="Q47:Q50"/>
    <mergeCell ref="Q56:Q59"/>
    <mergeCell ref="Q66:Q69"/>
    <mergeCell ref="Q33:Q36"/>
    <mergeCell ref="Q21:Q24"/>
    <mergeCell ref="B30:B43"/>
    <mergeCell ref="B18:B29"/>
    <mergeCell ref="Q31:Q32"/>
    <mergeCell ref="Q45:Q46"/>
    <mergeCell ref="Q54:Q55"/>
    <mergeCell ref="Q64:Q65"/>
    <mergeCell ref="R26:R27"/>
    <mergeCell ref="Q26:Q27"/>
    <mergeCell ref="L1:N1"/>
    <mergeCell ref="I1:K1"/>
    <mergeCell ref="O1:P1"/>
    <mergeCell ref="Q6:Q9"/>
    <mergeCell ref="Q12:Q14"/>
    <mergeCell ref="Q4:Q5"/>
    <mergeCell ref="Q19:Q20"/>
    <mergeCell ref="E1:F1"/>
    <mergeCell ref="G1:H1"/>
    <mergeCell ref="B1:B2"/>
    <mergeCell ref="C1:C2"/>
    <mergeCell ref="D1:D2"/>
  </mergeCells>
  <pageMargins left="0.7" right="0.7" top="0.75" bottom="0.75" header="0.3" footer="0.3"/>
  <pageSetup paperSize="9"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Лист5"/>
  <dimension ref="A1:U57"/>
  <sheetViews>
    <sheetView zoomScale="110" zoomScaleNormal="110" workbookViewId="0">
      <selection activeCell="R1" sqref="R1:S2"/>
    </sheetView>
  </sheetViews>
  <sheetFormatPr defaultRowHeight="15.75" x14ac:dyDescent="0.25"/>
  <cols>
    <col min="1" max="2" width="15" style="12" customWidth="1"/>
    <col min="3" max="3" width="23.42578125" style="12" customWidth="1"/>
    <col min="4" max="4" width="23" style="12" customWidth="1"/>
    <col min="5" max="8" width="14.85546875" style="18" customWidth="1"/>
    <col min="9" max="16" width="15.140625" style="19" customWidth="1"/>
    <col min="17" max="17" width="11.5703125" style="66" customWidth="1"/>
    <col min="18" max="18" width="12.7109375" bestFit="1" customWidth="1"/>
    <col min="19" max="19" width="13.140625" bestFit="1" customWidth="1"/>
  </cols>
  <sheetData>
    <row r="1" spans="1:21" ht="21" x14ac:dyDescent="0.35">
      <c r="A1" s="278" t="s">
        <v>3</v>
      </c>
      <c r="B1" s="278" t="s">
        <v>3</v>
      </c>
      <c r="C1" s="303" t="s">
        <v>0</v>
      </c>
      <c r="D1" s="303" t="s">
        <v>6</v>
      </c>
      <c r="E1" s="297" t="s">
        <v>1</v>
      </c>
      <c r="F1" s="297"/>
      <c r="G1" s="297" t="s">
        <v>2</v>
      </c>
      <c r="H1" s="297"/>
      <c r="I1" s="298" t="s">
        <v>4</v>
      </c>
      <c r="J1" s="298"/>
      <c r="K1" s="298"/>
      <c r="L1" s="298" t="s">
        <v>5</v>
      </c>
      <c r="M1" s="298"/>
      <c r="N1" s="298"/>
      <c r="O1" s="298" t="s">
        <v>57</v>
      </c>
      <c r="P1" s="299"/>
      <c r="Q1" s="65"/>
      <c r="R1" s="244" t="s">
        <v>66</v>
      </c>
      <c r="S1" s="245">
        <v>60</v>
      </c>
    </row>
    <row r="2" spans="1:21" ht="21.75" thickBot="1" x14ac:dyDescent="0.4">
      <c r="A2" s="279"/>
      <c r="B2" s="279"/>
      <c r="C2" s="304"/>
      <c r="D2" s="304"/>
      <c r="E2" s="34">
        <v>20</v>
      </c>
      <c r="F2" s="34">
        <v>40</v>
      </c>
      <c r="G2" s="34">
        <v>20</v>
      </c>
      <c r="H2" s="34">
        <v>40</v>
      </c>
      <c r="I2" s="34" t="s">
        <v>9</v>
      </c>
      <c r="J2" s="34" t="s">
        <v>8</v>
      </c>
      <c r="K2" s="34">
        <v>40</v>
      </c>
      <c r="L2" s="59" t="s">
        <v>9</v>
      </c>
      <c r="M2" s="59" t="s">
        <v>8</v>
      </c>
      <c r="N2" s="59">
        <v>40</v>
      </c>
      <c r="O2" s="34">
        <v>20</v>
      </c>
      <c r="P2" s="35">
        <v>40</v>
      </c>
      <c r="Q2" s="65"/>
      <c r="R2" s="244" t="s">
        <v>65</v>
      </c>
      <c r="S2" s="244" t="str" cm="1">
        <f t="array" aca="1" ref="S2" ca="1">_xlfn.TEXTAFTER(CELL("filename", A1), "]")</f>
        <v>СПБ</v>
      </c>
      <c r="T2" s="212"/>
      <c r="U2" s="212"/>
    </row>
    <row r="3" spans="1:21" ht="30.75" thickBot="1" x14ac:dyDescent="0.3">
      <c r="A3" s="223" t="s">
        <v>13</v>
      </c>
      <c r="B3" s="300" t="s">
        <v>13</v>
      </c>
      <c r="C3" s="63" t="s">
        <v>43</v>
      </c>
      <c r="D3" s="64" t="s">
        <v>44</v>
      </c>
      <c r="E3" s="168" t="str" cm="1">
        <f t="array" ref="E3">IFERROR(_xlfn.XLOOKUP(1, (Фрахт!$A$5:$A$80 = $A3)* (Фрахт!$B$5:$B$80 = $C3) * (Фрахт!$C$5:$C$80 =$D3),  _xlfn.XLOOKUP(1,  (Фрахт!$D$4:$E$4 = E$2) * 1, Фрахт!$D$5:$E$80)) *  $S$1, "-")</f>
        <v>-</v>
      </c>
      <c r="F3" s="168" t="str" cm="1">
        <f t="array" ref="F3">IFERROR(_xlfn.XLOOKUP(1, (Фрахт!$A$5:$A$80 = $A3)* (Фрахт!$B$5:$B$80 = $C3) * (Фрахт!$C$5:$C$80 =$D3),  _xlfn.XLOOKUP(1,  (Фрахт!$D$4:$E$4 = F$2) * 1, Фрахт!$D$5:$E$80)) *  $S$1, "-")</f>
        <v>-</v>
      </c>
      <c r="G3" s="168" cm="1">
        <f t="array" aca="1" ref="G3" ca="1">IFERROR(_xlfn.XLOOKUP(1,  ('Drop off'!$A$6:$A$14 = $C3) * 1,  _xlfn.XLOOKUP(1,  ('Drop off'!$B$5:$I$5 = G$2) * ('Drop off'!$B$4:$I$4 = $S$2), 'Drop off'!$B$6:$I$14)) * $S$1, "-")</f>
        <v>0</v>
      </c>
      <c r="H3" s="168" cm="1">
        <f t="array" aca="1" ref="H3" ca="1">IFERROR(_xlfn.XLOOKUP(1,  ('Drop off'!$A$6:$A$14 = $C3) * 1,  _xlfn.XLOOKUP(1,  ('Drop off'!$B$5:$I$5 = H$2) * ('Drop off'!$B$4:$I$4 = $S$2), 'Drop off'!$B$6:$I$14)) * $S$1, "-")</f>
        <v>0</v>
      </c>
      <c r="I3" s="168" t="str" cm="1">
        <f t="array" aca="1" ref="I3" ca="1">IFERROR(_xlfn.XLOOKUP(1,  ('ж.д.'!$A$6:$A$14 = $D3) * 1,  _xlfn.XLOOKUP(1,  ('ж.д.'!$B$5:$M$5 = I$2) * ('ж.д.'!$B$4:$M$4 = $S$2), 'ж.д.'!$B$6:$M$14)), "-")</f>
        <v>-</v>
      </c>
      <c r="J3" s="168" t="str" cm="1">
        <f t="array" aca="1" ref="J3" ca="1">IFERROR(_xlfn.XLOOKUP(1,  ('ж.д.'!$A$6:$A$14 = $D3) * 1,  _xlfn.XLOOKUP(1,  ('ж.д.'!$B$5:$M$5 = J$2) * ('ж.д.'!$B$4:$M$4 = $S$2), 'ж.д.'!$B$6:$M$14)), "-")</f>
        <v>-</v>
      </c>
      <c r="K3" s="168" t="str" cm="1">
        <f t="array" aca="1" ref="K3" ca="1">IFERROR(_xlfn.XLOOKUP(1,  ('ж.д.'!$A$6:$A$14 = $D3) * 1,  _xlfn.XLOOKUP(1,  ('ж.д.'!$B$5:$M$5 = K$2) * ('ж.д.'!$B$4:$M$4 = $S$2), 'ж.д.'!$B$6:$M$14)), "-")</f>
        <v>-</v>
      </c>
      <c r="L3" s="191" cm="1">
        <f t="array" aca="1" ref="L3" ca="1">IF(ISNUMBER(SEARCH("Транс",$C3)),_xlfn.XLOOKUP(1,('Фрахт Транс'!$A$5:$A$10=$D3)*1,_xlfn.XLOOKUP(1,('Фрахт Транс'!$B$3:$M$3 = $S$2)*('Фрахт Транс'!$B$4:$M$4=L$2),'Фрахт Транс'!$B$5:$M$10)),SUM($E3, $G3, $I3, $O3))</f>
        <v>345130</v>
      </c>
      <c r="M3" s="191" cm="1">
        <f t="array" aca="1" ref="M3" ca="1">IF(ISNUMBER(SEARCH("Транс",$C3)),_xlfn.XLOOKUP(1,('Фрахт Транс'!$A$5:$A$10=$D3)*1,_xlfn.XLOOKUP(1,('Фрахт Транс'!$B$3:$M$3=$S$2)*('Фрахт Транс'!$B$4:$M$4=M$2),'Фрахт Транс'!$B$5:$M$10)),SUM($E3, $G3, $J3, $O3))</f>
        <v>363122</v>
      </c>
      <c r="N3" s="191" cm="1">
        <f t="array" aca="1" ref="N3" ca="1">IF(ISNUMBER(SEARCH("Транс",$C3)),_xlfn.XLOOKUP(1,('Фрахт Транс'!$A$5:$A$10=$D3)*1,_xlfn.XLOOKUP(1,('Фрахт Транс'!$B$3:$M$3=$S$2)*('Фрахт Транс'!$B$4:$M$4=N$2),'Фрахт Транс'!$B$5:$M$10)),SUM($F3, $H3, $K3, $P3))</f>
        <v>573573</v>
      </c>
      <c r="O3" s="192" t="str" cm="1">
        <f t="array" aca="1" ref="O3" ca="1">IFERROR(_xlfn.XLOOKUP(1,  (Охрана!$A$6:$A$14 = $D3) * 1,  _xlfn.XLOOKUP(1,  (Охрана!$B$5:$M$5 = O$2) * (Охрана!$B$4:$M$4 = $S$2), Охрана!$B$6:$M$14)), "-")</f>
        <v>-</v>
      </c>
      <c r="P3" s="192" t="str" cm="1">
        <f t="array" aca="1" ref="P3" ca="1">IFERROR(_xlfn.XLOOKUP(1,  (Охрана!$A$6:$A$14 = $D3) * 1,  _xlfn.XLOOKUP(1,  (Охрана!$B$5:$M$5 = P$2) * (Охрана!$B$4:$M$4 = $S$2), Охрана!$B$6:$M$14)), "-")</f>
        <v>-</v>
      </c>
      <c r="Q3" s="38"/>
      <c r="R3" s="6"/>
      <c r="S3" s="7"/>
    </row>
    <row r="4" spans="1:21" thickBot="1" x14ac:dyDescent="0.3">
      <c r="A4" s="223" t="s">
        <v>13</v>
      </c>
      <c r="B4" s="301"/>
      <c r="C4" s="42" t="s">
        <v>12</v>
      </c>
      <c r="D4" s="32" t="s">
        <v>30</v>
      </c>
      <c r="E4" s="149" cm="1">
        <f t="array" ref="E4">IFERROR(_xlfn.XLOOKUP(1, (Фрахт!$A$5:$A$80 = $A4)* (Фрахт!$B$5:$B$80 = $C4) * (Фрахт!$C$5:$C$80 =$D4),  _xlfn.XLOOKUP(1,  (Фрахт!$D$4:$E$4 = E$2) * 1, Фрахт!$D$5:$E$80)) *  $S$1, "-")</f>
        <v>330000</v>
      </c>
      <c r="F4" s="149" cm="1">
        <f t="array" ref="F4">IFERROR(_xlfn.XLOOKUP(1, (Фрахт!$A$5:$A$80 = $A4)* (Фрахт!$B$5:$B$80 = $C4) * (Фрахт!$C$5:$C$80 =$D4),  _xlfn.XLOOKUP(1,  (Фрахт!$D$4:$E$4 = F$2) * 1, Фрахт!$D$5:$E$80)) *  $S$1, "-")</f>
        <v>450000</v>
      </c>
      <c r="G4" s="149" cm="1">
        <f t="array" aca="1" ref="G4" ca="1">IFERROR(_xlfn.XLOOKUP(1,  ('Drop off'!$A$6:$A$14 = $C4) * 1,  _xlfn.XLOOKUP(1,  ('Drop off'!$B$5:$I$5 = G$2) * ('Drop off'!$B$4:$I$4 = $S$2), 'Drop off'!$B$6:$I$14)) * $S$1, "-")</f>
        <v>0</v>
      </c>
      <c r="H4" s="149" cm="1">
        <f t="array" aca="1" ref="H4" ca="1">IFERROR(_xlfn.XLOOKUP(1,  ('Drop off'!$A$6:$A$14 = $C4) * 1,  _xlfn.XLOOKUP(1,  ('Drop off'!$B$5:$I$5 = H$2) * ('Drop off'!$B$4:$I$4 = $S$2), 'Drop off'!$B$6:$I$14)) * $S$1, "-")</f>
        <v>0</v>
      </c>
      <c r="I4" s="149" cm="1">
        <f t="array" aca="1" ref="I4" ca="1">IFERROR(_xlfn.XLOOKUP(1,  ('ж.д.'!$A$6:$A$14 = $D4) * 1,  _xlfn.XLOOKUP(1,  ('ж.д.'!$B$5:$M$5 = I$2) * ('ж.д.'!$B$4:$M$4 = $S$2), 'ж.д.'!$B$6:$M$14)), "-")</f>
        <v>144300</v>
      </c>
      <c r="J4" s="149" cm="1">
        <f t="array" aca="1" ref="J4" ca="1">IFERROR(_xlfn.XLOOKUP(1,  ('ж.д.'!$A$6:$A$14 = $D4) * 1,  _xlfn.XLOOKUP(1,  ('ж.д.'!$B$5:$M$5 = J$2) * ('ж.д.'!$B$4:$M$4 = $S$2), 'ж.д.'!$B$6:$M$14)), "-")</f>
        <v>160305</v>
      </c>
      <c r="K4" s="149" cm="1">
        <f t="array" aca="1" ref="K4" ca="1">IFERROR(_xlfn.XLOOKUP(1,  ('ж.д.'!$A$6:$A$14 = $D4) * 1,  _xlfn.XLOOKUP(1,  ('ж.д.'!$B$5:$M$5 = K$2) * ('ж.д.'!$B$4:$M$4 = $S$2), 'ж.д.'!$B$6:$M$14)), "-")</f>
        <v>247100</v>
      </c>
      <c r="L4" s="231" cm="1">
        <f t="array" aca="1" ref="L4" ca="1">IF(ISNUMBER(SEARCH("Транс",$C4)),_xlfn.XLOOKUP(1,('Фрахт Транс'!$A$5:$A$10=$D4)*1,_xlfn.XLOOKUP(1,('Фрахт Транс'!$B$3:$M$3 = $S$2)*('Фрахт Транс'!$B$4:$M$4=L$2),'Фрахт Транс'!$B$5:$M$10)),SUM($E4, $G4, $I4, $O4))</f>
        <v>478444</v>
      </c>
      <c r="M4" s="231" cm="1">
        <f t="array" aca="1" ref="M4" ca="1">IF(ISNUMBER(SEARCH("Транс",$C4)),_xlfn.XLOOKUP(1,('Фрахт Транс'!$A$5:$A$10=$D4)*1,_xlfn.XLOOKUP(1,('Фрахт Транс'!$B$3:$M$3=$S$2)*('Фрахт Транс'!$B$4:$M$4=M$2),'Фрахт Транс'!$B$5:$M$10)),SUM($E4, $G4, $J4, $O4))</f>
        <v>494449</v>
      </c>
      <c r="N4" s="231" cm="1">
        <f t="array" aca="1" ref="N4" ca="1">IF(ISNUMBER(SEARCH("Транс",$C4)),_xlfn.XLOOKUP(1,('Фрахт Транс'!$A$5:$A$10=$D4)*1,_xlfn.XLOOKUP(1,('Фрахт Транс'!$B$3:$M$3=$S$2)*('Фрахт Транс'!$B$4:$M$4=N$2),'Фрахт Транс'!$B$5:$M$10)),SUM($F4, $H4, $K4, $P4))</f>
        <v>704651</v>
      </c>
      <c r="O4" s="231" cm="1">
        <f t="array" aca="1" ref="O4" ca="1">IFERROR(_xlfn.XLOOKUP(1,  (Охрана!$A$6:$A$14 = $D4) * 1,  _xlfn.XLOOKUP(1,  (Охрана!$B$5:$M$5 = O$2) * (Охрана!$B$4:$M$4 = $S$2), Охрана!$B$6:$M$14)), "-")</f>
        <v>4144</v>
      </c>
      <c r="P4" s="232" cm="1">
        <f t="array" aca="1" ref="P4" ca="1">IFERROR(_xlfn.XLOOKUP(1,  (Охрана!$A$6:$A$14 = $D4) * 1,  _xlfn.XLOOKUP(1,  (Охрана!$B$5:$M$5 = P$2) * (Охрана!$B$4:$M$4 = $S$2), Охрана!$B$6:$M$14)), "-")</f>
        <v>7551</v>
      </c>
      <c r="Q4" s="282"/>
      <c r="R4" s="91"/>
      <c r="S4" s="7"/>
    </row>
    <row r="5" spans="1:21" thickBot="1" x14ac:dyDescent="0.3">
      <c r="A5" s="223" t="s">
        <v>13</v>
      </c>
      <c r="B5" s="301"/>
      <c r="C5" s="42" t="s">
        <v>12</v>
      </c>
      <c r="D5" s="32" t="s">
        <v>55</v>
      </c>
      <c r="E5" s="149" cm="1">
        <f t="array" ref="E5">IFERROR(_xlfn.XLOOKUP(1, (Фрахт!$A$5:$A$80 = $A5)* (Фрахт!$B$5:$B$80 = $C5) * (Фрахт!$C$5:$C$80 =$D5),  _xlfn.XLOOKUP(1,  (Фрахт!$D$4:$E$4 = E$2) * 1, Фрахт!$D$5:$E$80)) *  $S$1, "-")</f>
        <v>330000</v>
      </c>
      <c r="F5" s="149" cm="1">
        <f t="array" ref="F5">IFERROR(_xlfn.XLOOKUP(1, (Фрахт!$A$5:$A$80 = $A5)* (Фрахт!$B$5:$B$80 = $C5) * (Фрахт!$C$5:$C$80 =$D5),  _xlfn.XLOOKUP(1,  (Фрахт!$D$4:$E$4 = F$2) * 1, Фрахт!$D$5:$E$80)) *  $S$1, "-")</f>
        <v>450000</v>
      </c>
      <c r="G5" s="149" cm="1">
        <f t="array" aca="1" ref="G5" ca="1">IFERROR(_xlfn.XLOOKUP(1,  ('Drop off'!$A$6:$A$14 = $C5) * 1,  _xlfn.XLOOKUP(1,  ('Drop off'!$B$5:$I$5 = G$2) * ('Drop off'!$B$4:$I$4 = $S$2), 'Drop off'!$B$6:$I$14)) * $S$1, "-")</f>
        <v>0</v>
      </c>
      <c r="H5" s="149" cm="1">
        <f t="array" aca="1" ref="H5" ca="1">IFERROR(_xlfn.XLOOKUP(1,  ('Drop off'!$A$6:$A$14 = $C5) * 1,  _xlfn.XLOOKUP(1,  ('Drop off'!$B$5:$I$5 = H$2) * ('Drop off'!$B$4:$I$4 = $S$2), 'Drop off'!$B$6:$I$14)) * $S$1, "-")</f>
        <v>0</v>
      </c>
      <c r="I5" s="149" cm="1">
        <f t="array" aca="1" ref="I5" ca="1">IFERROR(_xlfn.XLOOKUP(1,  ('ж.д.'!$A$6:$A$14 = $D5) * 1,  _xlfn.XLOOKUP(1,  ('ж.д.'!$B$5:$M$5 = I$2) * ('ж.д.'!$B$4:$M$4 = $S$2), 'ж.д.'!$B$6:$M$14)), "-")</f>
        <v>150590</v>
      </c>
      <c r="J5" s="149" cm="1">
        <f t="array" aca="1" ref="J5" ca="1">IFERROR(_xlfn.XLOOKUP(1,  ('ж.д.'!$A$6:$A$14 = $D5) * 1,  _xlfn.XLOOKUP(1,  ('ж.д.'!$B$5:$M$5 = J$2) * ('ж.д.'!$B$4:$M$4 = $S$2), 'ж.д.'!$B$6:$M$14)), "-")</f>
        <v>168355</v>
      </c>
      <c r="K5" s="149" cm="1">
        <f t="array" aca="1" ref="K5" ca="1">IFERROR(_xlfn.XLOOKUP(1,  ('ж.д.'!$A$6:$A$14 = $D5) * 1,  _xlfn.XLOOKUP(1,  ('ж.д.'!$B$5:$M$5 = K$2) * ('ж.д.'!$B$4:$M$4 = $S$2), 'ж.д.'!$B$6:$M$14)), "-")</f>
        <v>259240</v>
      </c>
      <c r="L5" s="231" cm="1">
        <f t="array" aca="1" ref="L5" ca="1">IF(ISNUMBER(SEARCH("Транс",$C5)),_xlfn.XLOOKUP(1,('Фрахт Транс'!$A$5:$A$10=$D5)*1,_xlfn.XLOOKUP(1,('Фрахт Транс'!$B$3:$M$3 = $S$2)*('Фрахт Транс'!$B$4:$M$4=L$2),'Фрахт Транс'!$B$5:$M$10)),SUM($E5, $G5, $I5, $O5))</f>
        <v>484734</v>
      </c>
      <c r="M5" s="231" cm="1">
        <f t="array" aca="1" ref="M5" ca="1">IF(ISNUMBER(SEARCH("Транс",$C5)),_xlfn.XLOOKUP(1,('Фрахт Транс'!$A$5:$A$10=$D5)*1,_xlfn.XLOOKUP(1,('Фрахт Транс'!$B$3:$M$3=$S$2)*('Фрахт Транс'!$B$4:$M$4=M$2),'Фрахт Транс'!$B$5:$M$10)),SUM($E5, $G5, $J5, $O5))</f>
        <v>502499</v>
      </c>
      <c r="N5" s="231" cm="1">
        <f t="array" aca="1" ref="N5" ca="1">IF(ISNUMBER(SEARCH("Транс",$C5)),_xlfn.XLOOKUP(1,('Фрахт Транс'!$A$5:$A$10=$D5)*1,_xlfn.XLOOKUP(1,('Фрахт Транс'!$B$3:$M$3=$S$2)*('Фрахт Транс'!$B$4:$M$4=N$2),'Фрахт Транс'!$B$5:$M$10)),SUM($F5, $H5, $K5, $P5))</f>
        <v>716791</v>
      </c>
      <c r="O5" s="231" cm="1">
        <f t="array" aca="1" ref="O5" ca="1">IFERROR(_xlfn.XLOOKUP(1,  (Охрана!$A$6:$A$14 = $D5) * 1,  _xlfn.XLOOKUP(1,  (Охрана!$B$5:$M$5 = O$2) * (Охрана!$B$4:$M$4 = $S$2), Охрана!$B$6:$M$14)), "-")</f>
        <v>4144</v>
      </c>
      <c r="P5" s="232" cm="1">
        <f t="array" aca="1" ref="P5" ca="1">IFERROR(_xlfn.XLOOKUP(1,  (Охрана!$A$6:$A$14 = $D5) * 1,  _xlfn.XLOOKUP(1,  (Охрана!$B$5:$M$5 = P$2) * (Охрана!$B$4:$M$4 = $S$2), Охрана!$B$6:$M$14)), "-")</f>
        <v>7551</v>
      </c>
      <c r="Q5" s="282"/>
      <c r="R5" s="3"/>
      <c r="S5" s="7"/>
    </row>
    <row r="6" spans="1:21" ht="15" customHeight="1" thickBot="1" x14ac:dyDescent="0.3">
      <c r="A6" s="223" t="s">
        <v>13</v>
      </c>
      <c r="B6" s="301"/>
      <c r="C6" s="41" t="s">
        <v>35</v>
      </c>
      <c r="D6" s="40" t="s">
        <v>11</v>
      </c>
      <c r="E6" s="150" cm="1">
        <f t="array" ref="E6">IFERROR(_xlfn.XLOOKUP(1, (Фрахт!$A$5:$A$80 = $A6)* (Фрахт!$B$5:$B$80 = $C6) * (Фрахт!$C$5:$C$80 =$D6),  _xlfn.XLOOKUP(1,  (Фрахт!$D$4:$E$4 = E$2) * 1, Фрахт!$D$5:$E$80)) *  $S$1, "-")</f>
        <v>283500</v>
      </c>
      <c r="F6" s="150" cm="1">
        <f t="array" ref="F6">IFERROR(_xlfn.XLOOKUP(1, (Фрахт!$A$5:$A$80 = $A6)* (Фрахт!$B$5:$B$80 = $C6) * (Фрахт!$C$5:$C$80 =$D6),  _xlfn.XLOOKUP(1,  (Фрахт!$D$4:$E$4 = F$2) * 1, Фрахт!$D$5:$E$80)) *  $S$1, "-")</f>
        <v>472500</v>
      </c>
      <c r="G6" s="150" cm="1">
        <f t="array" aca="1" ref="G6" ca="1">IFERROR(_xlfn.XLOOKUP(1,  ('Drop off'!$A$6:$A$14 = $C6) * 1,  _xlfn.XLOOKUP(1,  ('Drop off'!$B$5:$I$5 = G$2) * ('Drop off'!$B$4:$I$4 = $S$2), 'Drop off'!$B$6:$I$14)) * $S$1, "-")</f>
        <v>75600</v>
      </c>
      <c r="H6" s="150" cm="1">
        <f t="array" aca="1" ref="H6" ca="1">IFERROR(_xlfn.XLOOKUP(1,  ('Drop off'!$A$6:$A$14 = $C6) * 1,  _xlfn.XLOOKUP(1,  ('Drop off'!$B$5:$I$5 = H$2) * ('Drop off'!$B$4:$I$4 = $S$2), 'Drop off'!$B$6:$I$14)) * $S$1, "-")</f>
        <v>56700</v>
      </c>
      <c r="I6" s="150" cm="1">
        <f t="array" aca="1" ref="I6" ca="1">IFERROR(_xlfn.XLOOKUP(1,  ('ж.д.'!$A$6:$A$14 = $D6) * 1,  _xlfn.XLOOKUP(1,  ('ж.д.'!$B$5:$M$5 = I$2) * ('ж.д.'!$B$4:$M$4 = $S$2), 'ж.д.'!$B$6:$M$14)), "-")</f>
        <v>124800</v>
      </c>
      <c r="J6" s="150" cm="1">
        <f t="array" aca="1" ref="J6" ca="1">IFERROR(_xlfn.XLOOKUP(1,  ('ж.д.'!$A$6:$A$14 = $D6) * 1,  _xlfn.XLOOKUP(1,  ('ж.д.'!$B$5:$M$5 = J$2) * ('ж.д.'!$B$4:$M$4 = $S$2), 'ж.д.'!$B$6:$M$14)), "-")</f>
        <v>143000</v>
      </c>
      <c r="K6" s="150" cm="1">
        <f t="array" aca="1" ref="K6" ca="1">IFERROR(_xlfn.XLOOKUP(1,  ('ж.д.'!$A$6:$A$14 = $D6) * 1,  _xlfn.XLOOKUP(1,  ('ж.д.'!$B$5:$M$5 = K$2) * ('ж.д.'!$B$4:$M$4 = $S$2), 'ж.д.'!$B$6:$M$14)), "-")</f>
        <v>211800</v>
      </c>
      <c r="L6" s="233" cm="1">
        <f t="array" aca="1" ref="L6" ca="1">IF(ISNUMBER(SEARCH("Транс",$C6)),_xlfn.XLOOKUP(1,('Фрахт Транс'!$A$5:$A$10=$D6)*1,_xlfn.XLOOKUP(1,('Фрахт Транс'!$B$3:$M$3 = $S$2)*('Фрахт Транс'!$B$4:$M$4=L$2),'Фрахт Транс'!$B$5:$M$10)),SUM($E6, $G6, $I6, $O6))</f>
        <v>487294</v>
      </c>
      <c r="M6" s="233" cm="1">
        <f t="array" aca="1" ref="M6" ca="1">IF(ISNUMBER(SEARCH("Транс",$C6)),_xlfn.XLOOKUP(1,('Фрахт Транс'!$A$5:$A$10=$D6)*1,_xlfn.XLOOKUP(1,('Фрахт Транс'!$B$3:$M$3=$S$2)*('Фрахт Транс'!$B$4:$M$4=M$2),'Фрахт Транс'!$B$5:$M$10)),SUM($E6, $G6, $J6, $O6))</f>
        <v>505494</v>
      </c>
      <c r="N6" s="233" cm="1">
        <f t="array" aca="1" ref="N6" ca="1">IF(ISNUMBER(SEARCH("Транс",$C6)),_xlfn.XLOOKUP(1,('Фрахт Транс'!$A$5:$A$10=$D6)*1,_xlfn.XLOOKUP(1,('Фрахт Транс'!$B$3:$M$3=$S$2)*('Фрахт Транс'!$B$4:$M$4=N$2),'Фрахт Транс'!$B$5:$M$10)),SUM($F6, $H6, $K6, $P6))</f>
        <v>747801</v>
      </c>
      <c r="O6" s="233" cm="1">
        <f t="array" aca="1" ref="O6" ca="1">IFERROR(_xlfn.XLOOKUP(1,  (Охрана!$A$6:$A$14 = $D6) * 1,  _xlfn.XLOOKUP(1,  (Охрана!$B$5:$M$5 = O$2) * (Охрана!$B$4:$M$4 = $S$2), Охрана!$B$6:$M$14)), "-")</f>
        <v>3394</v>
      </c>
      <c r="P6" s="234" cm="1">
        <f t="array" aca="1" ref="P6" ca="1">IFERROR(_xlfn.XLOOKUP(1,  (Охрана!$A$6:$A$14 = $D6) * 1,  _xlfn.XLOOKUP(1,  (Охрана!$B$5:$M$5 = P$2) * (Охрана!$B$4:$M$4 = $S$2), Охрана!$B$6:$M$14)), "-")</f>
        <v>6801</v>
      </c>
      <c r="Q6" s="286"/>
      <c r="R6" s="4"/>
      <c r="S6" s="7"/>
    </row>
    <row r="7" spans="1:21" ht="15" customHeight="1" thickBot="1" x14ac:dyDescent="0.3">
      <c r="A7" s="223" t="s">
        <v>13</v>
      </c>
      <c r="B7" s="301"/>
      <c r="C7" s="41" t="s">
        <v>35</v>
      </c>
      <c r="D7" s="40" t="s">
        <v>10</v>
      </c>
      <c r="E7" s="150" cm="1">
        <f t="array" ref="E7">IFERROR(_xlfn.XLOOKUP(1, (Фрахт!$A$5:$A$80 = $A7)* (Фрахт!$B$5:$B$80 = $C7) * (Фрахт!$C$5:$C$80 =$D7),  _xlfn.XLOOKUP(1,  (Фрахт!$D$4:$E$4 = E$2) * 1, Фрахт!$D$5:$E$80)) *  $S$1, "-")</f>
        <v>283500</v>
      </c>
      <c r="F7" s="150" cm="1">
        <f t="array" ref="F7">IFERROR(_xlfn.XLOOKUP(1, (Фрахт!$A$5:$A$80 = $A7)* (Фрахт!$B$5:$B$80 = $C7) * (Фрахт!$C$5:$C$80 =$D7),  _xlfn.XLOOKUP(1,  (Фрахт!$D$4:$E$4 = F$2) * 1, Фрахт!$D$5:$E$80)) *  $S$1, "-")</f>
        <v>472500</v>
      </c>
      <c r="G7" s="150" cm="1">
        <f t="array" aca="1" ref="G7" ca="1">IFERROR(_xlfn.XLOOKUP(1,  ('Drop off'!$A$6:$A$14 = $C7) * 1,  _xlfn.XLOOKUP(1,  ('Drop off'!$B$5:$I$5 = G$2) * ('Drop off'!$B$4:$I$4 = $S$2), 'Drop off'!$B$6:$I$14)) * $S$1, "-")</f>
        <v>75600</v>
      </c>
      <c r="H7" s="150" cm="1">
        <f t="array" aca="1" ref="H7" ca="1">IFERROR(_xlfn.XLOOKUP(1,  ('Drop off'!$A$6:$A$14 = $C7) * 1,  _xlfn.XLOOKUP(1,  ('Drop off'!$B$5:$I$5 = H$2) * ('Drop off'!$B$4:$I$4 = $S$2), 'Drop off'!$B$6:$I$14)) * $S$1, "-")</f>
        <v>56700</v>
      </c>
      <c r="I7" s="150" cm="1">
        <f t="array" aca="1" ref="I7" ca="1">IFERROR(_xlfn.XLOOKUP(1,  ('ж.д.'!$A$6:$A$14 = $D7) * 1,  _xlfn.XLOOKUP(1,  ('ж.д.'!$B$5:$M$5 = I$2) * ('ж.д.'!$B$4:$M$4 = $S$2), 'ж.д.'!$B$6:$M$14)), "-")</f>
        <v>125800</v>
      </c>
      <c r="J7" s="150" cm="1">
        <f t="array" aca="1" ref="J7" ca="1">IFERROR(_xlfn.XLOOKUP(1,  ('ж.д.'!$A$6:$A$14 = $D7) * 1,  _xlfn.XLOOKUP(1,  ('ж.д.'!$B$5:$M$5 = J$2) * ('ж.д.'!$B$4:$M$4 = $S$2), 'ж.д.'!$B$6:$M$14)), "-")</f>
        <v>141805</v>
      </c>
      <c r="K7" s="150" cm="1">
        <f t="array" aca="1" ref="K7" ca="1">IFERROR(_xlfn.XLOOKUP(1,  ('ж.д.'!$A$6:$A$14 = $D7) * 1,  _xlfn.XLOOKUP(1,  ('ж.д.'!$B$5:$M$5 = K$2) * ('ж.д.'!$B$4:$M$4 = $S$2), 'ж.д.'!$B$6:$M$14)), "-")</f>
        <v>211100</v>
      </c>
      <c r="L7" s="233" cm="1">
        <f t="array" aca="1" ref="L7" ca="1">IF(ISNUMBER(SEARCH("Транс",$C7)),_xlfn.XLOOKUP(1,('Фрахт Транс'!$A$5:$A$10=$D7)*1,_xlfn.XLOOKUP(1,('Фрахт Транс'!$B$3:$M$3 = $S$2)*('Фрахт Транс'!$B$4:$M$4=L$2),'Фрахт Транс'!$B$5:$M$10)),SUM($E7, $G7, $I7, $O7))</f>
        <v>489044</v>
      </c>
      <c r="M7" s="233" cm="1">
        <f t="array" aca="1" ref="M7" ca="1">IF(ISNUMBER(SEARCH("Транс",$C7)),_xlfn.XLOOKUP(1,('Фрахт Транс'!$A$5:$A$10=$D7)*1,_xlfn.XLOOKUP(1,('Фрахт Транс'!$B$3:$M$3=$S$2)*('Фрахт Транс'!$B$4:$M$4=M$2),'Фрахт Транс'!$B$5:$M$10)),SUM($E7, $G7, $J7, $O7))</f>
        <v>505049</v>
      </c>
      <c r="N7" s="233" cm="1">
        <f t="array" aca="1" ref="N7" ca="1">IF(ISNUMBER(SEARCH("Транс",$C7)),_xlfn.XLOOKUP(1,('Фрахт Транс'!$A$5:$A$10=$D7)*1,_xlfn.XLOOKUP(1,('Фрахт Транс'!$B$3:$M$3=$S$2)*('Фрахт Транс'!$B$4:$M$4=N$2),'Фрахт Транс'!$B$5:$M$10)),SUM($F7, $H7, $K7, $P7))</f>
        <v>747851</v>
      </c>
      <c r="O7" s="233" cm="1">
        <f t="array" aca="1" ref="O7" ca="1">IFERROR(_xlfn.XLOOKUP(1,  (Охрана!$A$6:$A$14 = $D7) * 1,  _xlfn.XLOOKUP(1,  (Охрана!$B$5:$M$5 = O$2) * (Охрана!$B$4:$M$4 = $S$2), Охрана!$B$6:$M$14)), "-")</f>
        <v>4144</v>
      </c>
      <c r="P7" s="234" cm="1">
        <f t="array" aca="1" ref="P7" ca="1">IFERROR(_xlfn.XLOOKUP(1,  (Охрана!$A$6:$A$14 = $D7) * 1,  _xlfn.XLOOKUP(1,  (Охрана!$B$5:$M$5 = P$2) * (Охрана!$B$4:$M$4 = $S$2), Охрана!$B$6:$M$14)), "-")</f>
        <v>7551</v>
      </c>
      <c r="Q7" s="286"/>
      <c r="R7" s="4"/>
      <c r="S7" s="7"/>
    </row>
    <row r="8" spans="1:21" ht="15" customHeight="1" thickBot="1" x14ac:dyDescent="0.3">
      <c r="A8" s="223" t="s">
        <v>13</v>
      </c>
      <c r="B8" s="301"/>
      <c r="C8" s="41" t="s">
        <v>35</v>
      </c>
      <c r="D8" s="40" t="s">
        <v>7</v>
      </c>
      <c r="E8" s="150" cm="1">
        <f t="array" ref="E8">IFERROR(_xlfn.XLOOKUP(1, (Фрахт!$A$5:$A$80 = $A8)* (Фрахт!$B$5:$B$80 = $C8) * (Фрахт!$C$5:$C$80 =$D8),  _xlfn.XLOOKUP(1,  (Фрахт!$D$4:$E$4 = E$2) * 1, Фрахт!$D$5:$E$80)) *  $S$1, "-")</f>
        <v>283500</v>
      </c>
      <c r="F8" s="150" cm="1">
        <f t="array" ref="F8">IFERROR(_xlfn.XLOOKUP(1, (Фрахт!$A$5:$A$80 = $A8)* (Фрахт!$B$5:$B$80 = $C8) * (Фрахт!$C$5:$C$80 =$D8),  _xlfn.XLOOKUP(1,  (Фрахт!$D$4:$E$4 = F$2) * 1, Фрахт!$D$5:$E$80)) *  $S$1, "-")</f>
        <v>472500</v>
      </c>
      <c r="G8" s="150" cm="1">
        <f t="array" aca="1" ref="G8" ca="1">IFERROR(_xlfn.XLOOKUP(1,  ('Drop off'!$A$6:$A$14 = $C8) * 1,  _xlfn.XLOOKUP(1,  ('Drop off'!$B$5:$I$5 = G$2) * ('Drop off'!$B$4:$I$4 = $S$2), 'Drop off'!$B$6:$I$14)) * $S$1, "-")</f>
        <v>75600</v>
      </c>
      <c r="H8" s="150" cm="1">
        <f t="array" aca="1" ref="H8" ca="1">IFERROR(_xlfn.XLOOKUP(1,  ('Drop off'!$A$6:$A$14 = $C8) * 1,  _xlfn.XLOOKUP(1,  ('Drop off'!$B$5:$I$5 = H$2) * ('Drop off'!$B$4:$I$4 = $S$2), 'Drop off'!$B$6:$I$14)) * $S$1, "-")</f>
        <v>56700</v>
      </c>
      <c r="I8" s="150" cm="1">
        <f t="array" aca="1" ref="I8" ca="1">IFERROR(_xlfn.XLOOKUP(1,  ('ж.д.'!$A$6:$A$14 = $D8) * 1,  _xlfn.XLOOKUP(1,  ('ж.д.'!$B$5:$M$5 = I$2) * ('ж.д.'!$B$4:$M$4 = $S$2), 'ж.д.'!$B$6:$M$14)), "-")</f>
        <v>120000</v>
      </c>
      <c r="J8" s="150" cm="1">
        <f t="array" aca="1" ref="J8" ca="1">IFERROR(_xlfn.XLOOKUP(1,  ('ж.д.'!$A$6:$A$14 = $D8) * 1,  _xlfn.XLOOKUP(1,  ('ж.д.'!$B$5:$M$5 = J$2) * ('ж.д.'!$B$4:$M$4 = $S$2), 'ж.д.'!$B$6:$M$14)), "-")</f>
        <v>137000</v>
      </c>
      <c r="K8" s="150" cm="1">
        <f t="array" aca="1" ref="K8" ca="1">IFERROR(_xlfn.XLOOKUP(1,  ('ж.д.'!$A$6:$A$14 = $D8) * 1,  _xlfn.XLOOKUP(1,  ('ж.д.'!$B$5:$M$5 = K$2) * ('ж.д.'!$B$4:$M$4 = $S$2), 'ж.д.'!$B$6:$M$14)), "-")</f>
        <v>200000</v>
      </c>
      <c r="L8" s="233" cm="1">
        <f t="array" aca="1" ref="L8" ca="1">IF(ISNUMBER(SEARCH("Транс",$C8)),_xlfn.XLOOKUP(1,('Фрахт Транс'!$A$5:$A$10=$D8)*1,_xlfn.XLOOKUP(1,('Фрахт Транс'!$B$3:$M$3 = $S$2)*('Фрахт Транс'!$B$4:$M$4=L$2),'Фрахт Транс'!$B$5:$M$10)),SUM($E8, $G8, $I8, $O8))</f>
        <v>483200</v>
      </c>
      <c r="M8" s="233" cm="1">
        <f t="array" aca="1" ref="M8" ca="1">IF(ISNUMBER(SEARCH("Транс",$C8)),_xlfn.XLOOKUP(1,('Фрахт Транс'!$A$5:$A$10=$D8)*1,_xlfn.XLOOKUP(1,('Фрахт Транс'!$B$3:$M$3=$S$2)*('Фрахт Транс'!$B$4:$M$4=M$2),'Фрахт Транс'!$B$5:$M$10)),SUM($E8, $G8, $J8, $O8))</f>
        <v>500200</v>
      </c>
      <c r="N8" s="233" cm="1">
        <f t="array" aca="1" ref="N8" ca="1">IF(ISNUMBER(SEARCH("Транс",$C8)),_xlfn.XLOOKUP(1,('Фрахт Транс'!$A$5:$A$10=$D8)*1,_xlfn.XLOOKUP(1,('Фрахт Транс'!$B$3:$M$3=$S$2)*('Фрахт Транс'!$B$4:$M$4=N$2),'Фрахт Транс'!$B$5:$M$10)),SUM($F8, $H8, $K8, $P8))</f>
        <v>737400</v>
      </c>
      <c r="O8" s="233" cm="1">
        <f t="array" aca="1" ref="O8" ca="1">IFERROR(_xlfn.XLOOKUP(1,  (Охрана!$A$6:$A$14 = $D8) * 1,  _xlfn.XLOOKUP(1,  (Охрана!$B$5:$M$5 = O$2) * (Охрана!$B$4:$M$4 = $S$2), Охрана!$B$6:$M$14)), "-")</f>
        <v>4100</v>
      </c>
      <c r="P8" s="234" cm="1">
        <f t="array" aca="1" ref="P8" ca="1">IFERROR(_xlfn.XLOOKUP(1,  (Охрана!$A$6:$A$14 = $D8) * 1,  _xlfn.XLOOKUP(1,  (Охрана!$B$5:$M$5 = P$2) * (Охрана!$B$4:$M$4 = $S$2), Охрана!$B$6:$M$14)), "-")</f>
        <v>8200</v>
      </c>
      <c r="Q8" s="286"/>
      <c r="R8" s="4"/>
      <c r="S8" s="7"/>
    </row>
    <row r="9" spans="1:21" ht="15" customHeight="1" thickBot="1" x14ac:dyDescent="0.3">
      <c r="A9" s="223" t="s">
        <v>13</v>
      </c>
      <c r="B9" s="301"/>
      <c r="C9" s="50" t="s">
        <v>36</v>
      </c>
      <c r="D9" s="50" t="s">
        <v>21</v>
      </c>
      <c r="E9" s="151" cm="1">
        <f t="array" ref="E9">IFERROR(_xlfn.XLOOKUP(1, (Фрахт!$A$5:$A$80 = $A9)* (Фрахт!$B$5:$B$80 = $C9) * (Фрахт!$C$5:$C$80 =$D9),  _xlfn.XLOOKUP(1,  (Фрахт!$D$4:$E$4 = E$2) * 1, Фрахт!$D$5:$E$80)) *  $S$1, "-")</f>
        <v>260160</v>
      </c>
      <c r="F9" s="151" cm="1">
        <f t="array" ref="F9">IFERROR(_xlfn.XLOOKUP(1, (Фрахт!$A$5:$A$80 = $A9)* (Фрахт!$B$5:$B$80 = $C9) * (Фрахт!$C$5:$C$80 =$D9),  _xlfn.XLOOKUP(1,  (Фрахт!$D$4:$E$4 = F$2) * 1, Фрахт!$D$5:$E$80)) *  $S$1, "-")</f>
        <v>436320</v>
      </c>
      <c r="G9" s="151" cm="1">
        <f t="array" aca="1" ref="G9" ca="1">IFERROR(_xlfn.XLOOKUP(1,  ('Drop off'!$A$6:$A$14 = $C9) * 1,  _xlfn.XLOOKUP(1,  ('Drop off'!$B$5:$I$5 = G$2) * ('Drop off'!$B$4:$I$4 = $S$2), 'Drop off'!$B$6:$I$14)) * $S$1, "-")</f>
        <v>0</v>
      </c>
      <c r="H9" s="151" cm="1">
        <f t="array" aca="1" ref="H9" ca="1">IFERROR(_xlfn.XLOOKUP(1,  ('Drop off'!$A$6:$A$14 = $C9) * 1,  _xlfn.XLOOKUP(1,  ('Drop off'!$B$5:$I$5 = H$2) * ('Drop off'!$B$4:$I$4 = $S$2), 'Drop off'!$B$6:$I$14)) * $S$1, "-")</f>
        <v>0</v>
      </c>
      <c r="I9" s="151" cm="1">
        <f t="array" aca="1" ref="I9" ca="1">IFERROR(_xlfn.XLOOKUP(1,  ('ж.д.'!$A$6:$A$14 = $D9) * 1,  _xlfn.XLOOKUP(1,  ('ж.д.'!$B$5:$M$5 = I$2) * ('ж.д.'!$B$4:$M$4 = $S$2), 'ж.д.'!$B$6:$M$14)), "-")</f>
        <v>107400</v>
      </c>
      <c r="J9" s="151" cm="1">
        <f t="array" aca="1" ref="J9" ca="1">IFERROR(_xlfn.XLOOKUP(1,  ('ж.д.'!$A$6:$A$14 = $D9) * 1,  _xlfn.XLOOKUP(1,  ('ж.д.'!$B$5:$M$5 = J$2) * ('ж.д.'!$B$4:$M$4 = $S$2), 'ж.д.'!$B$6:$M$14)), "-")</f>
        <v>123400</v>
      </c>
      <c r="K9" s="151" cm="1">
        <f t="array" aca="1" ref="K9" ca="1">IFERROR(_xlfn.XLOOKUP(1,  ('ж.д.'!$A$6:$A$14 = $D9) * 1,  _xlfn.XLOOKUP(1,  ('ж.д.'!$B$5:$M$5 = K$2) * ('ж.д.'!$B$4:$M$4 = $S$2), 'ж.д.'!$B$6:$M$14)), "-")</f>
        <v>187400</v>
      </c>
      <c r="L9" s="235" cm="1">
        <f t="array" aca="1" ref="L9" ca="1">IF(ISNUMBER(SEARCH("Транс",$C9)),_xlfn.XLOOKUP(1,('Фрахт Транс'!$A$5:$A$10=$D9)*1,_xlfn.XLOOKUP(1,('Фрахт Транс'!$B$3:$M$3 = $S$2)*('Фрахт Транс'!$B$4:$M$4=L$2),'Фрахт Транс'!$B$5:$M$10)),SUM($E9, $G9, $I9, $O9))</f>
        <v>370954</v>
      </c>
      <c r="M9" s="235" cm="1">
        <f t="array" aca="1" ref="M9" ca="1">IF(ISNUMBER(SEARCH("Транс",$C9)),_xlfn.XLOOKUP(1,('Фрахт Транс'!$A$5:$A$10=$D9)*1,_xlfn.XLOOKUP(1,('Фрахт Транс'!$B$3:$M$3=$S$2)*('Фрахт Транс'!$B$4:$M$4=M$2),'Фрахт Транс'!$B$5:$M$10)),SUM($E9, $G9, $J9, $O9))</f>
        <v>386954</v>
      </c>
      <c r="N9" s="235" cm="1">
        <f t="array" aca="1" ref="N9" ca="1">IF(ISNUMBER(SEARCH("Транс",$C9)),_xlfn.XLOOKUP(1,('Фрахт Транс'!$A$5:$A$10=$D9)*1,_xlfn.XLOOKUP(1,('Фрахт Транс'!$B$3:$M$3=$S$2)*('Фрахт Транс'!$B$4:$M$4=N$2),'Фрахт Транс'!$B$5:$M$10)),SUM($F9, $H9, $K9, $P9))</f>
        <v>630521</v>
      </c>
      <c r="O9" s="235" cm="1">
        <f t="array" aca="1" ref="O9" ca="1">IFERROR(_xlfn.XLOOKUP(1,  (Охрана!$A$6:$A$14 = $D9) * 1,  _xlfn.XLOOKUP(1,  (Охрана!$B$5:$M$5 = O$2) * (Охрана!$B$4:$M$4 = $S$2), Охрана!$B$6:$M$14)), "-")</f>
        <v>3394</v>
      </c>
      <c r="P9" s="236" cm="1">
        <f t="array" aca="1" ref="P9" ca="1">IFERROR(_xlfn.XLOOKUP(1,  (Охрана!$A$6:$A$14 = $D9) * 1,  _xlfn.XLOOKUP(1,  (Охрана!$B$5:$M$5 = P$2) * (Охрана!$B$4:$M$4 = $S$2), Охрана!$B$6:$M$14)), "-")</f>
        <v>6801</v>
      </c>
      <c r="Q9" s="38"/>
      <c r="R9" s="3"/>
      <c r="S9" s="7"/>
    </row>
    <row r="10" spans="1:21" ht="16.5" thickBot="1" x14ac:dyDescent="0.3">
      <c r="A10" s="223" t="s">
        <v>13</v>
      </c>
      <c r="B10" s="301"/>
      <c r="C10" s="44" t="s">
        <v>37</v>
      </c>
      <c r="D10" s="45" t="s">
        <v>11</v>
      </c>
      <c r="E10" s="152" cm="1">
        <f t="array" ref="E10">IFERROR(_xlfn.XLOOKUP(1, (Фрахт!$A$5:$A$80 = $A10)* (Фрахт!$B$5:$B$80 = $C10) * (Фрахт!$C$5:$C$80 =$D10),  _xlfn.XLOOKUP(1,  (Фрахт!$D$4:$E$4 = E$2) * 1, Фрахт!$D$5:$E$80)) *  $S$1, "-")</f>
        <v>216000</v>
      </c>
      <c r="F10" s="152" cm="1">
        <f t="array" ref="F10">IFERROR(_xlfn.XLOOKUP(1, (Фрахт!$A$5:$A$80 = $A10)* (Фрахт!$B$5:$B$80 = $C10) * (Фрахт!$C$5:$C$80 =$D10),  _xlfn.XLOOKUP(1,  (Фрахт!$D$4:$E$4 = F$2) * 1, Фрахт!$D$5:$E$80)) *  $S$1, "-")</f>
        <v>384000</v>
      </c>
      <c r="G10" s="152" cm="1">
        <f t="array" aca="1" ref="G10" ca="1">IFERROR(_xlfn.XLOOKUP(1,  ('Drop off'!$A$6:$A$14 = $C10) * 1,  _xlfn.XLOOKUP(1,  ('Drop off'!$B$5:$I$5 = G$2) * ('Drop off'!$B$4:$I$4 = $S$2), 'Drop off'!$B$6:$I$14)) * $S$1, "-")</f>
        <v>0</v>
      </c>
      <c r="H10" s="152" cm="1">
        <f t="array" aca="1" ref="H10" ca="1">IFERROR(_xlfn.XLOOKUP(1,  ('Drop off'!$A$6:$A$14 = $C10) * 1,  _xlfn.XLOOKUP(1,  ('Drop off'!$B$5:$I$5 = H$2) * ('Drop off'!$B$4:$I$4 = $S$2), 'Drop off'!$B$6:$I$14)) * $S$1, "-")</f>
        <v>0</v>
      </c>
      <c r="I10" s="152" cm="1">
        <f t="array" aca="1" ref="I10" ca="1">IFERROR(_xlfn.XLOOKUP(1,  ('ж.д.'!$A$6:$A$14 = $D10) * 1,  _xlfn.XLOOKUP(1,  ('ж.д.'!$B$5:$M$5 = I$2) * ('ж.д.'!$B$4:$M$4 = $S$2), 'ж.д.'!$B$6:$M$14)), "-")</f>
        <v>124800</v>
      </c>
      <c r="J10" s="152" cm="1">
        <f t="array" aca="1" ref="J10" ca="1">IFERROR(_xlfn.XLOOKUP(1,  ('ж.д.'!$A$6:$A$14 = $D10) * 1,  _xlfn.XLOOKUP(1,  ('ж.д.'!$B$5:$M$5 = J$2) * ('ж.д.'!$B$4:$M$4 = $S$2), 'ж.д.'!$B$6:$M$14)), "-")</f>
        <v>143000</v>
      </c>
      <c r="K10" s="152" cm="1">
        <f t="array" aca="1" ref="K10" ca="1">IFERROR(_xlfn.XLOOKUP(1,  ('ж.д.'!$A$6:$A$14 = $D10) * 1,  _xlfn.XLOOKUP(1,  ('ж.д.'!$B$5:$M$5 = K$2) * ('ж.д.'!$B$4:$M$4 = $S$2), 'ж.д.'!$B$6:$M$14)), "-")</f>
        <v>211800</v>
      </c>
      <c r="L10" s="159" cm="1">
        <f t="array" aca="1" ref="L10" ca="1">IF(ISNUMBER(SEARCH("Транс",$C10)),_xlfn.XLOOKUP(1,('Фрахт Транс'!$A$5:$A$10=$D10)*1,_xlfn.XLOOKUP(1,('Фрахт Транс'!$B$3:$M$3 = $S$2)*('Фрахт Транс'!$B$4:$M$4=L$2),'Фрахт Транс'!$B$5:$M$10)),SUM($E10, $G10, $I10, $O10))</f>
        <v>344194</v>
      </c>
      <c r="M10" s="159" cm="1">
        <f t="array" aca="1" ref="M10" ca="1">IF(ISNUMBER(SEARCH("Транс",$C10)),_xlfn.XLOOKUP(1,('Фрахт Транс'!$A$5:$A$10=$D10)*1,_xlfn.XLOOKUP(1,('Фрахт Транс'!$B$3:$M$3=$S$2)*('Фрахт Транс'!$B$4:$M$4=M$2),'Фрахт Транс'!$B$5:$M$10)),SUM($E10, $G10, $J10, $O10))</f>
        <v>362394</v>
      </c>
      <c r="N10" s="159" cm="1">
        <f t="array" aca="1" ref="N10" ca="1">IF(ISNUMBER(SEARCH("Транс",$C10)),_xlfn.XLOOKUP(1,('Фрахт Транс'!$A$5:$A$10=$D10)*1,_xlfn.XLOOKUP(1,('Фрахт Транс'!$B$3:$M$3=$S$2)*('Фрахт Транс'!$B$4:$M$4=N$2),'Фрахт Транс'!$B$5:$M$10)),SUM($F10, $H10, $K10, $P10))</f>
        <v>602601</v>
      </c>
      <c r="O10" s="159" cm="1">
        <f t="array" aca="1" ref="O10" ca="1">IFERROR(_xlfn.XLOOKUP(1,  (Охрана!$A$6:$A$14 = $D10) * 1,  _xlfn.XLOOKUP(1,  (Охрана!$B$5:$M$5 = O$2) * (Охрана!$B$4:$M$4 = $S$2), Охрана!$B$6:$M$14)), "-")</f>
        <v>3394</v>
      </c>
      <c r="P10" s="205" cm="1">
        <f t="array" aca="1" ref="P10" ca="1">IFERROR(_xlfn.XLOOKUP(1,  (Охрана!$A$6:$A$14 = $D10) * 1,  _xlfn.XLOOKUP(1,  (Охрана!$B$5:$M$5 = P$2) * (Охрана!$B$4:$M$4 = $S$2), Охрана!$B$6:$M$14)), "-")</f>
        <v>6801</v>
      </c>
      <c r="Q10" s="38"/>
      <c r="R10" s="3"/>
      <c r="S10" s="7"/>
    </row>
    <row r="11" spans="1:21" ht="16.5" thickBot="1" x14ac:dyDescent="0.3">
      <c r="A11" s="223" t="s">
        <v>13</v>
      </c>
      <c r="B11" s="302"/>
      <c r="C11" s="81" t="s">
        <v>53</v>
      </c>
      <c r="D11" s="82" t="s">
        <v>7</v>
      </c>
      <c r="E11" s="237" cm="1">
        <f t="array" ref="E11">IFERROR(_xlfn.XLOOKUP(1, (Фрахт!$A$5:$A$80 = $A11)* (Фрахт!$B$5:$B$80 = $C11) * (Фрахт!$C$5:$C$80 =$D11),  _xlfn.XLOOKUP(1,  (Фрахт!$D$4:$E$4 = E$2) * 1, Фрахт!$D$5:$E$80)) *  $S$1, "-")</f>
        <v>315000</v>
      </c>
      <c r="F11" s="237" cm="1">
        <f t="array" ref="F11">IFERROR(_xlfn.XLOOKUP(1, (Фрахт!$A$5:$A$80 = $A11)* (Фрахт!$B$5:$B$80 = $C11) * (Фрахт!$C$5:$C$80 =$D11),  _xlfn.XLOOKUP(1,  (Фрахт!$D$4:$E$4 = F$2) * 1, Фрахт!$D$5:$E$80)) *  $S$1, "-")</f>
        <v>420000</v>
      </c>
      <c r="G11" s="237" cm="1">
        <f t="array" aca="1" ref="G11" ca="1">IFERROR(_xlfn.XLOOKUP(1,  ('Drop off'!$A$6:$A$14 = $C11) * 1,  _xlfn.XLOOKUP(1,  ('Drop off'!$B$5:$I$5 = G$2) * ('Drop off'!$B$4:$I$4 = $S$2), 'Drop off'!$B$6:$I$14)) * $S$1, "-")</f>
        <v>0</v>
      </c>
      <c r="H11" s="237" cm="1">
        <f t="array" aca="1" ref="H11" ca="1">IFERROR(_xlfn.XLOOKUP(1,  ('Drop off'!$A$6:$A$14 = $C11) * 1,  _xlfn.XLOOKUP(1,  ('Drop off'!$B$5:$I$5 = H$2) * ('Drop off'!$B$4:$I$4 = $S$2), 'Drop off'!$B$6:$I$14)) * $S$1, "-")</f>
        <v>0</v>
      </c>
      <c r="I11" s="237" cm="1">
        <f t="array" aca="1" ref="I11" ca="1">IFERROR(_xlfn.XLOOKUP(1,  ('ж.д.'!$A$6:$A$14 = $D11) * 1,  _xlfn.XLOOKUP(1,  ('ж.д.'!$B$5:$M$5 = I$2) * ('ж.д.'!$B$4:$M$4 = $S$2), 'ж.д.'!$B$6:$M$14)), "-")</f>
        <v>120000</v>
      </c>
      <c r="J11" s="237" cm="1">
        <f t="array" aca="1" ref="J11" ca="1">IFERROR(_xlfn.XLOOKUP(1,  ('ж.д.'!$A$6:$A$14 = $D11) * 1,  _xlfn.XLOOKUP(1,  ('ж.д.'!$B$5:$M$5 = J$2) * ('ж.д.'!$B$4:$M$4 = $S$2), 'ж.д.'!$B$6:$M$14)), "-")</f>
        <v>137000</v>
      </c>
      <c r="K11" s="237" cm="1">
        <f t="array" aca="1" ref="K11" ca="1">IFERROR(_xlfn.XLOOKUP(1,  ('ж.д.'!$A$6:$A$14 = $D11) * 1,  _xlfn.XLOOKUP(1,  ('ж.д.'!$B$5:$M$5 = K$2) * ('ж.д.'!$B$4:$M$4 = $S$2), 'ж.д.'!$B$6:$M$14)), "-")</f>
        <v>200000</v>
      </c>
      <c r="L11" s="237" cm="1">
        <f t="array" aca="1" ref="L11" ca="1">IF(ISNUMBER(SEARCH("Транс",$C11)),_xlfn.XLOOKUP(1,('Фрахт Транс'!$A$5:$A$10=$D11)*1,_xlfn.XLOOKUP(1,('Фрахт Транс'!$B$3:$M$3 = $S$2)*('Фрахт Транс'!$B$4:$M$4=L$2),'Фрахт Транс'!$B$5:$M$10)),SUM($E11, $G11, $I11, $O11))</f>
        <v>439100</v>
      </c>
      <c r="M11" s="237" cm="1">
        <f t="array" aca="1" ref="M11" ca="1">IF(ISNUMBER(SEARCH("Транс",$C11)),_xlfn.XLOOKUP(1,('Фрахт Транс'!$A$5:$A$10=$D11)*1,_xlfn.XLOOKUP(1,('Фрахт Транс'!$B$3:$M$3=$S$2)*('Фрахт Транс'!$B$4:$M$4=M$2),'Фрахт Транс'!$B$5:$M$10)),SUM($E11, $G11, $J11, $O11))</f>
        <v>456100</v>
      </c>
      <c r="N11" s="238" cm="1">
        <f t="array" aca="1" ref="N11" ca="1">IF(ISNUMBER(SEARCH("Транс",$C11)),_xlfn.XLOOKUP(1,('Фрахт Транс'!$A$5:$A$10=$D11)*1,_xlfn.XLOOKUP(1,('Фрахт Транс'!$B$3:$M$3=$S$2)*('Фрахт Транс'!$B$4:$M$4=N$2),'Фрахт Транс'!$B$5:$M$10)),SUM($F11, $H11, $K11, $P11))</f>
        <v>628200</v>
      </c>
      <c r="O11" s="238" cm="1">
        <f t="array" aca="1" ref="O11" ca="1">IFERROR(_xlfn.XLOOKUP(1,  (Охрана!$A$6:$A$14 = $D11) * 1,  _xlfn.XLOOKUP(1,  (Охрана!$B$5:$M$5 = O$2) * (Охрана!$B$4:$M$4 = $S$2), Охрана!$B$6:$M$14)), "-")</f>
        <v>4100</v>
      </c>
      <c r="P11" s="239" cm="1">
        <f t="array" aca="1" ref="P11" ca="1">IFERROR(_xlfn.XLOOKUP(1,  (Охрана!$A$6:$A$14 = $D11) * 1,  _xlfn.XLOOKUP(1,  (Охрана!$B$5:$M$5 = P$2) * (Охрана!$B$4:$M$4 = $S$2), Охрана!$B$6:$M$14)), "-")</f>
        <v>8200</v>
      </c>
      <c r="Q11" s="38"/>
      <c r="R11" s="3"/>
      <c r="S11" s="7"/>
    </row>
    <row r="12" spans="1:21" ht="30.75" thickBot="1" x14ac:dyDescent="0.3">
      <c r="A12" s="224" t="s">
        <v>14</v>
      </c>
      <c r="B12" s="294" t="s">
        <v>14</v>
      </c>
      <c r="C12" s="63" t="s">
        <v>43</v>
      </c>
      <c r="D12" s="64" t="s">
        <v>45</v>
      </c>
      <c r="E12" s="148" t="str" cm="1">
        <f t="array" ref="E12">IFERROR(_xlfn.XLOOKUP(1, (Фрахт!$A$5:$A$80 = $A12)* (Фрахт!$B$5:$B$80 = $C12) * (Фрахт!$C$5:$C$80 =$D12),  _xlfn.XLOOKUP(1,  (Фрахт!$D$4:$E$4 = E$2) * 1, Фрахт!$D$5:$E$80)) *  $S$1, "-")</f>
        <v>-</v>
      </c>
      <c r="F12" s="148" t="str" cm="1">
        <f t="array" ref="F12">IFERROR(_xlfn.XLOOKUP(1, (Фрахт!$A$5:$A$80 = $A12)* (Фрахт!$B$5:$B$80 = $C12) * (Фрахт!$C$5:$C$80 =$D12),  _xlfn.XLOOKUP(1,  (Фрахт!$D$4:$E$4 = F$2) * 1, Фрахт!$D$5:$E$80)) *  $S$1, "-")</f>
        <v>-</v>
      </c>
      <c r="G12" s="148" cm="1">
        <f t="array" aca="1" ref="G12" ca="1">IFERROR(_xlfn.XLOOKUP(1,  ('Drop off'!$A$6:$A$14 = $C12) * 1,  _xlfn.XLOOKUP(1,  ('Drop off'!$B$5:$I$5 = G$2) * ('Drop off'!$B$4:$I$4 = $S$2), 'Drop off'!$B$6:$I$14)) * $S$1, "-")</f>
        <v>0</v>
      </c>
      <c r="H12" s="148" cm="1">
        <f t="array" aca="1" ref="H12" ca="1">IFERROR(_xlfn.XLOOKUP(1,  ('Drop off'!$A$6:$A$14 = $C12) * 1,  _xlfn.XLOOKUP(1,  ('Drop off'!$B$5:$I$5 = H$2) * ('Drop off'!$B$4:$I$4 = $S$2), 'Drop off'!$B$6:$I$14)) * $S$1, "-")</f>
        <v>0</v>
      </c>
      <c r="I12" s="148" t="str" cm="1">
        <f t="array" aca="1" ref="I12" ca="1">IFERROR(_xlfn.XLOOKUP(1,  ('ж.д.'!$A$6:$A$14 = $D12) * 1,  _xlfn.XLOOKUP(1,  ('ж.д.'!$B$5:$M$5 = I$2) * ('ж.д.'!$B$4:$M$4 = $S$2), 'ж.д.'!$B$6:$M$14)), "-")</f>
        <v>-</v>
      </c>
      <c r="J12" s="148" t="str" cm="1">
        <f t="array" aca="1" ref="J12" ca="1">IFERROR(_xlfn.XLOOKUP(1,  ('ж.д.'!$A$6:$A$14 = $D12) * 1,  _xlfn.XLOOKUP(1,  ('ж.д.'!$B$5:$M$5 = J$2) * ('ж.д.'!$B$4:$M$4 = $S$2), 'ж.д.'!$B$6:$M$14)), "-")</f>
        <v>-</v>
      </c>
      <c r="K12" s="148" t="str" cm="1">
        <f t="array" aca="1" ref="K12" ca="1">IFERROR(_xlfn.XLOOKUP(1,  ('ж.д.'!$A$6:$A$14 = $D12) * 1,  _xlfn.XLOOKUP(1,  ('ж.д.'!$B$5:$M$5 = K$2) * ('ж.д.'!$B$4:$M$4 = $S$2), 'ж.д.'!$B$6:$M$14)), "-")</f>
        <v>-</v>
      </c>
      <c r="L12" s="192" cm="1">
        <f t="array" aca="1" ref="L12" ca="1">IF(ISNUMBER(SEARCH("Транс",$C12)),_xlfn.XLOOKUP(1,('Фрахт Транс'!$A$5:$A$10=$D12)*1,_xlfn.XLOOKUP(1,('Фрахт Транс'!$B$3:$M$3 = $S$2)*('Фрахт Транс'!$B$4:$M$4=L$2),'Фрахт Транс'!$B$5:$M$10)),SUM($E12, $G12, $I12, $O12))</f>
        <v>346960</v>
      </c>
      <c r="M12" s="192" cm="1">
        <f t="array" aca="1" ref="M12" ca="1">IF(ISNUMBER(SEARCH("Транс",$C12)),_xlfn.XLOOKUP(1,('Фрахт Транс'!$A$5:$A$10=$D12)*1,_xlfn.XLOOKUP(1,('Фрахт Транс'!$B$3:$M$3=$S$2)*('Фрахт Транс'!$B$4:$M$4=M$2),'Фрахт Транс'!$B$5:$M$10)),SUM($E12, $G12, $J12, $O12))</f>
        <v>364952</v>
      </c>
      <c r="N12" s="192" cm="1">
        <f t="array" aca="1" ref="N12" ca="1">IF(ISNUMBER(SEARCH("Транс",$C12)),_xlfn.XLOOKUP(1,('Фрахт Транс'!$A$5:$A$10=$D12)*1,_xlfn.XLOOKUP(1,('Фрахт Транс'!$B$3:$M$3=$S$2)*('Фрахт Транс'!$B$4:$M$4=N$2),'Фрахт Транс'!$B$5:$M$10)),SUM($F12, $H12, $K12, $P12))</f>
        <v>527213</v>
      </c>
      <c r="O12" s="192" t="str" cm="1">
        <f t="array" aca="1" ref="O12" ca="1">IFERROR(_xlfn.XLOOKUP(1,  (Охрана!$A$6:$A$14 = $D12) * 1,  _xlfn.XLOOKUP(1,  (Охрана!$B$5:$M$5 = O$2) * (Охрана!$B$4:$M$4 = $S$2), Охрана!$B$6:$M$14)), "-")</f>
        <v>-</v>
      </c>
      <c r="P12" s="193" t="str" cm="1">
        <f t="array" aca="1" ref="P12" ca="1">IFERROR(_xlfn.XLOOKUP(1,  (Охрана!$A$6:$A$14 = $D12) * 1,  _xlfn.XLOOKUP(1,  (Охрана!$B$5:$M$5 = P$2) * (Охрана!$B$4:$M$4 = $S$2), Охрана!$B$6:$M$14)), "-")</f>
        <v>-</v>
      </c>
      <c r="Q12" s="38"/>
      <c r="R12" s="6"/>
      <c r="S12" s="7"/>
    </row>
    <row r="13" spans="1:21" thickBot="1" x14ac:dyDescent="0.3">
      <c r="A13" s="224" t="s">
        <v>14</v>
      </c>
      <c r="B13" s="295"/>
      <c r="C13" s="42" t="s">
        <v>12</v>
      </c>
      <c r="D13" s="32" t="s">
        <v>30</v>
      </c>
      <c r="E13" s="149" cm="1">
        <f t="array" ref="E13">IFERROR(_xlfn.XLOOKUP(1, (Фрахт!$A$5:$A$80 = $A13)* (Фрахт!$B$5:$B$80 = $C13) * (Фрахт!$C$5:$C$80 =$D13),  _xlfn.XLOOKUP(1,  (Фрахт!$D$4:$E$4 = E$2) * 1, Фрахт!$D$5:$E$80)) *  $S$1, "-")</f>
        <v>330000</v>
      </c>
      <c r="F13" s="149" cm="1">
        <f t="array" ref="F13">IFERROR(_xlfn.XLOOKUP(1, (Фрахт!$A$5:$A$80 = $A13)* (Фрахт!$B$5:$B$80 = $C13) * (Фрахт!$C$5:$C$80 =$D13),  _xlfn.XLOOKUP(1,  (Фрахт!$D$4:$E$4 = F$2) * 1, Фрахт!$D$5:$E$80)) *  $S$1, "-")</f>
        <v>450000</v>
      </c>
      <c r="G13" s="149" cm="1">
        <f t="array" aca="1" ref="G13" ca="1">IFERROR(_xlfn.XLOOKUP(1,  ('Drop off'!$A$6:$A$14 = $C13) * 1,  _xlfn.XLOOKUP(1,  ('Drop off'!$B$5:$I$5 = G$2) * ('Drop off'!$B$4:$I$4 = $S$2), 'Drop off'!$B$6:$I$14)) * $S$1, "-")</f>
        <v>0</v>
      </c>
      <c r="H13" s="149" cm="1">
        <f t="array" aca="1" ref="H13" ca="1">IFERROR(_xlfn.XLOOKUP(1,  ('Drop off'!$A$6:$A$14 = $C13) * 1,  _xlfn.XLOOKUP(1,  ('Drop off'!$B$5:$I$5 = H$2) * ('Drop off'!$B$4:$I$4 = $S$2), 'Drop off'!$B$6:$I$14)) * $S$1, "-")</f>
        <v>0</v>
      </c>
      <c r="I13" s="149" cm="1">
        <f t="array" aca="1" ref="I13" ca="1">IFERROR(_xlfn.XLOOKUP(1,  ('ж.д.'!$A$6:$A$14 = $D13) * 1,  _xlfn.XLOOKUP(1,  ('ж.д.'!$B$5:$M$5 = I$2) * ('ж.д.'!$B$4:$M$4 = $S$2), 'ж.д.'!$B$6:$M$14)), "-")</f>
        <v>144300</v>
      </c>
      <c r="J13" s="149" cm="1">
        <f t="array" aca="1" ref="J13" ca="1">IFERROR(_xlfn.XLOOKUP(1,  ('ж.д.'!$A$6:$A$14 = $D13) * 1,  _xlfn.XLOOKUP(1,  ('ж.д.'!$B$5:$M$5 = J$2) * ('ж.д.'!$B$4:$M$4 = $S$2), 'ж.д.'!$B$6:$M$14)), "-")</f>
        <v>160305</v>
      </c>
      <c r="K13" s="149" cm="1">
        <f t="array" aca="1" ref="K13" ca="1">IFERROR(_xlfn.XLOOKUP(1,  ('ж.д.'!$A$6:$A$14 = $D13) * 1,  _xlfn.XLOOKUP(1,  ('ж.д.'!$B$5:$M$5 = K$2) * ('ж.д.'!$B$4:$M$4 = $S$2), 'ж.д.'!$B$6:$M$14)), "-")</f>
        <v>247100</v>
      </c>
      <c r="L13" s="231" cm="1">
        <f t="array" aca="1" ref="L13" ca="1">IF(ISNUMBER(SEARCH("Транс",$C13)),_xlfn.XLOOKUP(1,('Фрахт Транс'!$A$5:$A$10=$D13)*1,_xlfn.XLOOKUP(1,('Фрахт Транс'!$B$3:$M$3 = $S$2)*('Фрахт Транс'!$B$4:$M$4=L$2),'Фрахт Транс'!$B$5:$M$10)),SUM($E13, $G13, $I13, $O13))</f>
        <v>478444</v>
      </c>
      <c r="M13" s="231" cm="1">
        <f t="array" aca="1" ref="M13" ca="1">IF(ISNUMBER(SEARCH("Транс",$C13)),_xlfn.XLOOKUP(1,('Фрахт Транс'!$A$5:$A$10=$D13)*1,_xlfn.XLOOKUP(1,('Фрахт Транс'!$B$3:$M$3=$S$2)*('Фрахт Транс'!$B$4:$M$4=M$2),'Фрахт Транс'!$B$5:$M$10)),SUM($E13, $G13, $J13, $O13))</f>
        <v>494449</v>
      </c>
      <c r="N13" s="231" cm="1">
        <f t="array" aca="1" ref="N13" ca="1">IF(ISNUMBER(SEARCH("Транс",$C13)),_xlfn.XLOOKUP(1,('Фрахт Транс'!$A$5:$A$10=$D13)*1,_xlfn.XLOOKUP(1,('Фрахт Транс'!$B$3:$M$3=$S$2)*('Фрахт Транс'!$B$4:$M$4=N$2),'Фрахт Транс'!$B$5:$M$10)),SUM($F13, $H13, $K13, $P13))</f>
        <v>704651</v>
      </c>
      <c r="O13" s="231" cm="1">
        <f t="array" aca="1" ref="O13" ca="1">IFERROR(_xlfn.XLOOKUP(1,  (Охрана!$A$6:$A$14 = $D13) * 1,  _xlfn.XLOOKUP(1,  (Охрана!$B$5:$M$5 = O$2) * (Охрана!$B$4:$M$4 = $S$2), Охрана!$B$6:$M$14)), "-")</f>
        <v>4144</v>
      </c>
      <c r="P13" s="232" cm="1">
        <f t="array" aca="1" ref="P13" ca="1">IFERROR(_xlfn.XLOOKUP(1,  (Охрана!$A$6:$A$14 = $D13) * 1,  _xlfn.XLOOKUP(1,  (Охрана!$B$5:$M$5 = P$2) * (Охрана!$B$4:$M$4 = $S$2), Охрана!$B$6:$M$14)), "-")</f>
        <v>7551</v>
      </c>
      <c r="Q13" s="282"/>
      <c r="R13" s="91"/>
      <c r="S13" s="1"/>
    </row>
    <row r="14" spans="1:21" thickBot="1" x14ac:dyDescent="0.3">
      <c r="A14" s="224" t="s">
        <v>14</v>
      </c>
      <c r="B14" s="295"/>
      <c r="C14" s="42" t="s">
        <v>12</v>
      </c>
      <c r="D14" s="32" t="s">
        <v>55</v>
      </c>
      <c r="E14" s="149" cm="1">
        <f t="array" ref="E14">IFERROR(_xlfn.XLOOKUP(1, (Фрахт!$A$5:$A$80 = $A14)* (Фрахт!$B$5:$B$80 = $C14) * (Фрахт!$C$5:$C$80 =$D14),  _xlfn.XLOOKUP(1,  (Фрахт!$D$4:$E$4 = E$2) * 1, Фрахт!$D$5:$E$80)) *  $S$1, "-")</f>
        <v>330000</v>
      </c>
      <c r="F14" s="149" cm="1">
        <f t="array" ref="F14">IFERROR(_xlfn.XLOOKUP(1, (Фрахт!$A$5:$A$80 = $A14)* (Фрахт!$B$5:$B$80 = $C14) * (Фрахт!$C$5:$C$80 =$D14),  _xlfn.XLOOKUP(1,  (Фрахт!$D$4:$E$4 = F$2) * 1, Фрахт!$D$5:$E$80)) *  $S$1, "-")</f>
        <v>450000</v>
      </c>
      <c r="G14" s="149" cm="1">
        <f t="array" aca="1" ref="G14" ca="1">IFERROR(_xlfn.XLOOKUP(1,  ('Drop off'!$A$6:$A$14 = $C14) * 1,  _xlfn.XLOOKUP(1,  ('Drop off'!$B$5:$I$5 = G$2) * ('Drop off'!$B$4:$I$4 = $S$2), 'Drop off'!$B$6:$I$14)) * $S$1, "-")</f>
        <v>0</v>
      </c>
      <c r="H14" s="149" cm="1">
        <f t="array" aca="1" ref="H14" ca="1">IFERROR(_xlfn.XLOOKUP(1,  ('Drop off'!$A$6:$A$14 = $C14) * 1,  _xlfn.XLOOKUP(1,  ('Drop off'!$B$5:$I$5 = H$2) * ('Drop off'!$B$4:$I$4 = $S$2), 'Drop off'!$B$6:$I$14)) * $S$1, "-")</f>
        <v>0</v>
      </c>
      <c r="I14" s="149" cm="1">
        <f t="array" aca="1" ref="I14" ca="1">IFERROR(_xlfn.XLOOKUP(1,  ('ж.д.'!$A$6:$A$14 = $D14) * 1,  _xlfn.XLOOKUP(1,  ('ж.д.'!$B$5:$M$5 = I$2) * ('ж.д.'!$B$4:$M$4 = $S$2), 'ж.д.'!$B$6:$M$14)), "-")</f>
        <v>150590</v>
      </c>
      <c r="J14" s="149" cm="1">
        <f t="array" aca="1" ref="J14" ca="1">IFERROR(_xlfn.XLOOKUP(1,  ('ж.д.'!$A$6:$A$14 = $D14) * 1,  _xlfn.XLOOKUP(1,  ('ж.д.'!$B$5:$M$5 = J$2) * ('ж.д.'!$B$4:$M$4 = $S$2), 'ж.д.'!$B$6:$M$14)), "-")</f>
        <v>168355</v>
      </c>
      <c r="K14" s="149" cm="1">
        <f t="array" aca="1" ref="K14" ca="1">IFERROR(_xlfn.XLOOKUP(1,  ('ж.д.'!$A$6:$A$14 = $D14) * 1,  _xlfn.XLOOKUP(1,  ('ж.д.'!$B$5:$M$5 = K$2) * ('ж.д.'!$B$4:$M$4 = $S$2), 'ж.д.'!$B$6:$M$14)), "-")</f>
        <v>259240</v>
      </c>
      <c r="L14" s="231" cm="1">
        <f t="array" aca="1" ref="L14" ca="1">IF(ISNUMBER(SEARCH("Транс",$C14)),_xlfn.XLOOKUP(1,('Фрахт Транс'!$A$5:$A$10=$D14)*1,_xlfn.XLOOKUP(1,('Фрахт Транс'!$B$3:$M$3 = $S$2)*('Фрахт Транс'!$B$4:$M$4=L$2),'Фрахт Транс'!$B$5:$M$10)),SUM($E14, $G14, $I14, $O14))</f>
        <v>484734</v>
      </c>
      <c r="M14" s="231" cm="1">
        <f t="array" aca="1" ref="M14" ca="1">IF(ISNUMBER(SEARCH("Транс",$C14)),_xlfn.XLOOKUP(1,('Фрахт Транс'!$A$5:$A$10=$D14)*1,_xlfn.XLOOKUP(1,('Фрахт Транс'!$B$3:$M$3=$S$2)*('Фрахт Транс'!$B$4:$M$4=M$2),'Фрахт Транс'!$B$5:$M$10)),SUM($E14, $G14, $J14, $O14))</f>
        <v>502499</v>
      </c>
      <c r="N14" s="231" cm="1">
        <f t="array" aca="1" ref="N14" ca="1">IF(ISNUMBER(SEARCH("Транс",$C14)),_xlfn.XLOOKUP(1,('Фрахт Транс'!$A$5:$A$10=$D14)*1,_xlfn.XLOOKUP(1,('Фрахт Транс'!$B$3:$M$3=$S$2)*('Фрахт Транс'!$B$4:$M$4=N$2),'Фрахт Транс'!$B$5:$M$10)),SUM($F14, $H14, $K14, $P14))</f>
        <v>716791</v>
      </c>
      <c r="O14" s="231" cm="1">
        <f t="array" aca="1" ref="O14" ca="1">IFERROR(_xlfn.XLOOKUP(1,  (Охрана!$A$6:$A$14 = $D14) * 1,  _xlfn.XLOOKUP(1,  (Охрана!$B$5:$M$5 = O$2) * (Охрана!$B$4:$M$4 = $S$2), Охрана!$B$6:$M$14)), "-")</f>
        <v>4144</v>
      </c>
      <c r="P14" s="232" cm="1">
        <f t="array" aca="1" ref="P14" ca="1">IFERROR(_xlfn.XLOOKUP(1,  (Охрана!$A$6:$A$14 = $D14) * 1,  _xlfn.XLOOKUP(1,  (Охрана!$B$5:$M$5 = P$2) * (Охрана!$B$4:$M$4 = $S$2), Охрана!$B$6:$M$14)), "-")</f>
        <v>7551</v>
      </c>
      <c r="Q14" s="282"/>
      <c r="R14" s="3"/>
      <c r="S14" s="1"/>
    </row>
    <row r="15" spans="1:21" ht="15" customHeight="1" thickBot="1" x14ac:dyDescent="0.3">
      <c r="A15" s="224" t="s">
        <v>14</v>
      </c>
      <c r="B15" s="295"/>
      <c r="C15" s="41" t="s">
        <v>35</v>
      </c>
      <c r="D15" s="40" t="s">
        <v>11</v>
      </c>
      <c r="E15" s="150" cm="1">
        <f t="array" ref="E15">IFERROR(_xlfn.XLOOKUP(1, (Фрахт!$A$5:$A$80 = $A15)* (Фрахт!$B$5:$B$80 = $C15) * (Фрахт!$C$5:$C$80 =$D15),  _xlfn.XLOOKUP(1,  (Фрахт!$D$4:$E$4 = E$2) * 1, Фрахт!$D$5:$E$80)) *  $S$1, "-")</f>
        <v>283500</v>
      </c>
      <c r="F15" s="150" cm="1">
        <f t="array" ref="F15">IFERROR(_xlfn.XLOOKUP(1, (Фрахт!$A$5:$A$80 = $A15)* (Фрахт!$B$5:$B$80 = $C15) * (Фрахт!$C$5:$C$80 =$D15),  _xlfn.XLOOKUP(1,  (Фрахт!$D$4:$E$4 = F$2) * 1, Фрахт!$D$5:$E$80)) *  $S$1, "-")</f>
        <v>472500</v>
      </c>
      <c r="G15" s="150" cm="1">
        <f t="array" aca="1" ref="G15" ca="1">IFERROR(_xlfn.XLOOKUP(1,  ('Drop off'!$A$6:$A$14 = $C15) * 1,  _xlfn.XLOOKUP(1,  ('Drop off'!$B$5:$I$5 = G$2) * ('Drop off'!$B$4:$I$4 = $S$2), 'Drop off'!$B$6:$I$14)) * $S$1, "-")</f>
        <v>75600</v>
      </c>
      <c r="H15" s="150" cm="1">
        <f t="array" aca="1" ref="H15" ca="1">IFERROR(_xlfn.XLOOKUP(1,  ('Drop off'!$A$6:$A$14 = $C15) * 1,  _xlfn.XLOOKUP(1,  ('Drop off'!$B$5:$I$5 = H$2) * ('Drop off'!$B$4:$I$4 = $S$2), 'Drop off'!$B$6:$I$14)) * $S$1, "-")</f>
        <v>56700</v>
      </c>
      <c r="I15" s="150" cm="1">
        <f t="array" aca="1" ref="I15" ca="1">IFERROR(_xlfn.XLOOKUP(1,  ('ж.д.'!$A$6:$A$14 = $D15) * 1,  _xlfn.XLOOKUP(1,  ('ж.д.'!$B$5:$M$5 = I$2) * ('ж.д.'!$B$4:$M$4 = $S$2), 'ж.д.'!$B$6:$M$14)), "-")</f>
        <v>124800</v>
      </c>
      <c r="J15" s="150" cm="1">
        <f t="array" aca="1" ref="J15" ca="1">IFERROR(_xlfn.XLOOKUP(1,  ('ж.д.'!$A$6:$A$14 = $D15) * 1,  _xlfn.XLOOKUP(1,  ('ж.д.'!$B$5:$M$5 = J$2) * ('ж.д.'!$B$4:$M$4 = $S$2), 'ж.д.'!$B$6:$M$14)), "-")</f>
        <v>143000</v>
      </c>
      <c r="K15" s="150" cm="1">
        <f t="array" aca="1" ref="K15" ca="1">IFERROR(_xlfn.XLOOKUP(1,  ('ж.д.'!$A$6:$A$14 = $D15) * 1,  _xlfn.XLOOKUP(1,  ('ж.д.'!$B$5:$M$5 = K$2) * ('ж.д.'!$B$4:$M$4 = $S$2), 'ж.д.'!$B$6:$M$14)), "-")</f>
        <v>211800</v>
      </c>
      <c r="L15" s="233" cm="1">
        <f t="array" aca="1" ref="L15" ca="1">IF(ISNUMBER(SEARCH("Транс",$C15)),_xlfn.XLOOKUP(1,('Фрахт Транс'!$A$5:$A$10=$D15)*1,_xlfn.XLOOKUP(1,('Фрахт Транс'!$B$3:$M$3 = $S$2)*('Фрахт Транс'!$B$4:$M$4=L$2),'Фрахт Транс'!$B$5:$M$10)),SUM($E15, $G15, $I15, $O15))</f>
        <v>487294</v>
      </c>
      <c r="M15" s="233" cm="1">
        <f t="array" aca="1" ref="M15" ca="1">IF(ISNUMBER(SEARCH("Транс",$C15)),_xlfn.XLOOKUP(1,('Фрахт Транс'!$A$5:$A$10=$D15)*1,_xlfn.XLOOKUP(1,('Фрахт Транс'!$B$3:$M$3=$S$2)*('Фрахт Транс'!$B$4:$M$4=M$2),'Фрахт Транс'!$B$5:$M$10)),SUM($E15, $G15, $J15, $O15))</f>
        <v>505494</v>
      </c>
      <c r="N15" s="233" cm="1">
        <f t="array" aca="1" ref="N15" ca="1">IF(ISNUMBER(SEARCH("Транс",$C15)),_xlfn.XLOOKUP(1,('Фрахт Транс'!$A$5:$A$10=$D15)*1,_xlfn.XLOOKUP(1,('Фрахт Транс'!$B$3:$M$3=$S$2)*('Фрахт Транс'!$B$4:$M$4=N$2),'Фрахт Транс'!$B$5:$M$10)),SUM($F15, $H15, $K15, $P15))</f>
        <v>747801</v>
      </c>
      <c r="O15" s="233" cm="1">
        <f t="array" aca="1" ref="O15" ca="1">IFERROR(_xlfn.XLOOKUP(1,  (Охрана!$A$6:$A$14 = $D15) * 1,  _xlfn.XLOOKUP(1,  (Охрана!$B$5:$M$5 = O$2) * (Охрана!$B$4:$M$4 = $S$2), Охрана!$B$6:$M$14)), "-")</f>
        <v>3394</v>
      </c>
      <c r="P15" s="234" cm="1">
        <f t="array" aca="1" ref="P15" ca="1">IFERROR(_xlfn.XLOOKUP(1,  (Охрана!$A$6:$A$14 = $D15) * 1,  _xlfn.XLOOKUP(1,  (Охрана!$B$5:$M$5 = P$2) * (Охрана!$B$4:$M$4 = $S$2), Охрана!$B$6:$M$14)), "-")</f>
        <v>6801</v>
      </c>
      <c r="Q15" s="286"/>
      <c r="R15" s="4"/>
      <c r="S15" s="1"/>
    </row>
    <row r="16" spans="1:21" ht="15" customHeight="1" thickBot="1" x14ac:dyDescent="0.3">
      <c r="A16" s="224" t="s">
        <v>14</v>
      </c>
      <c r="B16" s="295"/>
      <c r="C16" s="41" t="s">
        <v>35</v>
      </c>
      <c r="D16" s="40" t="s">
        <v>10</v>
      </c>
      <c r="E16" s="150" cm="1">
        <f t="array" ref="E16">IFERROR(_xlfn.XLOOKUP(1, (Фрахт!$A$5:$A$80 = $A16)* (Фрахт!$B$5:$B$80 = $C16) * (Фрахт!$C$5:$C$80 =$D16),  _xlfn.XLOOKUP(1,  (Фрахт!$D$4:$E$4 = E$2) * 1, Фрахт!$D$5:$E$80)) *  $S$1, "-")</f>
        <v>283500</v>
      </c>
      <c r="F16" s="150" cm="1">
        <f t="array" ref="F16">IFERROR(_xlfn.XLOOKUP(1, (Фрахт!$A$5:$A$80 = $A16)* (Фрахт!$B$5:$B$80 = $C16) * (Фрахт!$C$5:$C$80 =$D16),  _xlfn.XLOOKUP(1,  (Фрахт!$D$4:$E$4 = F$2) * 1, Фрахт!$D$5:$E$80)) *  $S$1, "-")</f>
        <v>472500</v>
      </c>
      <c r="G16" s="150" cm="1">
        <f t="array" aca="1" ref="G16" ca="1">IFERROR(_xlfn.XLOOKUP(1,  ('Drop off'!$A$6:$A$14 = $C16) * 1,  _xlfn.XLOOKUP(1,  ('Drop off'!$B$5:$I$5 = G$2) * ('Drop off'!$B$4:$I$4 = $S$2), 'Drop off'!$B$6:$I$14)) * $S$1, "-")</f>
        <v>75600</v>
      </c>
      <c r="H16" s="150" cm="1">
        <f t="array" aca="1" ref="H16" ca="1">IFERROR(_xlfn.XLOOKUP(1,  ('Drop off'!$A$6:$A$14 = $C16) * 1,  _xlfn.XLOOKUP(1,  ('Drop off'!$B$5:$I$5 = H$2) * ('Drop off'!$B$4:$I$4 = $S$2), 'Drop off'!$B$6:$I$14)) * $S$1, "-")</f>
        <v>56700</v>
      </c>
      <c r="I16" s="150" cm="1">
        <f t="array" aca="1" ref="I16" ca="1">IFERROR(_xlfn.XLOOKUP(1,  ('ж.д.'!$A$6:$A$14 = $D16) * 1,  _xlfn.XLOOKUP(1,  ('ж.д.'!$B$5:$M$5 = I$2) * ('ж.д.'!$B$4:$M$4 = $S$2), 'ж.д.'!$B$6:$M$14)), "-")</f>
        <v>125800</v>
      </c>
      <c r="J16" s="150" cm="1">
        <f t="array" aca="1" ref="J16" ca="1">IFERROR(_xlfn.XLOOKUP(1,  ('ж.д.'!$A$6:$A$14 = $D16) * 1,  _xlfn.XLOOKUP(1,  ('ж.д.'!$B$5:$M$5 = J$2) * ('ж.д.'!$B$4:$M$4 = $S$2), 'ж.д.'!$B$6:$M$14)), "-")</f>
        <v>141805</v>
      </c>
      <c r="K16" s="150" cm="1">
        <f t="array" aca="1" ref="K16" ca="1">IFERROR(_xlfn.XLOOKUP(1,  ('ж.д.'!$A$6:$A$14 = $D16) * 1,  _xlfn.XLOOKUP(1,  ('ж.д.'!$B$5:$M$5 = K$2) * ('ж.д.'!$B$4:$M$4 = $S$2), 'ж.д.'!$B$6:$M$14)), "-")</f>
        <v>211100</v>
      </c>
      <c r="L16" s="233" cm="1">
        <f t="array" aca="1" ref="L16" ca="1">IF(ISNUMBER(SEARCH("Транс",$C16)),_xlfn.XLOOKUP(1,('Фрахт Транс'!$A$5:$A$10=$D16)*1,_xlfn.XLOOKUP(1,('Фрахт Транс'!$B$3:$M$3 = $S$2)*('Фрахт Транс'!$B$4:$M$4=L$2),'Фрахт Транс'!$B$5:$M$10)),SUM($E16, $G16, $I16, $O16))</f>
        <v>489044</v>
      </c>
      <c r="M16" s="233" cm="1">
        <f t="array" aca="1" ref="M16" ca="1">IF(ISNUMBER(SEARCH("Транс",$C16)),_xlfn.XLOOKUP(1,('Фрахт Транс'!$A$5:$A$10=$D16)*1,_xlfn.XLOOKUP(1,('Фрахт Транс'!$B$3:$M$3=$S$2)*('Фрахт Транс'!$B$4:$M$4=M$2),'Фрахт Транс'!$B$5:$M$10)),SUM($E16, $G16, $J16, $O16))</f>
        <v>505049</v>
      </c>
      <c r="N16" s="233" cm="1">
        <f t="array" aca="1" ref="N16" ca="1">IF(ISNUMBER(SEARCH("Транс",$C16)),_xlfn.XLOOKUP(1,('Фрахт Транс'!$A$5:$A$10=$D16)*1,_xlfn.XLOOKUP(1,('Фрахт Транс'!$B$3:$M$3=$S$2)*('Фрахт Транс'!$B$4:$M$4=N$2),'Фрахт Транс'!$B$5:$M$10)),SUM($F16, $H16, $K16, $P16))</f>
        <v>747851</v>
      </c>
      <c r="O16" s="233" cm="1">
        <f t="array" aca="1" ref="O16" ca="1">IFERROR(_xlfn.XLOOKUP(1,  (Охрана!$A$6:$A$14 = $D16) * 1,  _xlfn.XLOOKUP(1,  (Охрана!$B$5:$M$5 = O$2) * (Охрана!$B$4:$M$4 = $S$2), Охрана!$B$6:$M$14)), "-")</f>
        <v>4144</v>
      </c>
      <c r="P16" s="234" cm="1">
        <f t="array" aca="1" ref="P16" ca="1">IFERROR(_xlfn.XLOOKUP(1,  (Охрана!$A$6:$A$14 = $D16) * 1,  _xlfn.XLOOKUP(1,  (Охрана!$B$5:$M$5 = P$2) * (Охрана!$B$4:$M$4 = $S$2), Охрана!$B$6:$M$14)), "-")</f>
        <v>7551</v>
      </c>
      <c r="Q16" s="286"/>
      <c r="R16" s="4"/>
      <c r="S16" s="1"/>
    </row>
    <row r="17" spans="1:19" ht="15" customHeight="1" thickBot="1" x14ac:dyDescent="0.3">
      <c r="A17" s="224" t="s">
        <v>14</v>
      </c>
      <c r="B17" s="295"/>
      <c r="C17" s="41" t="s">
        <v>35</v>
      </c>
      <c r="D17" s="40" t="s">
        <v>7</v>
      </c>
      <c r="E17" s="150" cm="1">
        <f t="array" ref="E17">IFERROR(_xlfn.XLOOKUP(1, (Фрахт!$A$5:$A$80 = $A17)* (Фрахт!$B$5:$B$80 = $C17) * (Фрахт!$C$5:$C$80 =$D17),  _xlfn.XLOOKUP(1,  (Фрахт!$D$4:$E$4 = E$2) * 1, Фрахт!$D$5:$E$80)) *  $S$1, "-")</f>
        <v>283500</v>
      </c>
      <c r="F17" s="150" cm="1">
        <f t="array" ref="F17">IFERROR(_xlfn.XLOOKUP(1, (Фрахт!$A$5:$A$80 = $A17)* (Фрахт!$B$5:$B$80 = $C17) * (Фрахт!$C$5:$C$80 =$D17),  _xlfn.XLOOKUP(1,  (Фрахт!$D$4:$E$4 = F$2) * 1, Фрахт!$D$5:$E$80)) *  $S$1, "-")</f>
        <v>472500</v>
      </c>
      <c r="G17" s="150" cm="1">
        <f t="array" aca="1" ref="G17" ca="1">IFERROR(_xlfn.XLOOKUP(1,  ('Drop off'!$A$6:$A$14 = $C17) * 1,  _xlfn.XLOOKUP(1,  ('Drop off'!$B$5:$I$5 = G$2) * ('Drop off'!$B$4:$I$4 = $S$2), 'Drop off'!$B$6:$I$14)) * $S$1, "-")</f>
        <v>75600</v>
      </c>
      <c r="H17" s="150" cm="1">
        <f t="array" aca="1" ref="H17" ca="1">IFERROR(_xlfn.XLOOKUP(1,  ('Drop off'!$A$6:$A$14 = $C17) * 1,  _xlfn.XLOOKUP(1,  ('Drop off'!$B$5:$I$5 = H$2) * ('Drop off'!$B$4:$I$4 = $S$2), 'Drop off'!$B$6:$I$14)) * $S$1, "-")</f>
        <v>56700</v>
      </c>
      <c r="I17" s="150" cm="1">
        <f t="array" aca="1" ref="I17" ca="1">IFERROR(_xlfn.XLOOKUP(1,  ('ж.д.'!$A$6:$A$14 = $D17) * 1,  _xlfn.XLOOKUP(1,  ('ж.д.'!$B$5:$M$5 = I$2) * ('ж.д.'!$B$4:$M$4 = $S$2), 'ж.д.'!$B$6:$M$14)), "-")</f>
        <v>120000</v>
      </c>
      <c r="J17" s="150" cm="1">
        <f t="array" aca="1" ref="J17" ca="1">IFERROR(_xlfn.XLOOKUP(1,  ('ж.д.'!$A$6:$A$14 = $D17) * 1,  _xlfn.XLOOKUP(1,  ('ж.д.'!$B$5:$M$5 = J$2) * ('ж.д.'!$B$4:$M$4 = $S$2), 'ж.д.'!$B$6:$M$14)), "-")</f>
        <v>137000</v>
      </c>
      <c r="K17" s="150" cm="1">
        <f t="array" aca="1" ref="K17" ca="1">IFERROR(_xlfn.XLOOKUP(1,  ('ж.д.'!$A$6:$A$14 = $D17) * 1,  _xlfn.XLOOKUP(1,  ('ж.д.'!$B$5:$M$5 = K$2) * ('ж.д.'!$B$4:$M$4 = $S$2), 'ж.д.'!$B$6:$M$14)), "-")</f>
        <v>200000</v>
      </c>
      <c r="L17" s="233" cm="1">
        <f t="array" aca="1" ref="L17" ca="1">IF(ISNUMBER(SEARCH("Транс",$C17)),_xlfn.XLOOKUP(1,('Фрахт Транс'!$A$5:$A$10=$D17)*1,_xlfn.XLOOKUP(1,('Фрахт Транс'!$B$3:$M$3 = $S$2)*('Фрахт Транс'!$B$4:$M$4=L$2),'Фрахт Транс'!$B$5:$M$10)),SUM($E17, $G17, $I17, $O17))</f>
        <v>483200</v>
      </c>
      <c r="M17" s="233" cm="1">
        <f t="array" aca="1" ref="M17" ca="1">IF(ISNUMBER(SEARCH("Транс",$C17)),_xlfn.XLOOKUP(1,('Фрахт Транс'!$A$5:$A$10=$D17)*1,_xlfn.XLOOKUP(1,('Фрахт Транс'!$B$3:$M$3=$S$2)*('Фрахт Транс'!$B$4:$M$4=M$2),'Фрахт Транс'!$B$5:$M$10)),SUM($E17, $G17, $J17, $O17))</f>
        <v>500200</v>
      </c>
      <c r="N17" s="233" cm="1">
        <f t="array" aca="1" ref="N17" ca="1">IF(ISNUMBER(SEARCH("Транс",$C17)),_xlfn.XLOOKUP(1,('Фрахт Транс'!$A$5:$A$10=$D17)*1,_xlfn.XLOOKUP(1,('Фрахт Транс'!$B$3:$M$3=$S$2)*('Фрахт Транс'!$B$4:$M$4=N$2),'Фрахт Транс'!$B$5:$M$10)),SUM($F17, $H17, $K17, $P17))</f>
        <v>737400</v>
      </c>
      <c r="O17" s="233" cm="1">
        <f t="array" aca="1" ref="O17" ca="1">IFERROR(_xlfn.XLOOKUP(1,  (Охрана!$A$6:$A$14 = $D17) * 1,  _xlfn.XLOOKUP(1,  (Охрана!$B$5:$M$5 = O$2) * (Охрана!$B$4:$M$4 = $S$2), Охрана!$B$6:$M$14)), "-")</f>
        <v>4100</v>
      </c>
      <c r="P17" s="234" cm="1">
        <f t="array" aca="1" ref="P17" ca="1">IFERROR(_xlfn.XLOOKUP(1,  (Охрана!$A$6:$A$14 = $D17) * 1,  _xlfn.XLOOKUP(1,  (Охрана!$B$5:$M$5 = P$2) * (Охрана!$B$4:$M$4 = $S$2), Охрана!$B$6:$M$14)), "-")</f>
        <v>8200</v>
      </c>
      <c r="Q17" s="286"/>
      <c r="R17" s="4"/>
      <c r="S17" s="1"/>
    </row>
    <row r="18" spans="1:19" ht="15" customHeight="1" thickBot="1" x14ac:dyDescent="0.3">
      <c r="A18" s="224" t="s">
        <v>14</v>
      </c>
      <c r="B18" s="295"/>
      <c r="C18" s="50" t="s">
        <v>40</v>
      </c>
      <c r="D18" s="50" t="s">
        <v>21</v>
      </c>
      <c r="E18" s="151" cm="1">
        <f t="array" ref="E18">IFERROR(_xlfn.XLOOKUP(1, (Фрахт!$A$5:$A$80 = $A18)* (Фрахт!$B$5:$B$80 = $C18) * (Фрахт!$C$5:$C$80 =$D18),  _xlfn.XLOOKUP(1,  (Фрахт!$D$4:$E$4 = E$2) * 1, Фрахт!$D$5:$E$80)) *  $S$1, "-")</f>
        <v>245160</v>
      </c>
      <c r="F18" s="151" cm="1">
        <f t="array" ref="F18">IFERROR(_xlfn.XLOOKUP(1, (Фрахт!$A$5:$A$80 = $A18)* (Фрахт!$B$5:$B$80 = $C18) * (Фрахт!$C$5:$C$80 =$D18),  _xlfn.XLOOKUP(1,  (Фрахт!$D$4:$E$4 = F$2) * 1, Фрахт!$D$5:$E$80)) *  $S$1, "-")</f>
        <v>412320</v>
      </c>
      <c r="G18" s="151" t="str" cm="1">
        <f t="array" aca="1" ref="G18" ca="1">IFERROR(_xlfn.XLOOKUP(1,  ('Drop off'!$A$6:$A$14 = $C18) * 1,  _xlfn.XLOOKUP(1,  ('Drop off'!$B$5:$I$5 = G$2) * ('Drop off'!$B$4:$I$4 = $S$2), 'Drop off'!$B$6:$I$14)) * $S$1, "-")</f>
        <v>-</v>
      </c>
      <c r="H18" s="151" t="str" cm="1">
        <f t="array" aca="1" ref="H18" ca="1">IFERROR(_xlfn.XLOOKUP(1,  ('Drop off'!$A$6:$A$14 = $C18) * 1,  _xlfn.XLOOKUP(1,  ('Drop off'!$B$5:$I$5 = H$2) * ('Drop off'!$B$4:$I$4 = $S$2), 'Drop off'!$B$6:$I$14)) * $S$1, "-")</f>
        <v>-</v>
      </c>
      <c r="I18" s="151" cm="1">
        <f t="array" aca="1" ref="I18" ca="1">IFERROR(_xlfn.XLOOKUP(1,  ('ж.д.'!$A$6:$A$14 = $D18) * 1,  _xlfn.XLOOKUP(1,  ('ж.д.'!$B$5:$M$5 = I$2) * ('ж.д.'!$B$4:$M$4 = $S$2), 'ж.д.'!$B$6:$M$14)), "-")</f>
        <v>107400</v>
      </c>
      <c r="J18" s="151" cm="1">
        <f t="array" aca="1" ref="J18" ca="1">IFERROR(_xlfn.XLOOKUP(1,  ('ж.д.'!$A$6:$A$14 = $D18) * 1,  _xlfn.XLOOKUP(1,  ('ж.д.'!$B$5:$M$5 = J$2) * ('ж.д.'!$B$4:$M$4 = $S$2), 'ж.д.'!$B$6:$M$14)), "-")</f>
        <v>123400</v>
      </c>
      <c r="K18" s="151" cm="1">
        <f t="array" aca="1" ref="K18" ca="1">IFERROR(_xlfn.XLOOKUP(1,  ('ж.д.'!$A$6:$A$14 = $D18) * 1,  _xlfn.XLOOKUP(1,  ('ж.д.'!$B$5:$M$5 = K$2) * ('ж.д.'!$B$4:$M$4 = $S$2), 'ж.д.'!$B$6:$M$14)), "-")</f>
        <v>187400</v>
      </c>
      <c r="L18" s="235" cm="1">
        <f t="array" aca="1" ref="L18" ca="1">IF(ISNUMBER(SEARCH("Транс",$C18)),_xlfn.XLOOKUP(1,('Фрахт Транс'!$A$5:$A$10=$D18)*1,_xlfn.XLOOKUP(1,('Фрахт Транс'!$B$3:$M$3 = $S$2)*('Фрахт Транс'!$B$4:$M$4=L$2),'Фрахт Транс'!$B$5:$M$10)),SUM($E18, $G18, $I18, $O18))</f>
        <v>355954</v>
      </c>
      <c r="M18" s="235" cm="1">
        <f t="array" aca="1" ref="M18" ca="1">IF(ISNUMBER(SEARCH("Транс",$C18)),_xlfn.XLOOKUP(1,('Фрахт Транс'!$A$5:$A$10=$D18)*1,_xlfn.XLOOKUP(1,('Фрахт Транс'!$B$3:$M$3=$S$2)*('Фрахт Транс'!$B$4:$M$4=M$2),'Фрахт Транс'!$B$5:$M$10)),SUM($E18, $G18, $J18, $O18))</f>
        <v>371954</v>
      </c>
      <c r="N18" s="235" cm="1">
        <f t="array" aca="1" ref="N18" ca="1">IF(ISNUMBER(SEARCH("Транс",$C18)),_xlfn.XLOOKUP(1,('Фрахт Транс'!$A$5:$A$10=$D18)*1,_xlfn.XLOOKUP(1,('Фрахт Транс'!$B$3:$M$3=$S$2)*('Фрахт Транс'!$B$4:$M$4=N$2),'Фрахт Транс'!$B$5:$M$10)),SUM($F18, $H18, $K18, $P18))</f>
        <v>606521</v>
      </c>
      <c r="O18" s="235" cm="1">
        <f t="array" aca="1" ref="O18" ca="1">IFERROR(_xlfn.XLOOKUP(1,  (Охрана!$A$6:$A$14 = $D18) * 1,  _xlfn.XLOOKUP(1,  (Охрана!$B$5:$M$5 = O$2) * (Охрана!$B$4:$M$4 = $S$2), Охрана!$B$6:$M$14)), "-")</f>
        <v>3394</v>
      </c>
      <c r="P18" s="236" cm="1">
        <f t="array" aca="1" ref="P18" ca="1">IFERROR(_xlfn.XLOOKUP(1,  (Охрана!$A$6:$A$14 = $D18) * 1,  _xlfn.XLOOKUP(1,  (Охрана!$B$5:$M$5 = P$2) * (Охрана!$B$4:$M$4 = $S$2), Охрана!$B$6:$M$14)), "-")</f>
        <v>6801</v>
      </c>
      <c r="Q18" s="38"/>
      <c r="R18" s="3"/>
      <c r="S18" s="1"/>
    </row>
    <row r="19" spans="1:19" ht="15" customHeight="1" thickBot="1" x14ac:dyDescent="0.3">
      <c r="A19" s="224" t="s">
        <v>14</v>
      </c>
      <c r="B19" s="295"/>
      <c r="C19" s="44" t="s">
        <v>52</v>
      </c>
      <c r="D19" s="45" t="s">
        <v>11</v>
      </c>
      <c r="E19" s="152" t="str" cm="1">
        <f t="array" ref="E19">IFERROR(_xlfn.XLOOKUP(1, (Фрахт!$A$5:$A$80 = $A19)* (Фрахт!$B$5:$B$80 = $C19) * (Фрахт!$C$5:$C$80 =$D19),  _xlfn.XLOOKUP(1,  (Фрахт!$D$4:$E$4 = E$2) * 1, Фрахт!$D$5:$E$80)) *  $S$1, "-")</f>
        <v>-</v>
      </c>
      <c r="F19" s="152" t="str" cm="1">
        <f t="array" ref="F19">IFERROR(_xlfn.XLOOKUP(1, (Фрахт!$A$5:$A$80 = $A19)* (Фрахт!$B$5:$B$80 = $C19) * (Фрахт!$C$5:$C$80 =$D19),  _xlfn.XLOOKUP(1,  (Фрахт!$D$4:$E$4 = F$2) * 1, Фрахт!$D$5:$E$80)) *  $S$1, "-")</f>
        <v>-</v>
      </c>
      <c r="G19" s="152" cm="1">
        <f t="array" aca="1" ref="G19" ca="1">IFERROR(_xlfn.XLOOKUP(1,  ('Drop off'!$A$6:$A$14 = $C19) * 1,  _xlfn.XLOOKUP(1,  ('Drop off'!$B$5:$I$5 = G$2) * ('Drop off'!$B$4:$I$4 = $S$2), 'Drop off'!$B$6:$I$14)) * $S$1, "-")</f>
        <v>0</v>
      </c>
      <c r="H19" s="152" cm="1">
        <f t="array" aca="1" ref="H19" ca="1">IFERROR(_xlfn.XLOOKUP(1,  ('Drop off'!$A$6:$A$14 = $C19) * 1,  _xlfn.XLOOKUP(1,  ('Drop off'!$B$5:$I$5 = H$2) * ('Drop off'!$B$4:$I$4 = $S$2), 'Drop off'!$B$6:$I$14)) * $S$1, "-")</f>
        <v>0</v>
      </c>
      <c r="I19" s="152" cm="1">
        <f t="array" aca="1" ref="I19" ca="1">IFERROR(_xlfn.XLOOKUP(1,  ('ж.д.'!$A$6:$A$14 = $D19) * 1,  _xlfn.XLOOKUP(1,  ('ж.д.'!$B$5:$M$5 = I$2) * ('ж.д.'!$B$4:$M$4 = $S$2), 'ж.д.'!$B$6:$M$14)), "-")</f>
        <v>124800</v>
      </c>
      <c r="J19" s="152" cm="1">
        <f t="array" aca="1" ref="J19" ca="1">IFERROR(_xlfn.XLOOKUP(1,  ('ж.д.'!$A$6:$A$14 = $D19) * 1,  _xlfn.XLOOKUP(1,  ('ж.д.'!$B$5:$M$5 = J$2) * ('ж.д.'!$B$4:$M$4 = $S$2), 'ж.д.'!$B$6:$M$14)), "-")</f>
        <v>143000</v>
      </c>
      <c r="K19" s="152" cm="1">
        <f t="array" aca="1" ref="K19" ca="1">IFERROR(_xlfn.XLOOKUP(1,  ('ж.д.'!$A$6:$A$14 = $D19) * 1,  _xlfn.XLOOKUP(1,  ('ж.д.'!$B$5:$M$5 = K$2) * ('ж.д.'!$B$4:$M$4 = $S$2), 'ж.д.'!$B$6:$M$14)), "-")</f>
        <v>211800</v>
      </c>
      <c r="L19" s="159" cm="1">
        <f t="array" aca="1" ref="L19" ca="1">IF(ISNUMBER(SEARCH("Транс",$C19)),_xlfn.XLOOKUP(1,('Фрахт Транс'!$A$5:$A$10=$D19)*1,_xlfn.XLOOKUP(1,('Фрахт Транс'!$B$3:$M$3 = $S$2)*('Фрахт Транс'!$B$4:$M$4=L$2),'Фрахт Транс'!$B$5:$M$10)),SUM($E19, $G19, $I19, $O19))</f>
        <v>128194</v>
      </c>
      <c r="M19" s="159" cm="1">
        <f t="array" aca="1" ref="M19" ca="1">IF(ISNUMBER(SEARCH("Транс",$C19)),_xlfn.XLOOKUP(1,('Фрахт Транс'!$A$5:$A$10=$D19)*1,_xlfn.XLOOKUP(1,('Фрахт Транс'!$B$3:$M$3=$S$2)*('Фрахт Транс'!$B$4:$M$4=M$2),'Фрахт Транс'!$B$5:$M$10)),SUM($E19, $G19, $J19, $O19))</f>
        <v>146394</v>
      </c>
      <c r="N19" s="159" cm="1">
        <f t="array" aca="1" ref="N19" ca="1">IF(ISNUMBER(SEARCH("Транс",$C19)),_xlfn.XLOOKUP(1,('Фрахт Транс'!$A$5:$A$10=$D19)*1,_xlfn.XLOOKUP(1,('Фрахт Транс'!$B$3:$M$3=$S$2)*('Фрахт Транс'!$B$4:$M$4=N$2),'Фрахт Транс'!$B$5:$M$10)),SUM($F19, $H19, $K19, $P19))</f>
        <v>218601</v>
      </c>
      <c r="O19" s="159" cm="1">
        <f t="array" aca="1" ref="O19" ca="1">IFERROR(_xlfn.XLOOKUP(1,  (Охрана!$A$6:$A$14 = $D19) * 1,  _xlfn.XLOOKUP(1,  (Охрана!$B$5:$M$5 = O$2) * (Охрана!$B$4:$M$4 = $S$2), Охрана!$B$6:$M$14)), "-")</f>
        <v>3394</v>
      </c>
      <c r="P19" s="205" cm="1">
        <f t="array" aca="1" ref="P19" ca="1">IFERROR(_xlfn.XLOOKUP(1,  (Охрана!$A$6:$A$14 = $D19) * 1,  _xlfn.XLOOKUP(1,  (Охрана!$B$5:$M$5 = P$2) * (Охрана!$B$4:$M$4 = $S$2), Охрана!$B$6:$M$14)), "-")</f>
        <v>6801</v>
      </c>
      <c r="Q19" s="286"/>
      <c r="R19" s="293"/>
      <c r="S19" s="1"/>
    </row>
    <row r="20" spans="1:19" ht="15.75" customHeight="1" thickBot="1" x14ac:dyDescent="0.3">
      <c r="A20" s="224" t="s">
        <v>14</v>
      </c>
      <c r="B20" s="295"/>
      <c r="C20" s="44" t="s">
        <v>37</v>
      </c>
      <c r="D20" s="45" t="s">
        <v>11</v>
      </c>
      <c r="E20" s="152" cm="1">
        <f t="array" ref="E20">IFERROR(_xlfn.XLOOKUP(1, (Фрахт!$A$5:$A$80 = $A20)* (Фрахт!$B$5:$B$80 = $C20) * (Фрахт!$C$5:$C$80 =$D20),  _xlfn.XLOOKUP(1,  (Фрахт!$D$4:$E$4 = E$2) * 1, Фрахт!$D$5:$E$80)) *  $S$1, "-")</f>
        <v>216000</v>
      </c>
      <c r="F20" s="152" cm="1">
        <f t="array" ref="F20">IFERROR(_xlfn.XLOOKUP(1, (Фрахт!$A$5:$A$80 = $A20)* (Фрахт!$B$5:$B$80 = $C20) * (Фрахт!$C$5:$C$80 =$D20),  _xlfn.XLOOKUP(1,  (Фрахт!$D$4:$E$4 = F$2) * 1, Фрахт!$D$5:$E$80)) *  $S$1, "-")</f>
        <v>360000</v>
      </c>
      <c r="G20" s="152" cm="1">
        <f t="array" aca="1" ref="G20" ca="1">IFERROR(_xlfn.XLOOKUP(1,  ('Drop off'!$A$6:$A$14 = $C20) * 1,  _xlfn.XLOOKUP(1,  ('Drop off'!$B$5:$I$5 = G$2) * ('Drop off'!$B$4:$I$4 = $S$2), 'Drop off'!$B$6:$I$14)) * $S$1, "-")</f>
        <v>0</v>
      </c>
      <c r="H20" s="152" cm="1">
        <f t="array" aca="1" ref="H20" ca="1">IFERROR(_xlfn.XLOOKUP(1,  ('Drop off'!$A$6:$A$14 = $C20) * 1,  _xlfn.XLOOKUP(1,  ('Drop off'!$B$5:$I$5 = H$2) * ('Drop off'!$B$4:$I$4 = $S$2), 'Drop off'!$B$6:$I$14)) * $S$1, "-")</f>
        <v>0</v>
      </c>
      <c r="I20" s="152" cm="1">
        <f t="array" aca="1" ref="I20" ca="1">IFERROR(_xlfn.XLOOKUP(1,  ('ж.д.'!$A$6:$A$14 = $D20) * 1,  _xlfn.XLOOKUP(1,  ('ж.д.'!$B$5:$M$5 = I$2) * ('ж.д.'!$B$4:$M$4 = $S$2), 'ж.д.'!$B$6:$M$14)), "-")</f>
        <v>124800</v>
      </c>
      <c r="J20" s="152" cm="1">
        <f t="array" aca="1" ref="J20" ca="1">IFERROR(_xlfn.XLOOKUP(1,  ('ж.д.'!$A$6:$A$14 = $D20) * 1,  _xlfn.XLOOKUP(1,  ('ж.д.'!$B$5:$M$5 = J$2) * ('ж.д.'!$B$4:$M$4 = $S$2), 'ж.д.'!$B$6:$M$14)), "-")</f>
        <v>143000</v>
      </c>
      <c r="K20" s="152" cm="1">
        <f t="array" aca="1" ref="K20" ca="1">IFERROR(_xlfn.XLOOKUP(1,  ('ж.д.'!$A$6:$A$14 = $D20) * 1,  _xlfn.XLOOKUP(1,  ('ж.д.'!$B$5:$M$5 = K$2) * ('ж.д.'!$B$4:$M$4 = $S$2), 'ж.д.'!$B$6:$M$14)), "-")</f>
        <v>211800</v>
      </c>
      <c r="L20" s="159" cm="1">
        <f t="array" aca="1" ref="L20" ca="1">IF(ISNUMBER(SEARCH("Транс",$C20)),_xlfn.XLOOKUP(1,('Фрахт Транс'!$A$5:$A$10=$D20)*1,_xlfn.XLOOKUP(1,('Фрахт Транс'!$B$3:$M$3 = $S$2)*('Фрахт Транс'!$B$4:$M$4=L$2),'Фрахт Транс'!$B$5:$M$10)),SUM($E20, $G20, $I20, $O20))</f>
        <v>344194</v>
      </c>
      <c r="M20" s="159" cm="1">
        <f t="array" aca="1" ref="M20" ca="1">IF(ISNUMBER(SEARCH("Транс",$C20)),_xlfn.XLOOKUP(1,('Фрахт Транс'!$A$5:$A$10=$D20)*1,_xlfn.XLOOKUP(1,('Фрахт Транс'!$B$3:$M$3=$S$2)*('Фрахт Транс'!$B$4:$M$4=M$2),'Фрахт Транс'!$B$5:$M$10)),SUM($E20, $G20, $J20, $O20))</f>
        <v>362394</v>
      </c>
      <c r="N20" s="159" cm="1">
        <f t="array" aca="1" ref="N20" ca="1">IF(ISNUMBER(SEARCH("Транс",$C20)),_xlfn.XLOOKUP(1,('Фрахт Транс'!$A$5:$A$10=$D20)*1,_xlfn.XLOOKUP(1,('Фрахт Транс'!$B$3:$M$3=$S$2)*('Фрахт Транс'!$B$4:$M$4=N$2),'Фрахт Транс'!$B$5:$M$10)),SUM($F20, $H20, $K20, $P20))</f>
        <v>578601</v>
      </c>
      <c r="O20" s="159" cm="1">
        <f t="array" aca="1" ref="O20" ca="1">IFERROR(_xlfn.XLOOKUP(1,  (Охрана!$A$6:$A$14 = $D20) * 1,  _xlfn.XLOOKUP(1,  (Охрана!$B$5:$M$5 = O$2) * (Охрана!$B$4:$M$4 = $S$2), Охрана!$B$6:$M$14)), "-")</f>
        <v>3394</v>
      </c>
      <c r="P20" s="205" cm="1">
        <f t="array" aca="1" ref="P20" ca="1">IFERROR(_xlfn.XLOOKUP(1,  (Охрана!$A$6:$A$14 = $D20) * 1,  _xlfn.XLOOKUP(1,  (Охрана!$B$5:$M$5 = P$2) * (Охрана!$B$4:$M$4 = $S$2), Охрана!$B$6:$M$14)), "-")</f>
        <v>6801</v>
      </c>
      <c r="Q20" s="286"/>
      <c r="R20" s="293"/>
      <c r="S20" s="1"/>
    </row>
    <row r="21" spans="1:19" ht="15.75" customHeight="1" thickBot="1" x14ac:dyDescent="0.3">
      <c r="A21" s="224" t="s">
        <v>14</v>
      </c>
      <c r="B21" s="296"/>
      <c r="C21" s="76" t="s">
        <v>53</v>
      </c>
      <c r="D21" s="77" t="s">
        <v>7</v>
      </c>
      <c r="E21" s="156" cm="1">
        <f t="array" ref="E21">IFERROR(_xlfn.XLOOKUP(1, (Фрахт!$A$5:$A$80 = $A21)* (Фрахт!$B$5:$B$80 = $C21) * (Фрахт!$C$5:$C$80 =$D21),  _xlfn.XLOOKUP(1,  (Фрахт!$D$4:$E$4 = E$2) * 1, Фрахт!$D$5:$E$80)) *  $S$1, "-")</f>
        <v>315000</v>
      </c>
      <c r="F21" s="156" cm="1">
        <f t="array" ref="F21">IFERROR(_xlfn.XLOOKUP(1, (Фрахт!$A$5:$A$80 = $A21)* (Фрахт!$B$5:$B$80 = $C21) * (Фрахт!$C$5:$C$80 =$D21),  _xlfn.XLOOKUP(1,  (Фрахт!$D$4:$E$4 = F$2) * 1, Фрахт!$D$5:$E$80)) *  $S$1, "-")</f>
        <v>420000</v>
      </c>
      <c r="G21" s="156" cm="1">
        <f t="array" aca="1" ref="G21" ca="1">IFERROR(_xlfn.XLOOKUP(1,  ('Drop off'!$A$6:$A$14 = $C21) * 1,  _xlfn.XLOOKUP(1,  ('Drop off'!$B$5:$I$5 = G$2) * ('Drop off'!$B$4:$I$4 = $S$2), 'Drop off'!$B$6:$I$14)) * $S$1, "-")</f>
        <v>0</v>
      </c>
      <c r="H21" s="156" cm="1">
        <f t="array" aca="1" ref="H21" ca="1">IFERROR(_xlfn.XLOOKUP(1,  ('Drop off'!$A$6:$A$14 = $C21) * 1,  _xlfn.XLOOKUP(1,  ('Drop off'!$B$5:$I$5 = H$2) * ('Drop off'!$B$4:$I$4 = $S$2), 'Drop off'!$B$6:$I$14)) * $S$1, "-")</f>
        <v>0</v>
      </c>
      <c r="I21" s="156" cm="1">
        <f t="array" aca="1" ref="I21" ca="1">IFERROR(_xlfn.XLOOKUP(1,  ('ж.д.'!$A$6:$A$14 = $D21) * 1,  _xlfn.XLOOKUP(1,  ('ж.д.'!$B$5:$M$5 = I$2) * ('ж.д.'!$B$4:$M$4 = $S$2), 'ж.д.'!$B$6:$M$14)), "-")</f>
        <v>120000</v>
      </c>
      <c r="J21" s="156" cm="1">
        <f t="array" aca="1" ref="J21" ca="1">IFERROR(_xlfn.XLOOKUP(1,  ('ж.д.'!$A$6:$A$14 = $D21) * 1,  _xlfn.XLOOKUP(1,  ('ж.д.'!$B$5:$M$5 = J$2) * ('ж.д.'!$B$4:$M$4 = $S$2), 'ж.д.'!$B$6:$M$14)), "-")</f>
        <v>137000</v>
      </c>
      <c r="K21" s="156" cm="1">
        <f t="array" aca="1" ref="K21" ca="1">IFERROR(_xlfn.XLOOKUP(1,  ('ж.д.'!$A$6:$A$14 = $D21) * 1,  _xlfn.XLOOKUP(1,  ('ж.д.'!$B$5:$M$5 = K$2) * ('ж.д.'!$B$4:$M$4 = $S$2), 'ж.д.'!$B$6:$M$14)), "-")</f>
        <v>200000</v>
      </c>
      <c r="L21" s="156" cm="1">
        <f t="array" aca="1" ref="L21" ca="1">IF(ISNUMBER(SEARCH("Транс",$C21)),_xlfn.XLOOKUP(1,('Фрахт Транс'!$A$5:$A$10=$D21)*1,_xlfn.XLOOKUP(1,('Фрахт Транс'!$B$3:$M$3 = $S$2)*('Фрахт Транс'!$B$4:$M$4=L$2),'Фрахт Транс'!$B$5:$M$10)),SUM($E21, $G21, $I21, $O21))</f>
        <v>439100</v>
      </c>
      <c r="M21" s="156" cm="1">
        <f t="array" aca="1" ref="M21" ca="1">IF(ISNUMBER(SEARCH("Транс",$C21)),_xlfn.XLOOKUP(1,('Фрахт Транс'!$A$5:$A$10=$D21)*1,_xlfn.XLOOKUP(1,('Фрахт Транс'!$B$3:$M$3=$S$2)*('Фрахт Транс'!$B$4:$M$4=M$2),'Фрахт Транс'!$B$5:$M$10)),SUM($E21, $G21, $J21, $O21))</f>
        <v>456100</v>
      </c>
      <c r="N21" s="240" cm="1">
        <f t="array" aca="1" ref="N21" ca="1">IF(ISNUMBER(SEARCH("Транс",$C21)),_xlfn.XLOOKUP(1,('Фрахт Транс'!$A$5:$A$10=$D21)*1,_xlfn.XLOOKUP(1,('Фрахт Транс'!$B$3:$M$3=$S$2)*('Фрахт Транс'!$B$4:$M$4=N$2),'Фрахт Транс'!$B$5:$M$10)),SUM($F21, $H21, $K21, $P21))</f>
        <v>628200</v>
      </c>
      <c r="O21" s="240" cm="1">
        <f t="array" aca="1" ref="O21" ca="1">IFERROR(_xlfn.XLOOKUP(1,  (Охрана!$A$6:$A$14 = $D21) * 1,  _xlfn.XLOOKUP(1,  (Охрана!$B$5:$M$5 = O$2) * (Охрана!$B$4:$M$4 = $S$2), Охрана!$B$6:$M$14)), "-")</f>
        <v>4100</v>
      </c>
      <c r="P21" s="241" cm="1">
        <f t="array" aca="1" ref="P21" ca="1">IFERROR(_xlfn.XLOOKUP(1,  (Охрана!$A$6:$A$14 = $D21) * 1,  _xlfn.XLOOKUP(1,  (Охрана!$B$5:$M$5 = P$2) * (Охрана!$B$4:$M$4 = $S$2), Охрана!$B$6:$M$14)), "-")</f>
        <v>8200</v>
      </c>
      <c r="Q21" s="38"/>
      <c r="R21" s="80"/>
      <c r="S21" s="1"/>
    </row>
    <row r="22" spans="1:19" ht="30" x14ac:dyDescent="0.25">
      <c r="A22" s="225" t="s">
        <v>15</v>
      </c>
      <c r="B22" s="288" t="s">
        <v>15</v>
      </c>
      <c r="C22" s="72" t="s">
        <v>43</v>
      </c>
      <c r="D22" s="73" t="s">
        <v>46</v>
      </c>
      <c r="E22" s="157" t="str" cm="1">
        <f t="array" ref="E22">IFERROR(_xlfn.XLOOKUP(1, (Фрахт!$A$5:$A$80 = $A22)* (Фрахт!$B$5:$B$80 = $C22) * (Фрахт!$C$5:$C$80 =$D22),  _xlfn.XLOOKUP(1,  (Фрахт!$D$4:$E$4 = E$2) * 1, Фрахт!$D$5:$E$80)) *  $S$1, "-")</f>
        <v>-</v>
      </c>
      <c r="F22" s="157" t="str" cm="1">
        <f t="array" ref="F22">IFERROR(_xlfn.XLOOKUP(1, (Фрахт!$A$5:$A$80 = $A22)* (Фрахт!$B$5:$B$80 = $C22) * (Фрахт!$C$5:$C$80 =$D22),  _xlfn.XLOOKUP(1,  (Фрахт!$D$4:$E$4 = F$2) * 1, Фрахт!$D$5:$E$80)) *  $S$1, "-")</f>
        <v>-</v>
      </c>
      <c r="G22" s="157" cm="1">
        <f t="array" aca="1" ref="G22" ca="1">IFERROR(_xlfn.XLOOKUP(1,  ('Drop off'!$A$6:$A$14 = $C22) * 1,  _xlfn.XLOOKUP(1,  ('Drop off'!$B$5:$I$5 = G$2) * ('Drop off'!$B$4:$I$4 = $S$2), 'Drop off'!$B$6:$I$14)) * $S$1, "-")</f>
        <v>0</v>
      </c>
      <c r="H22" s="157" cm="1">
        <f t="array" aca="1" ref="H22" ca="1">IFERROR(_xlfn.XLOOKUP(1,  ('Drop off'!$A$6:$A$14 = $C22) * 1,  _xlfn.XLOOKUP(1,  ('Drop off'!$B$5:$I$5 = H$2) * ('Drop off'!$B$4:$I$4 = $S$2), 'Drop off'!$B$6:$I$14)) * $S$1, "-")</f>
        <v>0</v>
      </c>
      <c r="I22" s="157" t="str" cm="1">
        <f t="array" aca="1" ref="I22" ca="1">IFERROR(_xlfn.XLOOKUP(1,  ('ж.д.'!$A$6:$A$14 = $D22) * 1,  _xlfn.XLOOKUP(1,  ('ж.д.'!$B$5:$M$5 = I$2) * ('ж.д.'!$B$4:$M$4 = $S$2), 'ж.д.'!$B$6:$M$14)), "-")</f>
        <v>-</v>
      </c>
      <c r="J22" s="157" t="str" cm="1">
        <f t="array" aca="1" ref="J22" ca="1">IFERROR(_xlfn.XLOOKUP(1,  ('ж.д.'!$A$6:$A$14 = $D22) * 1,  _xlfn.XLOOKUP(1,  ('ж.д.'!$B$5:$M$5 = J$2) * ('ж.д.'!$B$4:$M$4 = $S$2), 'ж.д.'!$B$6:$M$14)), "-")</f>
        <v>-</v>
      </c>
      <c r="K22" s="157" t="str" cm="1">
        <f t="array" aca="1" ref="K22" ca="1">IFERROR(_xlfn.XLOOKUP(1,  ('ж.д.'!$A$6:$A$14 = $D22) * 1,  _xlfn.XLOOKUP(1,  ('ж.д.'!$B$5:$M$5 = K$2) * ('ж.д.'!$B$4:$M$4 = $S$2), 'ж.д.'!$B$6:$M$14)), "-")</f>
        <v>-</v>
      </c>
      <c r="L22" s="202" cm="1">
        <f t="array" aca="1" ref="L22" ca="1">IF(ISNUMBER(SEARCH("Транс",$C22)),_xlfn.XLOOKUP(1,('Фрахт Транс'!$A$5:$A$10=$D22)*1,_xlfn.XLOOKUP(1,('Фрахт Транс'!$B$3:$M$3 = $S$2)*('Фрахт Транс'!$B$4:$M$4=L$2),'Фрахт Транс'!$B$5:$M$10)),SUM($E22, $G22, $I22, $O22))</f>
        <v>346960</v>
      </c>
      <c r="M22" s="202" cm="1">
        <f t="array" aca="1" ref="M22" ca="1">IF(ISNUMBER(SEARCH("Транс",$C22)),_xlfn.XLOOKUP(1,('Фрахт Транс'!$A$5:$A$10=$D22)*1,_xlfn.XLOOKUP(1,('Фрахт Транс'!$B$3:$M$3=$S$2)*('Фрахт Транс'!$B$4:$M$4=M$2),'Фрахт Транс'!$B$5:$M$10)),SUM($E22, $G22, $J22, $O22))</f>
        <v>364952</v>
      </c>
      <c r="N22" s="202" cm="1">
        <f t="array" aca="1" ref="N22" ca="1">IF(ISNUMBER(SEARCH("Транс",$C22)),_xlfn.XLOOKUP(1,('Фрахт Транс'!$A$5:$A$10=$D22)*1,_xlfn.XLOOKUP(1,('Фрахт Транс'!$B$3:$M$3=$S$2)*('Фрахт Транс'!$B$4:$M$4=N$2),'Фрахт Транс'!$B$5:$M$10)),SUM($F22, $H22, $K22, $P22))</f>
        <v>539413</v>
      </c>
      <c r="O22" s="202" t="str" cm="1">
        <f t="array" aca="1" ref="O22" ca="1">IFERROR(_xlfn.XLOOKUP(1,  (Охрана!$A$6:$A$14 = $D22) * 1,  _xlfn.XLOOKUP(1,  (Охрана!$B$5:$M$5 = O$2) * (Охрана!$B$4:$M$4 = $S$2), Охрана!$B$6:$M$14)), "-")</f>
        <v>-</v>
      </c>
      <c r="P22" s="203" t="str" cm="1">
        <f t="array" aca="1" ref="P22" ca="1">IFERROR(_xlfn.XLOOKUP(1,  (Охрана!$A$6:$A$14 = $D22) * 1,  _xlfn.XLOOKUP(1,  (Охрана!$B$5:$M$5 = P$2) * (Охрана!$B$4:$M$4 = $S$2), Охрана!$B$6:$M$14)), "-")</f>
        <v>-</v>
      </c>
      <c r="Q22" s="38"/>
      <c r="R22" s="6"/>
      <c r="S22" s="1"/>
    </row>
    <row r="23" spans="1:19" ht="15" x14ac:dyDescent="0.25">
      <c r="A23" s="225" t="s">
        <v>15</v>
      </c>
      <c r="B23" s="288"/>
      <c r="C23" s="42" t="s">
        <v>12</v>
      </c>
      <c r="D23" s="32" t="s">
        <v>30</v>
      </c>
      <c r="E23" s="149" cm="1">
        <f t="array" ref="E23">IFERROR(_xlfn.XLOOKUP(1, (Фрахт!$A$5:$A$80 = $A23)* (Фрахт!$B$5:$B$80 = $C23) * (Фрахт!$C$5:$C$80 =$D23),  _xlfn.XLOOKUP(1,  (Фрахт!$D$4:$E$4 = E$2) * 1, Фрахт!$D$5:$E$80)) *  $S$1, "-")</f>
        <v>330000</v>
      </c>
      <c r="F23" s="149" cm="1">
        <f t="array" ref="F23">IFERROR(_xlfn.XLOOKUP(1, (Фрахт!$A$5:$A$80 = $A23)* (Фрахт!$B$5:$B$80 = $C23) * (Фрахт!$C$5:$C$80 =$D23),  _xlfn.XLOOKUP(1,  (Фрахт!$D$4:$E$4 = F$2) * 1, Фрахт!$D$5:$E$80)) *  $S$1, "-")</f>
        <v>450000</v>
      </c>
      <c r="G23" s="149" cm="1">
        <f t="array" aca="1" ref="G23" ca="1">IFERROR(_xlfn.XLOOKUP(1,  ('Drop off'!$A$6:$A$14 = $C23) * 1,  _xlfn.XLOOKUP(1,  ('Drop off'!$B$5:$I$5 = G$2) * ('Drop off'!$B$4:$I$4 = $S$2), 'Drop off'!$B$6:$I$14)) * $S$1, "-")</f>
        <v>0</v>
      </c>
      <c r="H23" s="149" cm="1">
        <f t="array" aca="1" ref="H23" ca="1">IFERROR(_xlfn.XLOOKUP(1,  ('Drop off'!$A$6:$A$14 = $C23) * 1,  _xlfn.XLOOKUP(1,  ('Drop off'!$B$5:$I$5 = H$2) * ('Drop off'!$B$4:$I$4 = $S$2), 'Drop off'!$B$6:$I$14)) * $S$1, "-")</f>
        <v>0</v>
      </c>
      <c r="I23" s="149" cm="1">
        <f t="array" aca="1" ref="I23" ca="1">IFERROR(_xlfn.XLOOKUP(1,  ('ж.д.'!$A$6:$A$14 = $D23) * 1,  _xlfn.XLOOKUP(1,  ('ж.д.'!$B$5:$M$5 = I$2) * ('ж.д.'!$B$4:$M$4 = $S$2), 'ж.д.'!$B$6:$M$14)), "-")</f>
        <v>144300</v>
      </c>
      <c r="J23" s="149" cm="1">
        <f t="array" aca="1" ref="J23" ca="1">IFERROR(_xlfn.XLOOKUP(1,  ('ж.д.'!$A$6:$A$14 = $D23) * 1,  _xlfn.XLOOKUP(1,  ('ж.д.'!$B$5:$M$5 = J$2) * ('ж.д.'!$B$4:$M$4 = $S$2), 'ж.д.'!$B$6:$M$14)), "-")</f>
        <v>160305</v>
      </c>
      <c r="K23" s="149" cm="1">
        <f t="array" aca="1" ref="K23" ca="1">IFERROR(_xlfn.XLOOKUP(1,  ('ж.д.'!$A$6:$A$14 = $D23) * 1,  _xlfn.XLOOKUP(1,  ('ж.д.'!$B$5:$M$5 = K$2) * ('ж.д.'!$B$4:$M$4 = $S$2), 'ж.д.'!$B$6:$M$14)), "-")</f>
        <v>247100</v>
      </c>
      <c r="L23" s="231" cm="1">
        <f t="array" aca="1" ref="L23" ca="1">IF(ISNUMBER(SEARCH("Транс",$C23)),_xlfn.XLOOKUP(1,('Фрахт Транс'!$A$5:$A$10=$D23)*1,_xlfn.XLOOKUP(1,('Фрахт Транс'!$B$3:$M$3 = $S$2)*('Фрахт Транс'!$B$4:$M$4=L$2),'Фрахт Транс'!$B$5:$M$10)),SUM($E23, $G23, $I23, $O23))</f>
        <v>478444</v>
      </c>
      <c r="M23" s="231" cm="1">
        <f t="array" aca="1" ref="M23" ca="1">IF(ISNUMBER(SEARCH("Транс",$C23)),_xlfn.XLOOKUP(1,('Фрахт Транс'!$A$5:$A$10=$D23)*1,_xlfn.XLOOKUP(1,('Фрахт Транс'!$B$3:$M$3=$S$2)*('Фрахт Транс'!$B$4:$M$4=M$2),'Фрахт Транс'!$B$5:$M$10)),SUM($E23, $G23, $J23, $O23))</f>
        <v>494449</v>
      </c>
      <c r="N23" s="231" cm="1">
        <f t="array" aca="1" ref="N23" ca="1">IF(ISNUMBER(SEARCH("Транс",$C23)),_xlfn.XLOOKUP(1,('Фрахт Транс'!$A$5:$A$10=$D23)*1,_xlfn.XLOOKUP(1,('Фрахт Транс'!$B$3:$M$3=$S$2)*('Фрахт Транс'!$B$4:$M$4=N$2),'Фрахт Транс'!$B$5:$M$10)),SUM($F23, $H23, $K23, $P23))</f>
        <v>704651</v>
      </c>
      <c r="O23" s="231" cm="1">
        <f t="array" aca="1" ref="O23" ca="1">IFERROR(_xlfn.XLOOKUP(1,  (Охрана!$A$6:$A$14 = $D23) * 1,  _xlfn.XLOOKUP(1,  (Охрана!$B$5:$M$5 = O$2) * (Охрана!$B$4:$M$4 = $S$2), Охрана!$B$6:$M$14)), "-")</f>
        <v>4144</v>
      </c>
      <c r="P23" s="232" cm="1">
        <f t="array" aca="1" ref="P23" ca="1">IFERROR(_xlfn.XLOOKUP(1,  (Охрана!$A$6:$A$14 = $D23) * 1,  _xlfn.XLOOKUP(1,  (Охрана!$B$5:$M$5 = P$2) * (Охрана!$B$4:$M$4 = $S$2), Охрана!$B$6:$M$14)), "-")</f>
        <v>7551</v>
      </c>
      <c r="Q23" s="282"/>
      <c r="R23" s="91"/>
      <c r="S23" s="1"/>
    </row>
    <row r="24" spans="1:19" ht="15" x14ac:dyDescent="0.25">
      <c r="A24" s="225" t="s">
        <v>15</v>
      </c>
      <c r="B24" s="288"/>
      <c r="C24" s="42" t="s">
        <v>12</v>
      </c>
      <c r="D24" s="32" t="s">
        <v>55</v>
      </c>
      <c r="E24" s="149" cm="1">
        <f t="array" ref="E24">IFERROR(_xlfn.XLOOKUP(1, (Фрахт!$A$5:$A$80 = $A24)* (Фрахт!$B$5:$B$80 = $C24) * (Фрахт!$C$5:$C$80 =$D24),  _xlfn.XLOOKUP(1,  (Фрахт!$D$4:$E$4 = E$2) * 1, Фрахт!$D$5:$E$80)) *  $S$1, "-")</f>
        <v>330000</v>
      </c>
      <c r="F24" s="149" cm="1">
        <f t="array" ref="F24">IFERROR(_xlfn.XLOOKUP(1, (Фрахт!$A$5:$A$80 = $A24)* (Фрахт!$B$5:$B$80 = $C24) * (Фрахт!$C$5:$C$80 =$D24),  _xlfn.XLOOKUP(1,  (Фрахт!$D$4:$E$4 = F$2) * 1, Фрахт!$D$5:$E$80)) *  $S$1, "-")</f>
        <v>450000</v>
      </c>
      <c r="G24" s="149" cm="1">
        <f t="array" aca="1" ref="G24" ca="1">IFERROR(_xlfn.XLOOKUP(1,  ('Drop off'!$A$6:$A$14 = $C24) * 1,  _xlfn.XLOOKUP(1,  ('Drop off'!$B$5:$I$5 = G$2) * ('Drop off'!$B$4:$I$4 = $S$2), 'Drop off'!$B$6:$I$14)) * $S$1, "-")</f>
        <v>0</v>
      </c>
      <c r="H24" s="149" cm="1">
        <f t="array" aca="1" ref="H24" ca="1">IFERROR(_xlfn.XLOOKUP(1,  ('Drop off'!$A$6:$A$14 = $C24) * 1,  _xlfn.XLOOKUP(1,  ('Drop off'!$B$5:$I$5 = H$2) * ('Drop off'!$B$4:$I$4 = $S$2), 'Drop off'!$B$6:$I$14)) * $S$1, "-")</f>
        <v>0</v>
      </c>
      <c r="I24" s="149" cm="1">
        <f t="array" aca="1" ref="I24" ca="1">IFERROR(_xlfn.XLOOKUP(1,  ('ж.д.'!$A$6:$A$14 = $D24) * 1,  _xlfn.XLOOKUP(1,  ('ж.д.'!$B$5:$M$5 = I$2) * ('ж.д.'!$B$4:$M$4 = $S$2), 'ж.д.'!$B$6:$M$14)), "-")</f>
        <v>150590</v>
      </c>
      <c r="J24" s="149" cm="1">
        <f t="array" aca="1" ref="J24" ca="1">IFERROR(_xlfn.XLOOKUP(1,  ('ж.д.'!$A$6:$A$14 = $D24) * 1,  _xlfn.XLOOKUP(1,  ('ж.д.'!$B$5:$M$5 = J$2) * ('ж.д.'!$B$4:$M$4 = $S$2), 'ж.д.'!$B$6:$M$14)), "-")</f>
        <v>168355</v>
      </c>
      <c r="K24" s="149" cm="1">
        <f t="array" aca="1" ref="K24" ca="1">IFERROR(_xlfn.XLOOKUP(1,  ('ж.д.'!$A$6:$A$14 = $D24) * 1,  _xlfn.XLOOKUP(1,  ('ж.д.'!$B$5:$M$5 = K$2) * ('ж.д.'!$B$4:$M$4 = $S$2), 'ж.д.'!$B$6:$M$14)), "-")</f>
        <v>259240</v>
      </c>
      <c r="L24" s="231" cm="1">
        <f t="array" aca="1" ref="L24" ca="1">IF(ISNUMBER(SEARCH("Транс",$C24)),_xlfn.XLOOKUP(1,('Фрахт Транс'!$A$5:$A$10=$D24)*1,_xlfn.XLOOKUP(1,('Фрахт Транс'!$B$3:$M$3 = $S$2)*('Фрахт Транс'!$B$4:$M$4=L$2),'Фрахт Транс'!$B$5:$M$10)),SUM($E24, $G24, $I24, $O24))</f>
        <v>484734</v>
      </c>
      <c r="M24" s="231" cm="1">
        <f t="array" aca="1" ref="M24" ca="1">IF(ISNUMBER(SEARCH("Транс",$C24)),_xlfn.XLOOKUP(1,('Фрахт Транс'!$A$5:$A$10=$D24)*1,_xlfn.XLOOKUP(1,('Фрахт Транс'!$B$3:$M$3=$S$2)*('Фрахт Транс'!$B$4:$M$4=M$2),'Фрахт Транс'!$B$5:$M$10)),SUM($E24, $G24, $J24, $O24))</f>
        <v>502499</v>
      </c>
      <c r="N24" s="231" cm="1">
        <f t="array" aca="1" ref="N24" ca="1">IF(ISNUMBER(SEARCH("Транс",$C24)),_xlfn.XLOOKUP(1,('Фрахт Транс'!$A$5:$A$10=$D24)*1,_xlfn.XLOOKUP(1,('Фрахт Транс'!$B$3:$M$3=$S$2)*('Фрахт Транс'!$B$4:$M$4=N$2),'Фрахт Транс'!$B$5:$M$10)),SUM($F24, $H24, $K24, $P24))</f>
        <v>716791</v>
      </c>
      <c r="O24" s="231" cm="1">
        <f t="array" aca="1" ref="O24" ca="1">IFERROR(_xlfn.XLOOKUP(1,  (Охрана!$A$6:$A$14 = $D24) * 1,  _xlfn.XLOOKUP(1,  (Охрана!$B$5:$M$5 = O$2) * (Охрана!$B$4:$M$4 = $S$2), Охрана!$B$6:$M$14)), "-")</f>
        <v>4144</v>
      </c>
      <c r="P24" s="232" cm="1">
        <f t="array" aca="1" ref="P24" ca="1">IFERROR(_xlfn.XLOOKUP(1,  (Охрана!$A$6:$A$14 = $D24) * 1,  _xlfn.XLOOKUP(1,  (Охрана!$B$5:$M$5 = P$2) * (Охрана!$B$4:$M$4 = $S$2), Охрана!$B$6:$M$14)), "-")</f>
        <v>7551</v>
      </c>
      <c r="Q24" s="282"/>
      <c r="R24" s="3"/>
      <c r="S24" s="1"/>
    </row>
    <row r="25" spans="1:19" ht="15" customHeight="1" x14ac:dyDescent="0.25">
      <c r="A25" s="225" t="s">
        <v>15</v>
      </c>
      <c r="B25" s="288"/>
      <c r="C25" s="41" t="s">
        <v>35</v>
      </c>
      <c r="D25" s="40" t="s">
        <v>11</v>
      </c>
      <c r="E25" s="150" cm="1">
        <f t="array" ref="E25">IFERROR(_xlfn.XLOOKUP(1, (Фрахт!$A$5:$A$80 = $A25)* (Фрахт!$B$5:$B$80 = $C25) * (Фрахт!$C$5:$C$80 =$D25),  _xlfn.XLOOKUP(1,  (Фрахт!$D$4:$E$4 = E$2) * 1, Фрахт!$D$5:$E$80)) *  $S$1, "-")</f>
        <v>283500</v>
      </c>
      <c r="F25" s="150" cm="1">
        <f t="array" ref="F25">IFERROR(_xlfn.XLOOKUP(1, (Фрахт!$A$5:$A$80 = $A25)* (Фрахт!$B$5:$B$80 = $C25) * (Фрахт!$C$5:$C$80 =$D25),  _xlfn.XLOOKUP(1,  (Фрахт!$D$4:$E$4 = F$2) * 1, Фрахт!$D$5:$E$80)) *  $S$1, "-")</f>
        <v>472500</v>
      </c>
      <c r="G25" s="150" cm="1">
        <f t="array" aca="1" ref="G25" ca="1">IFERROR(_xlfn.XLOOKUP(1,  ('Drop off'!$A$6:$A$14 = $C25) * 1,  _xlfn.XLOOKUP(1,  ('Drop off'!$B$5:$I$5 = G$2) * ('Drop off'!$B$4:$I$4 = $S$2), 'Drop off'!$B$6:$I$14)) * $S$1, "-")</f>
        <v>75600</v>
      </c>
      <c r="H25" s="150" cm="1">
        <f t="array" aca="1" ref="H25" ca="1">IFERROR(_xlfn.XLOOKUP(1,  ('Drop off'!$A$6:$A$14 = $C25) * 1,  _xlfn.XLOOKUP(1,  ('Drop off'!$B$5:$I$5 = H$2) * ('Drop off'!$B$4:$I$4 = $S$2), 'Drop off'!$B$6:$I$14)) * $S$1, "-")</f>
        <v>56700</v>
      </c>
      <c r="I25" s="150" cm="1">
        <f t="array" aca="1" ref="I25" ca="1">IFERROR(_xlfn.XLOOKUP(1,  ('ж.д.'!$A$6:$A$14 = $D25) * 1,  _xlfn.XLOOKUP(1,  ('ж.д.'!$B$5:$M$5 = I$2) * ('ж.д.'!$B$4:$M$4 = $S$2), 'ж.д.'!$B$6:$M$14)), "-")</f>
        <v>124800</v>
      </c>
      <c r="J25" s="150" cm="1">
        <f t="array" aca="1" ref="J25" ca="1">IFERROR(_xlfn.XLOOKUP(1,  ('ж.д.'!$A$6:$A$14 = $D25) * 1,  _xlfn.XLOOKUP(1,  ('ж.д.'!$B$5:$M$5 = J$2) * ('ж.д.'!$B$4:$M$4 = $S$2), 'ж.д.'!$B$6:$M$14)), "-")</f>
        <v>143000</v>
      </c>
      <c r="K25" s="150" cm="1">
        <f t="array" aca="1" ref="K25" ca="1">IFERROR(_xlfn.XLOOKUP(1,  ('ж.д.'!$A$6:$A$14 = $D25) * 1,  _xlfn.XLOOKUP(1,  ('ж.д.'!$B$5:$M$5 = K$2) * ('ж.д.'!$B$4:$M$4 = $S$2), 'ж.д.'!$B$6:$M$14)), "-")</f>
        <v>211800</v>
      </c>
      <c r="L25" s="233" cm="1">
        <f t="array" aca="1" ref="L25" ca="1">IF(ISNUMBER(SEARCH("Транс",$C25)),_xlfn.XLOOKUP(1,('Фрахт Транс'!$A$5:$A$10=$D25)*1,_xlfn.XLOOKUP(1,('Фрахт Транс'!$B$3:$M$3 = $S$2)*('Фрахт Транс'!$B$4:$M$4=L$2),'Фрахт Транс'!$B$5:$M$10)),SUM($E25, $G25, $I25, $O25))</f>
        <v>487294</v>
      </c>
      <c r="M25" s="233" cm="1">
        <f t="array" aca="1" ref="M25" ca="1">IF(ISNUMBER(SEARCH("Транс",$C25)),_xlfn.XLOOKUP(1,('Фрахт Транс'!$A$5:$A$10=$D25)*1,_xlfn.XLOOKUP(1,('Фрахт Транс'!$B$3:$M$3=$S$2)*('Фрахт Транс'!$B$4:$M$4=M$2),'Фрахт Транс'!$B$5:$M$10)),SUM($E25, $G25, $J25, $O25))</f>
        <v>505494</v>
      </c>
      <c r="N25" s="233" cm="1">
        <f t="array" aca="1" ref="N25" ca="1">IF(ISNUMBER(SEARCH("Транс",$C25)),_xlfn.XLOOKUP(1,('Фрахт Транс'!$A$5:$A$10=$D25)*1,_xlfn.XLOOKUP(1,('Фрахт Транс'!$B$3:$M$3=$S$2)*('Фрахт Транс'!$B$4:$M$4=N$2),'Фрахт Транс'!$B$5:$M$10)),SUM($F25, $H25, $K25, $P25))</f>
        <v>747801</v>
      </c>
      <c r="O25" s="233" cm="1">
        <f t="array" aca="1" ref="O25" ca="1">IFERROR(_xlfn.XLOOKUP(1,  (Охрана!$A$6:$A$14 = $D25) * 1,  _xlfn.XLOOKUP(1,  (Охрана!$B$5:$M$5 = O$2) * (Охрана!$B$4:$M$4 = $S$2), Охрана!$B$6:$M$14)), "-")</f>
        <v>3394</v>
      </c>
      <c r="P25" s="234" cm="1">
        <f t="array" aca="1" ref="P25" ca="1">IFERROR(_xlfn.XLOOKUP(1,  (Охрана!$A$6:$A$14 = $D25) * 1,  _xlfn.XLOOKUP(1,  (Охрана!$B$5:$M$5 = P$2) * (Охрана!$B$4:$M$4 = $S$2), Охрана!$B$6:$M$14)), "-")</f>
        <v>6801</v>
      </c>
      <c r="Q25" s="286"/>
      <c r="R25" s="4"/>
      <c r="S25" s="1"/>
    </row>
    <row r="26" spans="1:19" ht="15" customHeight="1" x14ac:dyDescent="0.25">
      <c r="A26" s="225" t="s">
        <v>15</v>
      </c>
      <c r="B26" s="288"/>
      <c r="C26" s="41" t="s">
        <v>35</v>
      </c>
      <c r="D26" s="40" t="s">
        <v>10</v>
      </c>
      <c r="E26" s="150" cm="1">
        <f t="array" ref="E26">IFERROR(_xlfn.XLOOKUP(1, (Фрахт!$A$5:$A$80 = $A26)* (Фрахт!$B$5:$B$80 = $C26) * (Фрахт!$C$5:$C$80 =$D26),  _xlfn.XLOOKUP(1,  (Фрахт!$D$4:$E$4 = E$2) * 1, Фрахт!$D$5:$E$80)) *  $S$1, "-")</f>
        <v>283500</v>
      </c>
      <c r="F26" s="150" cm="1">
        <f t="array" ref="F26">IFERROR(_xlfn.XLOOKUP(1, (Фрахт!$A$5:$A$80 = $A26)* (Фрахт!$B$5:$B$80 = $C26) * (Фрахт!$C$5:$C$80 =$D26),  _xlfn.XLOOKUP(1,  (Фрахт!$D$4:$E$4 = F$2) * 1, Фрахт!$D$5:$E$80)) *  $S$1, "-")</f>
        <v>472500</v>
      </c>
      <c r="G26" s="150" cm="1">
        <f t="array" aca="1" ref="G26" ca="1">IFERROR(_xlfn.XLOOKUP(1,  ('Drop off'!$A$6:$A$14 = $C26) * 1,  _xlfn.XLOOKUP(1,  ('Drop off'!$B$5:$I$5 = G$2) * ('Drop off'!$B$4:$I$4 = $S$2), 'Drop off'!$B$6:$I$14)) * $S$1, "-")</f>
        <v>75600</v>
      </c>
      <c r="H26" s="150" cm="1">
        <f t="array" aca="1" ref="H26" ca="1">IFERROR(_xlfn.XLOOKUP(1,  ('Drop off'!$A$6:$A$14 = $C26) * 1,  _xlfn.XLOOKUP(1,  ('Drop off'!$B$5:$I$5 = H$2) * ('Drop off'!$B$4:$I$4 = $S$2), 'Drop off'!$B$6:$I$14)) * $S$1, "-")</f>
        <v>56700</v>
      </c>
      <c r="I26" s="150" cm="1">
        <f t="array" aca="1" ref="I26" ca="1">IFERROR(_xlfn.XLOOKUP(1,  ('ж.д.'!$A$6:$A$14 = $D26) * 1,  _xlfn.XLOOKUP(1,  ('ж.д.'!$B$5:$M$5 = I$2) * ('ж.д.'!$B$4:$M$4 = $S$2), 'ж.д.'!$B$6:$M$14)), "-")</f>
        <v>125800</v>
      </c>
      <c r="J26" s="150" cm="1">
        <f t="array" aca="1" ref="J26" ca="1">IFERROR(_xlfn.XLOOKUP(1,  ('ж.д.'!$A$6:$A$14 = $D26) * 1,  _xlfn.XLOOKUP(1,  ('ж.д.'!$B$5:$M$5 = J$2) * ('ж.д.'!$B$4:$M$4 = $S$2), 'ж.д.'!$B$6:$M$14)), "-")</f>
        <v>141805</v>
      </c>
      <c r="K26" s="150" cm="1">
        <f t="array" aca="1" ref="K26" ca="1">IFERROR(_xlfn.XLOOKUP(1,  ('ж.д.'!$A$6:$A$14 = $D26) * 1,  _xlfn.XLOOKUP(1,  ('ж.д.'!$B$5:$M$5 = K$2) * ('ж.д.'!$B$4:$M$4 = $S$2), 'ж.д.'!$B$6:$M$14)), "-")</f>
        <v>211100</v>
      </c>
      <c r="L26" s="233" cm="1">
        <f t="array" aca="1" ref="L26" ca="1">IF(ISNUMBER(SEARCH("Транс",$C26)),_xlfn.XLOOKUP(1,('Фрахт Транс'!$A$5:$A$10=$D26)*1,_xlfn.XLOOKUP(1,('Фрахт Транс'!$B$3:$M$3 = $S$2)*('Фрахт Транс'!$B$4:$M$4=L$2),'Фрахт Транс'!$B$5:$M$10)),SUM($E26, $G26, $I26, $O26))</f>
        <v>489044</v>
      </c>
      <c r="M26" s="233" cm="1">
        <f t="array" aca="1" ref="M26" ca="1">IF(ISNUMBER(SEARCH("Транс",$C26)),_xlfn.XLOOKUP(1,('Фрахт Транс'!$A$5:$A$10=$D26)*1,_xlfn.XLOOKUP(1,('Фрахт Транс'!$B$3:$M$3=$S$2)*('Фрахт Транс'!$B$4:$M$4=M$2),'Фрахт Транс'!$B$5:$M$10)),SUM($E26, $G26, $J26, $O26))</f>
        <v>505049</v>
      </c>
      <c r="N26" s="233" cm="1">
        <f t="array" aca="1" ref="N26" ca="1">IF(ISNUMBER(SEARCH("Транс",$C26)),_xlfn.XLOOKUP(1,('Фрахт Транс'!$A$5:$A$10=$D26)*1,_xlfn.XLOOKUP(1,('Фрахт Транс'!$B$3:$M$3=$S$2)*('Фрахт Транс'!$B$4:$M$4=N$2),'Фрахт Транс'!$B$5:$M$10)),SUM($F26, $H26, $K26, $P26))</f>
        <v>747851</v>
      </c>
      <c r="O26" s="233" cm="1">
        <f t="array" aca="1" ref="O26" ca="1">IFERROR(_xlfn.XLOOKUP(1,  (Охрана!$A$6:$A$14 = $D26) * 1,  _xlfn.XLOOKUP(1,  (Охрана!$B$5:$M$5 = O$2) * (Охрана!$B$4:$M$4 = $S$2), Охрана!$B$6:$M$14)), "-")</f>
        <v>4144</v>
      </c>
      <c r="P26" s="234" cm="1">
        <f t="array" aca="1" ref="P26" ca="1">IFERROR(_xlfn.XLOOKUP(1,  (Охрана!$A$6:$A$14 = $D26) * 1,  _xlfn.XLOOKUP(1,  (Охрана!$B$5:$M$5 = P$2) * (Охрана!$B$4:$M$4 = $S$2), Охрана!$B$6:$M$14)), "-")</f>
        <v>7551</v>
      </c>
      <c r="Q26" s="286"/>
      <c r="R26" s="4"/>
      <c r="S26" s="1"/>
    </row>
    <row r="27" spans="1:19" ht="15" customHeight="1" x14ac:dyDescent="0.25">
      <c r="A27" s="225" t="s">
        <v>15</v>
      </c>
      <c r="B27" s="288"/>
      <c r="C27" s="41" t="s">
        <v>35</v>
      </c>
      <c r="D27" s="40" t="s">
        <v>7</v>
      </c>
      <c r="E27" s="150" cm="1">
        <f t="array" ref="E27">IFERROR(_xlfn.XLOOKUP(1, (Фрахт!$A$5:$A$80 = $A27)* (Фрахт!$B$5:$B$80 = $C27) * (Фрахт!$C$5:$C$80 =$D27),  _xlfn.XLOOKUP(1,  (Фрахт!$D$4:$E$4 = E$2) * 1, Фрахт!$D$5:$E$80)) *  $S$1, "-")</f>
        <v>283500</v>
      </c>
      <c r="F27" s="150" cm="1">
        <f t="array" ref="F27">IFERROR(_xlfn.XLOOKUP(1, (Фрахт!$A$5:$A$80 = $A27)* (Фрахт!$B$5:$B$80 = $C27) * (Фрахт!$C$5:$C$80 =$D27),  _xlfn.XLOOKUP(1,  (Фрахт!$D$4:$E$4 = F$2) * 1, Фрахт!$D$5:$E$80)) *  $S$1, "-")</f>
        <v>472500</v>
      </c>
      <c r="G27" s="150" cm="1">
        <f t="array" aca="1" ref="G27" ca="1">IFERROR(_xlfn.XLOOKUP(1,  ('Drop off'!$A$6:$A$14 = $C27) * 1,  _xlfn.XLOOKUP(1,  ('Drop off'!$B$5:$I$5 = G$2) * ('Drop off'!$B$4:$I$4 = $S$2), 'Drop off'!$B$6:$I$14)) * $S$1, "-")</f>
        <v>75600</v>
      </c>
      <c r="H27" s="150" cm="1">
        <f t="array" aca="1" ref="H27" ca="1">IFERROR(_xlfn.XLOOKUP(1,  ('Drop off'!$A$6:$A$14 = $C27) * 1,  _xlfn.XLOOKUP(1,  ('Drop off'!$B$5:$I$5 = H$2) * ('Drop off'!$B$4:$I$4 = $S$2), 'Drop off'!$B$6:$I$14)) * $S$1, "-")</f>
        <v>56700</v>
      </c>
      <c r="I27" s="150" cm="1">
        <f t="array" aca="1" ref="I27" ca="1">IFERROR(_xlfn.XLOOKUP(1,  ('ж.д.'!$A$6:$A$14 = $D27) * 1,  _xlfn.XLOOKUP(1,  ('ж.д.'!$B$5:$M$5 = I$2) * ('ж.д.'!$B$4:$M$4 = $S$2), 'ж.д.'!$B$6:$M$14)), "-")</f>
        <v>120000</v>
      </c>
      <c r="J27" s="150" cm="1">
        <f t="array" aca="1" ref="J27" ca="1">IFERROR(_xlfn.XLOOKUP(1,  ('ж.д.'!$A$6:$A$14 = $D27) * 1,  _xlfn.XLOOKUP(1,  ('ж.д.'!$B$5:$M$5 = J$2) * ('ж.д.'!$B$4:$M$4 = $S$2), 'ж.д.'!$B$6:$M$14)), "-")</f>
        <v>137000</v>
      </c>
      <c r="K27" s="150" cm="1">
        <f t="array" aca="1" ref="K27" ca="1">IFERROR(_xlfn.XLOOKUP(1,  ('ж.д.'!$A$6:$A$14 = $D27) * 1,  _xlfn.XLOOKUP(1,  ('ж.д.'!$B$5:$M$5 = K$2) * ('ж.д.'!$B$4:$M$4 = $S$2), 'ж.д.'!$B$6:$M$14)), "-")</f>
        <v>200000</v>
      </c>
      <c r="L27" s="233" cm="1">
        <f t="array" aca="1" ref="L27" ca="1">IF(ISNUMBER(SEARCH("Транс",$C27)),_xlfn.XLOOKUP(1,('Фрахт Транс'!$A$5:$A$10=$D27)*1,_xlfn.XLOOKUP(1,('Фрахт Транс'!$B$3:$M$3 = $S$2)*('Фрахт Транс'!$B$4:$M$4=L$2),'Фрахт Транс'!$B$5:$M$10)),SUM($E27, $G27, $I27, $O27))</f>
        <v>483200</v>
      </c>
      <c r="M27" s="233" cm="1">
        <f t="array" aca="1" ref="M27" ca="1">IF(ISNUMBER(SEARCH("Транс",$C27)),_xlfn.XLOOKUP(1,('Фрахт Транс'!$A$5:$A$10=$D27)*1,_xlfn.XLOOKUP(1,('Фрахт Транс'!$B$3:$M$3=$S$2)*('Фрахт Транс'!$B$4:$M$4=M$2),'Фрахт Транс'!$B$5:$M$10)),SUM($E27, $G27, $J27, $O27))</f>
        <v>500200</v>
      </c>
      <c r="N27" s="233" cm="1">
        <f t="array" aca="1" ref="N27" ca="1">IF(ISNUMBER(SEARCH("Транс",$C27)),_xlfn.XLOOKUP(1,('Фрахт Транс'!$A$5:$A$10=$D27)*1,_xlfn.XLOOKUP(1,('Фрахт Транс'!$B$3:$M$3=$S$2)*('Фрахт Транс'!$B$4:$M$4=N$2),'Фрахт Транс'!$B$5:$M$10)),SUM($F27, $H27, $K27, $P27))</f>
        <v>737400</v>
      </c>
      <c r="O27" s="233" cm="1">
        <f t="array" aca="1" ref="O27" ca="1">IFERROR(_xlfn.XLOOKUP(1,  (Охрана!$A$6:$A$14 = $D27) * 1,  _xlfn.XLOOKUP(1,  (Охрана!$B$5:$M$5 = O$2) * (Охрана!$B$4:$M$4 = $S$2), Охрана!$B$6:$M$14)), "-")</f>
        <v>4100</v>
      </c>
      <c r="P27" s="234" cm="1">
        <f t="array" aca="1" ref="P27" ca="1">IFERROR(_xlfn.XLOOKUP(1,  (Охрана!$A$6:$A$14 = $D27) * 1,  _xlfn.XLOOKUP(1,  (Охрана!$B$5:$M$5 = P$2) * (Охрана!$B$4:$M$4 = $S$2), Охрана!$B$6:$M$14)), "-")</f>
        <v>8200</v>
      </c>
      <c r="Q27" s="286"/>
      <c r="R27" s="4"/>
      <c r="S27" s="1"/>
    </row>
    <row r="28" spans="1:19" ht="15" customHeight="1" x14ac:dyDescent="0.25">
      <c r="A28" s="225" t="s">
        <v>15</v>
      </c>
      <c r="B28" s="288"/>
      <c r="C28" s="50" t="s">
        <v>36</v>
      </c>
      <c r="D28" s="50" t="s">
        <v>21</v>
      </c>
      <c r="E28" s="151" cm="1">
        <f t="array" ref="E28">IFERROR(_xlfn.XLOOKUP(1, (Фрахт!$A$5:$A$80 = $A28)* (Фрахт!$B$5:$B$80 = $C28) * (Фрахт!$C$5:$C$80 =$D28),  _xlfn.XLOOKUP(1,  (Фрахт!$D$4:$E$4 = E$2) * 1, Фрахт!$D$5:$E$80)) *  $S$1, "-")</f>
        <v>245160</v>
      </c>
      <c r="F28" s="151" cm="1">
        <f t="array" ref="F28">IFERROR(_xlfn.XLOOKUP(1, (Фрахт!$A$5:$A$80 = $A28)* (Фрахт!$B$5:$B$80 = $C28) * (Фрахт!$C$5:$C$80 =$D28),  _xlfn.XLOOKUP(1,  (Фрахт!$D$4:$E$4 = F$2) * 1, Фрахт!$D$5:$E$80)) *  $S$1, "-")</f>
        <v>412320</v>
      </c>
      <c r="G28" s="151" cm="1">
        <f t="array" aca="1" ref="G28" ca="1">IFERROR(_xlfn.XLOOKUP(1,  ('Drop off'!$A$6:$A$14 = $C28) * 1,  _xlfn.XLOOKUP(1,  ('Drop off'!$B$5:$I$5 = G$2) * ('Drop off'!$B$4:$I$4 = $S$2), 'Drop off'!$B$6:$I$14)) * $S$1, "-")</f>
        <v>0</v>
      </c>
      <c r="H28" s="151" cm="1">
        <f t="array" aca="1" ref="H28" ca="1">IFERROR(_xlfn.XLOOKUP(1,  ('Drop off'!$A$6:$A$14 = $C28) * 1,  _xlfn.XLOOKUP(1,  ('Drop off'!$B$5:$I$5 = H$2) * ('Drop off'!$B$4:$I$4 = $S$2), 'Drop off'!$B$6:$I$14)) * $S$1, "-")</f>
        <v>0</v>
      </c>
      <c r="I28" s="151" cm="1">
        <f t="array" aca="1" ref="I28" ca="1">IFERROR(_xlfn.XLOOKUP(1,  ('ж.д.'!$A$6:$A$14 = $D28) * 1,  _xlfn.XLOOKUP(1,  ('ж.д.'!$B$5:$M$5 = I$2) * ('ж.д.'!$B$4:$M$4 = $S$2), 'ж.д.'!$B$6:$M$14)), "-")</f>
        <v>107400</v>
      </c>
      <c r="J28" s="151" cm="1">
        <f t="array" aca="1" ref="J28" ca="1">IFERROR(_xlfn.XLOOKUP(1,  ('ж.д.'!$A$6:$A$14 = $D28) * 1,  _xlfn.XLOOKUP(1,  ('ж.д.'!$B$5:$M$5 = J$2) * ('ж.д.'!$B$4:$M$4 = $S$2), 'ж.д.'!$B$6:$M$14)), "-")</f>
        <v>123400</v>
      </c>
      <c r="K28" s="151" cm="1">
        <f t="array" aca="1" ref="K28" ca="1">IFERROR(_xlfn.XLOOKUP(1,  ('ж.д.'!$A$6:$A$14 = $D28) * 1,  _xlfn.XLOOKUP(1,  ('ж.д.'!$B$5:$M$5 = K$2) * ('ж.д.'!$B$4:$M$4 = $S$2), 'ж.д.'!$B$6:$M$14)), "-")</f>
        <v>187400</v>
      </c>
      <c r="L28" s="235" cm="1">
        <f t="array" aca="1" ref="L28" ca="1">IF(ISNUMBER(SEARCH("Транс",$C28)),_xlfn.XLOOKUP(1,('Фрахт Транс'!$A$5:$A$10=$D28)*1,_xlfn.XLOOKUP(1,('Фрахт Транс'!$B$3:$M$3 = $S$2)*('Фрахт Транс'!$B$4:$M$4=L$2),'Фрахт Транс'!$B$5:$M$10)),SUM($E28, $G28, $I28, $O28))</f>
        <v>355954</v>
      </c>
      <c r="M28" s="235" cm="1">
        <f t="array" aca="1" ref="M28" ca="1">IF(ISNUMBER(SEARCH("Транс",$C28)),_xlfn.XLOOKUP(1,('Фрахт Транс'!$A$5:$A$10=$D28)*1,_xlfn.XLOOKUP(1,('Фрахт Транс'!$B$3:$M$3=$S$2)*('Фрахт Транс'!$B$4:$M$4=M$2),'Фрахт Транс'!$B$5:$M$10)),SUM($E28, $G28, $J28, $O28))</f>
        <v>371954</v>
      </c>
      <c r="N28" s="235" cm="1">
        <f t="array" aca="1" ref="N28" ca="1">IF(ISNUMBER(SEARCH("Транс",$C28)),_xlfn.XLOOKUP(1,('Фрахт Транс'!$A$5:$A$10=$D28)*1,_xlfn.XLOOKUP(1,('Фрахт Транс'!$B$3:$M$3=$S$2)*('Фрахт Транс'!$B$4:$M$4=N$2),'Фрахт Транс'!$B$5:$M$10)),SUM($F28, $H28, $K28, $P28))</f>
        <v>606521</v>
      </c>
      <c r="O28" s="235" cm="1">
        <f t="array" aca="1" ref="O28" ca="1">IFERROR(_xlfn.XLOOKUP(1,  (Охрана!$A$6:$A$14 = $D28) * 1,  _xlfn.XLOOKUP(1,  (Охрана!$B$5:$M$5 = O$2) * (Охрана!$B$4:$M$4 = $S$2), Охрана!$B$6:$M$14)), "-")</f>
        <v>3394</v>
      </c>
      <c r="P28" s="236" cm="1">
        <f t="array" aca="1" ref="P28" ca="1">IFERROR(_xlfn.XLOOKUP(1,  (Охрана!$A$6:$A$14 = $D28) * 1,  _xlfn.XLOOKUP(1,  (Охрана!$B$5:$M$5 = P$2) * (Охрана!$B$4:$M$4 = $S$2), Охрана!$B$6:$M$14)), "-")</f>
        <v>6801</v>
      </c>
      <c r="Q28" s="38"/>
      <c r="R28" s="3"/>
      <c r="S28" s="1"/>
    </row>
    <row r="29" spans="1:19" ht="15.75" customHeight="1" thickBot="1" x14ac:dyDescent="0.3">
      <c r="A29" s="225" t="s">
        <v>15</v>
      </c>
      <c r="B29" s="289"/>
      <c r="C29" s="58" t="s">
        <v>37</v>
      </c>
      <c r="D29" s="55" t="s">
        <v>11</v>
      </c>
      <c r="E29" s="228" cm="1">
        <f t="array" ref="E29">IFERROR(_xlfn.XLOOKUP(1, (Фрахт!$A$5:$A$80 = $A29)* (Фрахт!$B$5:$B$80 = $C29) * (Фрахт!$C$5:$C$80 =$D29),  _xlfn.XLOOKUP(1,  (Фрахт!$D$4:$E$4 = E$2) * 1, Фрахт!$D$5:$E$80)) *  $S$1, "-")</f>
        <v>216000</v>
      </c>
      <c r="F29" s="228" cm="1">
        <f t="array" ref="F29">IFERROR(_xlfn.XLOOKUP(1, (Фрахт!$A$5:$A$80 = $A29)* (Фрахт!$B$5:$B$80 = $C29) * (Фрахт!$C$5:$C$80 =$D29),  _xlfn.XLOOKUP(1,  (Фрахт!$D$4:$E$4 = F$2) * 1, Фрахт!$D$5:$E$80)) *  $S$1, "-")</f>
        <v>360000</v>
      </c>
      <c r="G29" s="228" cm="1">
        <f t="array" aca="1" ref="G29" ca="1">IFERROR(_xlfn.XLOOKUP(1,  ('Drop off'!$A$6:$A$14 = $C29) * 1,  _xlfn.XLOOKUP(1,  ('Drop off'!$B$5:$I$5 = G$2) * ('Drop off'!$B$4:$I$4 = $S$2), 'Drop off'!$B$6:$I$14)) * $S$1, "-")</f>
        <v>0</v>
      </c>
      <c r="H29" s="228" cm="1">
        <f t="array" aca="1" ref="H29" ca="1">IFERROR(_xlfn.XLOOKUP(1,  ('Drop off'!$A$6:$A$14 = $C29) * 1,  _xlfn.XLOOKUP(1,  ('Drop off'!$B$5:$I$5 = H$2) * ('Drop off'!$B$4:$I$4 = $S$2), 'Drop off'!$B$6:$I$14)) * $S$1, "-")</f>
        <v>0</v>
      </c>
      <c r="I29" s="228" cm="1">
        <f t="array" aca="1" ref="I29" ca="1">IFERROR(_xlfn.XLOOKUP(1,  ('ж.д.'!$A$6:$A$14 = $D29) * 1,  _xlfn.XLOOKUP(1,  ('ж.д.'!$B$5:$M$5 = I$2) * ('ж.д.'!$B$4:$M$4 = $S$2), 'ж.д.'!$B$6:$M$14)), "-")</f>
        <v>124800</v>
      </c>
      <c r="J29" s="228" cm="1">
        <f t="array" aca="1" ref="J29" ca="1">IFERROR(_xlfn.XLOOKUP(1,  ('ж.д.'!$A$6:$A$14 = $D29) * 1,  _xlfn.XLOOKUP(1,  ('ж.д.'!$B$5:$M$5 = J$2) * ('ж.д.'!$B$4:$M$4 = $S$2), 'ж.д.'!$B$6:$M$14)), "-")</f>
        <v>143000</v>
      </c>
      <c r="K29" s="228" cm="1">
        <f t="array" aca="1" ref="K29" ca="1">IFERROR(_xlfn.XLOOKUP(1,  ('ж.д.'!$A$6:$A$14 = $D29) * 1,  _xlfn.XLOOKUP(1,  ('ж.д.'!$B$5:$M$5 = K$2) * ('ж.д.'!$B$4:$M$4 = $S$2), 'ж.д.'!$B$6:$M$14)), "-")</f>
        <v>211800</v>
      </c>
      <c r="L29" s="160" cm="1">
        <f t="array" aca="1" ref="L29" ca="1">IF(ISNUMBER(SEARCH("Транс",$C29)),_xlfn.XLOOKUP(1,('Фрахт Транс'!$A$5:$A$10=$D29)*1,_xlfn.XLOOKUP(1,('Фрахт Транс'!$B$3:$M$3 = $S$2)*('Фрахт Транс'!$B$4:$M$4=L$2),'Фрахт Транс'!$B$5:$M$10)),SUM($E29, $G29, $I29, $O29))</f>
        <v>344194</v>
      </c>
      <c r="M29" s="160" cm="1">
        <f t="array" aca="1" ref="M29" ca="1">IF(ISNUMBER(SEARCH("Транс",$C29)),_xlfn.XLOOKUP(1,('Фрахт Транс'!$A$5:$A$10=$D29)*1,_xlfn.XLOOKUP(1,('Фрахт Транс'!$B$3:$M$3=$S$2)*('Фрахт Транс'!$B$4:$M$4=M$2),'Фрахт Транс'!$B$5:$M$10)),SUM($E29, $G29, $J29, $O29))</f>
        <v>362394</v>
      </c>
      <c r="N29" s="160" cm="1">
        <f t="array" aca="1" ref="N29" ca="1">IF(ISNUMBER(SEARCH("Транс",$C29)),_xlfn.XLOOKUP(1,('Фрахт Транс'!$A$5:$A$10=$D29)*1,_xlfn.XLOOKUP(1,('Фрахт Транс'!$B$3:$M$3=$S$2)*('Фрахт Транс'!$B$4:$M$4=N$2),'Фрахт Транс'!$B$5:$M$10)),SUM($F29, $H29, $K29, $P29))</f>
        <v>578601</v>
      </c>
      <c r="O29" s="160" cm="1">
        <f t="array" aca="1" ref="O29" ca="1">IFERROR(_xlfn.XLOOKUP(1,  (Охрана!$A$6:$A$14 = $D29) * 1,  _xlfn.XLOOKUP(1,  (Охрана!$B$5:$M$5 = O$2) * (Охрана!$B$4:$M$4 = $S$2), Охрана!$B$6:$M$14)), "-")</f>
        <v>3394</v>
      </c>
      <c r="P29" s="206" cm="1">
        <f t="array" aca="1" ref="P29" ca="1">IFERROR(_xlfn.XLOOKUP(1,  (Охрана!$A$6:$A$14 = $D29) * 1,  _xlfn.XLOOKUP(1,  (Охрана!$B$5:$M$5 = P$2) * (Охрана!$B$4:$M$4 = $S$2), Охрана!$B$6:$M$14)), "-")</f>
        <v>6801</v>
      </c>
      <c r="Q29" s="38"/>
      <c r="R29" s="3"/>
      <c r="S29" s="1"/>
    </row>
    <row r="30" spans="1:19" ht="30.75" thickBot="1" x14ac:dyDescent="0.3">
      <c r="A30" s="214" t="s">
        <v>16</v>
      </c>
      <c r="B30" s="290" t="s">
        <v>16</v>
      </c>
      <c r="C30" s="63" t="s">
        <v>43</v>
      </c>
      <c r="D30" s="64" t="s">
        <v>48</v>
      </c>
      <c r="E30" s="148" t="str" cm="1">
        <f t="array" ref="E30">IFERROR(_xlfn.XLOOKUP(1, (Фрахт!$A$5:$A$80 = $A30)* (Фрахт!$B$5:$B$80 = $C30) * (Фрахт!$C$5:$C$80 =$D30),  _xlfn.XLOOKUP(1,  (Фрахт!$D$4:$E$4 = E$2) * 1, Фрахт!$D$5:$E$80)) *  $S$1, "-")</f>
        <v>-</v>
      </c>
      <c r="F30" s="148" t="str" cm="1">
        <f t="array" ref="F30">IFERROR(_xlfn.XLOOKUP(1, (Фрахт!$A$5:$A$80 = $A30)* (Фрахт!$B$5:$B$80 = $C30) * (Фрахт!$C$5:$C$80 =$D30),  _xlfn.XLOOKUP(1,  (Фрахт!$D$4:$E$4 = F$2) * 1, Фрахт!$D$5:$E$80)) *  $S$1, "-")</f>
        <v>-</v>
      </c>
      <c r="G30" s="148" cm="1">
        <f t="array" aca="1" ref="G30" ca="1">IFERROR(_xlfn.XLOOKUP(1,  ('Drop off'!$A$6:$A$14 = $C30) * 1,  _xlfn.XLOOKUP(1,  ('Drop off'!$B$5:$I$5 = G$2) * ('Drop off'!$B$4:$I$4 = $S$2), 'Drop off'!$B$6:$I$14)) * $S$1, "-")</f>
        <v>0</v>
      </c>
      <c r="H30" s="148" cm="1">
        <f t="array" aca="1" ref="H30" ca="1">IFERROR(_xlfn.XLOOKUP(1,  ('Drop off'!$A$6:$A$14 = $C30) * 1,  _xlfn.XLOOKUP(1,  ('Drop off'!$B$5:$I$5 = H$2) * ('Drop off'!$B$4:$I$4 = $S$2), 'Drop off'!$B$6:$I$14)) * $S$1, "-")</f>
        <v>0</v>
      </c>
      <c r="I30" s="148" t="str" cm="1">
        <f t="array" aca="1" ref="I30" ca="1">IFERROR(_xlfn.XLOOKUP(1,  ('ж.д.'!$A$6:$A$14 = $D30) * 1,  _xlfn.XLOOKUP(1,  ('ж.д.'!$B$5:$M$5 = I$2) * ('ж.д.'!$B$4:$M$4 = $S$2), 'ж.д.'!$B$6:$M$14)), "-")</f>
        <v>-</v>
      </c>
      <c r="J30" s="148" t="str" cm="1">
        <f t="array" aca="1" ref="J30" ca="1">IFERROR(_xlfn.XLOOKUP(1,  ('ж.д.'!$A$6:$A$14 = $D30) * 1,  _xlfn.XLOOKUP(1,  ('ж.д.'!$B$5:$M$5 = J$2) * ('ж.д.'!$B$4:$M$4 = $S$2), 'ж.д.'!$B$6:$M$14)), "-")</f>
        <v>-</v>
      </c>
      <c r="K30" s="148" t="str" cm="1">
        <f t="array" aca="1" ref="K30" ca="1">IFERROR(_xlfn.XLOOKUP(1,  ('ж.д.'!$A$6:$A$14 = $D30) * 1,  _xlfn.XLOOKUP(1,  ('ж.д.'!$B$5:$M$5 = K$2) * ('ж.д.'!$B$4:$M$4 = $S$2), 'ж.д.'!$B$6:$M$14)), "-")</f>
        <v>-</v>
      </c>
      <c r="L30" s="192" cm="1">
        <f t="array" aca="1" ref="L30" ca="1">IF(ISNUMBER(SEARCH("Транс",$C30)),_xlfn.XLOOKUP(1,('Фрахт Транс'!$A$5:$A$10=$D30)*1,_xlfn.XLOOKUP(1,('Фрахт Транс'!$B$3:$M$3 = $S$2)*('Фрахт Транс'!$B$4:$M$4=L$2),'Фрахт Транс'!$B$5:$M$10)),SUM($E30, $G30, $I30, $O30))</f>
        <v>414060</v>
      </c>
      <c r="M30" s="192" cm="1">
        <f t="array" aca="1" ref="M30" ca="1">IF(ISNUMBER(SEARCH("Транс",$C30)),_xlfn.XLOOKUP(1,('Фрахт Транс'!$A$5:$A$10=$D30)*1,_xlfn.XLOOKUP(1,('Фрахт Транс'!$B$3:$M$3=$S$2)*('Фрахт Транс'!$B$4:$M$4=M$2),'Фрахт Транс'!$B$5:$M$10)),SUM($E30, $G30, $J30, $O30))</f>
        <v>432052</v>
      </c>
      <c r="N30" s="192" cm="1">
        <f t="array" aca="1" ref="N30" ca="1">IF(ISNUMBER(SEARCH("Транс",$C30)),_xlfn.XLOOKUP(1,('Фрахт Транс'!$A$5:$A$10=$D30)*1,_xlfn.XLOOKUP(1,('Фрахт Транс'!$B$3:$M$3=$S$2)*('Фрахт Транс'!$B$4:$M$4=N$2),'Фрахт Транс'!$B$5:$M$10)),SUM($F30, $H30, $K30, $P30))</f>
        <v>606513</v>
      </c>
      <c r="O30" s="192" t="str" cm="1">
        <f t="array" aca="1" ref="O30" ca="1">IFERROR(_xlfn.XLOOKUP(1,  (Охрана!$A$6:$A$14 = $D30) * 1,  _xlfn.XLOOKUP(1,  (Охрана!$B$5:$M$5 = O$2) * (Охрана!$B$4:$M$4 = $S$2), Охрана!$B$6:$M$14)), "-")</f>
        <v>-</v>
      </c>
      <c r="P30" s="193" t="str" cm="1">
        <f t="array" aca="1" ref="P30" ca="1">IFERROR(_xlfn.XLOOKUP(1,  (Охрана!$A$6:$A$14 = $D30) * 1,  _xlfn.XLOOKUP(1,  (Охрана!$B$5:$M$5 = P$2) * (Охрана!$B$4:$M$4 = $S$2), Охрана!$B$6:$M$14)), "-")</f>
        <v>-</v>
      </c>
      <c r="Q30" s="38"/>
      <c r="R30" s="6"/>
      <c r="S30" s="1"/>
    </row>
    <row r="31" spans="1:19" thickBot="1" x14ac:dyDescent="0.3">
      <c r="A31" s="214" t="s">
        <v>16</v>
      </c>
      <c r="B31" s="291"/>
      <c r="C31" s="42" t="s">
        <v>12</v>
      </c>
      <c r="D31" s="32" t="s">
        <v>30</v>
      </c>
      <c r="E31" s="149" cm="1">
        <f t="array" ref="E31">IFERROR(_xlfn.XLOOKUP(1, (Фрахт!$A$5:$A$80 = $A31)* (Фрахт!$B$5:$B$80 = $C31) * (Фрахт!$C$5:$C$80 =$D31),  _xlfn.XLOOKUP(1,  (Фрахт!$D$4:$E$4 = E$2) * 1, Фрахт!$D$5:$E$80)) *  $S$1, "-")</f>
        <v>330000</v>
      </c>
      <c r="F31" s="149" cm="1">
        <f t="array" ref="F31">IFERROR(_xlfn.XLOOKUP(1, (Фрахт!$A$5:$A$80 = $A31)* (Фрахт!$B$5:$B$80 = $C31) * (Фрахт!$C$5:$C$80 =$D31),  _xlfn.XLOOKUP(1,  (Фрахт!$D$4:$E$4 = F$2) * 1, Фрахт!$D$5:$E$80)) *  $S$1, "-")</f>
        <v>510000</v>
      </c>
      <c r="G31" s="149" cm="1">
        <f t="array" aca="1" ref="G31" ca="1">IFERROR(_xlfn.XLOOKUP(1,  ('Drop off'!$A$6:$A$14 = $C31) * 1,  _xlfn.XLOOKUP(1,  ('Drop off'!$B$5:$I$5 = G$2) * ('Drop off'!$B$4:$I$4 = $S$2), 'Drop off'!$B$6:$I$14)) * $S$1, "-")</f>
        <v>0</v>
      </c>
      <c r="H31" s="149" cm="1">
        <f t="array" aca="1" ref="H31" ca="1">IFERROR(_xlfn.XLOOKUP(1,  ('Drop off'!$A$6:$A$14 = $C31) * 1,  _xlfn.XLOOKUP(1,  ('Drop off'!$B$5:$I$5 = H$2) * ('Drop off'!$B$4:$I$4 = $S$2), 'Drop off'!$B$6:$I$14)) * $S$1, "-")</f>
        <v>0</v>
      </c>
      <c r="I31" s="149" cm="1">
        <f t="array" aca="1" ref="I31" ca="1">IFERROR(_xlfn.XLOOKUP(1,  ('ж.д.'!$A$6:$A$14 = $D31) * 1,  _xlfn.XLOOKUP(1,  ('ж.д.'!$B$5:$M$5 = I$2) * ('ж.д.'!$B$4:$M$4 = $S$2), 'ж.д.'!$B$6:$M$14)), "-")</f>
        <v>144300</v>
      </c>
      <c r="J31" s="149" cm="1">
        <f t="array" aca="1" ref="J31" ca="1">IFERROR(_xlfn.XLOOKUP(1,  ('ж.д.'!$A$6:$A$14 = $D31) * 1,  _xlfn.XLOOKUP(1,  ('ж.д.'!$B$5:$M$5 = J$2) * ('ж.д.'!$B$4:$M$4 = $S$2), 'ж.д.'!$B$6:$M$14)), "-")</f>
        <v>160305</v>
      </c>
      <c r="K31" s="149" cm="1">
        <f t="array" aca="1" ref="K31" ca="1">IFERROR(_xlfn.XLOOKUP(1,  ('ж.д.'!$A$6:$A$14 = $D31) * 1,  _xlfn.XLOOKUP(1,  ('ж.д.'!$B$5:$M$5 = K$2) * ('ж.д.'!$B$4:$M$4 = $S$2), 'ж.д.'!$B$6:$M$14)), "-")</f>
        <v>247100</v>
      </c>
      <c r="L31" s="231" cm="1">
        <f t="array" aca="1" ref="L31" ca="1">IF(ISNUMBER(SEARCH("Транс",$C31)),_xlfn.XLOOKUP(1,('Фрахт Транс'!$A$5:$A$10=$D31)*1,_xlfn.XLOOKUP(1,('Фрахт Транс'!$B$3:$M$3 = $S$2)*('Фрахт Транс'!$B$4:$M$4=L$2),'Фрахт Транс'!$B$5:$M$10)),SUM($E31, $G31, $I31, $O31))</f>
        <v>478444</v>
      </c>
      <c r="M31" s="231" cm="1">
        <f t="array" aca="1" ref="M31" ca="1">IF(ISNUMBER(SEARCH("Транс",$C31)),_xlfn.XLOOKUP(1,('Фрахт Транс'!$A$5:$A$10=$D31)*1,_xlfn.XLOOKUP(1,('Фрахт Транс'!$B$3:$M$3=$S$2)*('Фрахт Транс'!$B$4:$M$4=M$2),'Фрахт Транс'!$B$5:$M$10)),SUM($E31, $G31, $J31, $O31))</f>
        <v>494449</v>
      </c>
      <c r="N31" s="231" cm="1">
        <f t="array" aca="1" ref="N31" ca="1">IF(ISNUMBER(SEARCH("Транс",$C31)),_xlfn.XLOOKUP(1,('Фрахт Транс'!$A$5:$A$10=$D31)*1,_xlfn.XLOOKUP(1,('Фрахт Транс'!$B$3:$M$3=$S$2)*('Фрахт Транс'!$B$4:$M$4=N$2),'Фрахт Транс'!$B$5:$M$10)),SUM($F31, $H31, $K31, $P31))</f>
        <v>764651</v>
      </c>
      <c r="O31" s="231" cm="1">
        <f t="array" aca="1" ref="O31" ca="1">IFERROR(_xlfn.XLOOKUP(1,  (Охрана!$A$6:$A$14 = $D31) * 1,  _xlfn.XLOOKUP(1,  (Охрана!$B$5:$M$5 = O$2) * (Охрана!$B$4:$M$4 = $S$2), Охрана!$B$6:$M$14)), "-")</f>
        <v>4144</v>
      </c>
      <c r="P31" s="232" cm="1">
        <f t="array" aca="1" ref="P31" ca="1">IFERROR(_xlfn.XLOOKUP(1,  (Охрана!$A$6:$A$14 = $D31) * 1,  _xlfn.XLOOKUP(1,  (Охрана!$B$5:$M$5 = P$2) * (Охрана!$B$4:$M$4 = $S$2), Охрана!$B$6:$M$14)), "-")</f>
        <v>7551</v>
      </c>
      <c r="Q31" s="282"/>
      <c r="R31" s="91"/>
      <c r="S31" s="1"/>
    </row>
    <row r="32" spans="1:19" thickBot="1" x14ac:dyDescent="0.3">
      <c r="A32" s="214" t="s">
        <v>16</v>
      </c>
      <c r="B32" s="291"/>
      <c r="C32" s="42" t="s">
        <v>12</v>
      </c>
      <c r="D32" s="32" t="s">
        <v>55</v>
      </c>
      <c r="E32" s="149" cm="1">
        <f t="array" ref="E32">IFERROR(_xlfn.XLOOKUP(1, (Фрахт!$A$5:$A$80 = $A32)* (Фрахт!$B$5:$B$80 = $C32) * (Фрахт!$C$5:$C$80 =$D32),  _xlfn.XLOOKUP(1,  (Фрахт!$D$4:$E$4 = E$2) * 1, Фрахт!$D$5:$E$80)) *  $S$1, "-")</f>
        <v>330000</v>
      </c>
      <c r="F32" s="149" cm="1">
        <f t="array" ref="F32">IFERROR(_xlfn.XLOOKUP(1, (Фрахт!$A$5:$A$80 = $A32)* (Фрахт!$B$5:$B$80 = $C32) * (Фрахт!$C$5:$C$80 =$D32),  _xlfn.XLOOKUP(1,  (Фрахт!$D$4:$E$4 = F$2) * 1, Фрахт!$D$5:$E$80)) *  $S$1, "-")</f>
        <v>510000</v>
      </c>
      <c r="G32" s="149" cm="1">
        <f t="array" aca="1" ref="G32" ca="1">IFERROR(_xlfn.XLOOKUP(1,  ('Drop off'!$A$6:$A$14 = $C32) * 1,  _xlfn.XLOOKUP(1,  ('Drop off'!$B$5:$I$5 = G$2) * ('Drop off'!$B$4:$I$4 = $S$2), 'Drop off'!$B$6:$I$14)) * $S$1, "-")</f>
        <v>0</v>
      </c>
      <c r="H32" s="149" cm="1">
        <f t="array" aca="1" ref="H32" ca="1">IFERROR(_xlfn.XLOOKUP(1,  ('Drop off'!$A$6:$A$14 = $C32) * 1,  _xlfn.XLOOKUP(1,  ('Drop off'!$B$5:$I$5 = H$2) * ('Drop off'!$B$4:$I$4 = $S$2), 'Drop off'!$B$6:$I$14)) * $S$1, "-")</f>
        <v>0</v>
      </c>
      <c r="I32" s="149" cm="1">
        <f t="array" aca="1" ref="I32" ca="1">IFERROR(_xlfn.XLOOKUP(1,  ('ж.д.'!$A$6:$A$14 = $D32) * 1,  _xlfn.XLOOKUP(1,  ('ж.д.'!$B$5:$M$5 = I$2) * ('ж.д.'!$B$4:$M$4 = $S$2), 'ж.д.'!$B$6:$M$14)), "-")</f>
        <v>150590</v>
      </c>
      <c r="J32" s="149" cm="1">
        <f t="array" aca="1" ref="J32" ca="1">IFERROR(_xlfn.XLOOKUP(1,  ('ж.д.'!$A$6:$A$14 = $D32) * 1,  _xlfn.XLOOKUP(1,  ('ж.д.'!$B$5:$M$5 = J$2) * ('ж.д.'!$B$4:$M$4 = $S$2), 'ж.д.'!$B$6:$M$14)), "-")</f>
        <v>168355</v>
      </c>
      <c r="K32" s="149" cm="1">
        <f t="array" aca="1" ref="K32" ca="1">IFERROR(_xlfn.XLOOKUP(1,  ('ж.д.'!$A$6:$A$14 = $D32) * 1,  _xlfn.XLOOKUP(1,  ('ж.д.'!$B$5:$M$5 = K$2) * ('ж.д.'!$B$4:$M$4 = $S$2), 'ж.д.'!$B$6:$M$14)), "-")</f>
        <v>259240</v>
      </c>
      <c r="L32" s="231" cm="1">
        <f t="array" aca="1" ref="L32" ca="1">IF(ISNUMBER(SEARCH("Транс",$C32)),_xlfn.XLOOKUP(1,('Фрахт Транс'!$A$5:$A$10=$D32)*1,_xlfn.XLOOKUP(1,('Фрахт Транс'!$B$3:$M$3 = $S$2)*('Фрахт Транс'!$B$4:$M$4=L$2),'Фрахт Транс'!$B$5:$M$10)),SUM($E32, $G32, $I32, $O32))</f>
        <v>484734</v>
      </c>
      <c r="M32" s="231" cm="1">
        <f t="array" aca="1" ref="M32" ca="1">IF(ISNUMBER(SEARCH("Транс",$C32)),_xlfn.XLOOKUP(1,('Фрахт Транс'!$A$5:$A$10=$D32)*1,_xlfn.XLOOKUP(1,('Фрахт Транс'!$B$3:$M$3=$S$2)*('Фрахт Транс'!$B$4:$M$4=M$2),'Фрахт Транс'!$B$5:$M$10)),SUM($E32, $G32, $J32, $O32))</f>
        <v>502499</v>
      </c>
      <c r="N32" s="231" cm="1">
        <f t="array" aca="1" ref="N32" ca="1">IF(ISNUMBER(SEARCH("Транс",$C32)),_xlfn.XLOOKUP(1,('Фрахт Транс'!$A$5:$A$10=$D32)*1,_xlfn.XLOOKUP(1,('Фрахт Транс'!$B$3:$M$3=$S$2)*('Фрахт Транс'!$B$4:$M$4=N$2),'Фрахт Транс'!$B$5:$M$10)),SUM($F32, $H32, $K32, $P32))</f>
        <v>776791</v>
      </c>
      <c r="O32" s="231" cm="1">
        <f t="array" aca="1" ref="O32" ca="1">IFERROR(_xlfn.XLOOKUP(1,  (Охрана!$A$6:$A$14 = $D32) * 1,  _xlfn.XLOOKUP(1,  (Охрана!$B$5:$M$5 = O$2) * (Охрана!$B$4:$M$4 = $S$2), Охрана!$B$6:$M$14)), "-")</f>
        <v>4144</v>
      </c>
      <c r="P32" s="232" cm="1">
        <f t="array" aca="1" ref="P32" ca="1">IFERROR(_xlfn.XLOOKUP(1,  (Охрана!$A$6:$A$14 = $D32) * 1,  _xlfn.XLOOKUP(1,  (Охрана!$B$5:$M$5 = P$2) * (Охрана!$B$4:$M$4 = $S$2), Охрана!$B$6:$M$14)), "-")</f>
        <v>7551</v>
      </c>
      <c r="Q32" s="282"/>
      <c r="R32" s="3"/>
      <c r="S32" s="1"/>
    </row>
    <row r="33" spans="1:19" ht="15" customHeight="1" thickBot="1" x14ac:dyDescent="0.3">
      <c r="A33" s="214" t="s">
        <v>16</v>
      </c>
      <c r="B33" s="291"/>
      <c r="C33" s="41" t="s">
        <v>35</v>
      </c>
      <c r="D33" s="40" t="s">
        <v>11</v>
      </c>
      <c r="E33" s="150" cm="1">
        <f t="array" ref="E33">IFERROR(_xlfn.XLOOKUP(1, (Фрахт!$A$5:$A$80 = $A33)* (Фрахт!$B$5:$B$80 = $C33) * (Фрахт!$C$5:$C$80 =$D33),  _xlfn.XLOOKUP(1,  (Фрахт!$D$4:$E$4 = E$2) * 1, Фрахт!$D$5:$E$80)) *  $S$1, "-")</f>
        <v>315000</v>
      </c>
      <c r="F33" s="150" cm="1">
        <f t="array" ref="F33">IFERROR(_xlfn.XLOOKUP(1, (Фрахт!$A$5:$A$80 = $A33)* (Фрахт!$B$5:$B$80 = $C33) * (Фрахт!$C$5:$C$80 =$D33),  _xlfn.XLOOKUP(1,  (Фрахт!$D$4:$E$4 = F$2) * 1, Фрахт!$D$5:$E$80)) *  $S$1, "-")</f>
        <v>472500</v>
      </c>
      <c r="G33" s="150" cm="1">
        <f t="array" aca="1" ref="G33" ca="1">IFERROR(_xlfn.XLOOKUP(1,  ('Drop off'!$A$6:$A$14 = $C33) * 1,  _xlfn.XLOOKUP(1,  ('Drop off'!$B$5:$I$5 = G$2) * ('Drop off'!$B$4:$I$4 = $S$2), 'Drop off'!$B$6:$I$14)) * $S$1, "-")</f>
        <v>75600</v>
      </c>
      <c r="H33" s="150" cm="1">
        <f t="array" aca="1" ref="H33" ca="1">IFERROR(_xlfn.XLOOKUP(1,  ('Drop off'!$A$6:$A$14 = $C33) * 1,  _xlfn.XLOOKUP(1,  ('Drop off'!$B$5:$I$5 = H$2) * ('Drop off'!$B$4:$I$4 = $S$2), 'Drop off'!$B$6:$I$14)) * $S$1, "-")</f>
        <v>56700</v>
      </c>
      <c r="I33" s="150" cm="1">
        <f t="array" aca="1" ref="I33" ca="1">IFERROR(_xlfn.XLOOKUP(1,  ('ж.д.'!$A$6:$A$14 = $D33) * 1,  _xlfn.XLOOKUP(1,  ('ж.д.'!$B$5:$M$5 = I$2) * ('ж.д.'!$B$4:$M$4 = $S$2), 'ж.д.'!$B$6:$M$14)), "-")</f>
        <v>124800</v>
      </c>
      <c r="J33" s="150" cm="1">
        <f t="array" aca="1" ref="J33" ca="1">IFERROR(_xlfn.XLOOKUP(1,  ('ж.д.'!$A$6:$A$14 = $D33) * 1,  _xlfn.XLOOKUP(1,  ('ж.д.'!$B$5:$M$5 = J$2) * ('ж.д.'!$B$4:$M$4 = $S$2), 'ж.д.'!$B$6:$M$14)), "-")</f>
        <v>143000</v>
      </c>
      <c r="K33" s="150" cm="1">
        <f t="array" aca="1" ref="K33" ca="1">IFERROR(_xlfn.XLOOKUP(1,  ('ж.д.'!$A$6:$A$14 = $D33) * 1,  _xlfn.XLOOKUP(1,  ('ж.д.'!$B$5:$M$5 = K$2) * ('ж.д.'!$B$4:$M$4 = $S$2), 'ж.д.'!$B$6:$M$14)), "-")</f>
        <v>211800</v>
      </c>
      <c r="L33" s="233" cm="1">
        <f t="array" aca="1" ref="L33" ca="1">IF(ISNUMBER(SEARCH("Транс",$C33)),_xlfn.XLOOKUP(1,('Фрахт Транс'!$A$5:$A$10=$D33)*1,_xlfn.XLOOKUP(1,('Фрахт Транс'!$B$3:$M$3 = $S$2)*('Фрахт Транс'!$B$4:$M$4=L$2),'Фрахт Транс'!$B$5:$M$10)),SUM($E33, $G33, $I33, $O33))</f>
        <v>518794</v>
      </c>
      <c r="M33" s="233" cm="1">
        <f t="array" aca="1" ref="M33" ca="1">IF(ISNUMBER(SEARCH("Транс",$C33)),_xlfn.XLOOKUP(1,('Фрахт Транс'!$A$5:$A$10=$D33)*1,_xlfn.XLOOKUP(1,('Фрахт Транс'!$B$3:$M$3=$S$2)*('Фрахт Транс'!$B$4:$M$4=M$2),'Фрахт Транс'!$B$5:$M$10)),SUM($E33, $G33, $J33, $O33))</f>
        <v>536994</v>
      </c>
      <c r="N33" s="233" cm="1">
        <f t="array" aca="1" ref="N33" ca="1">IF(ISNUMBER(SEARCH("Транс",$C33)),_xlfn.XLOOKUP(1,('Фрахт Транс'!$A$5:$A$10=$D33)*1,_xlfn.XLOOKUP(1,('Фрахт Транс'!$B$3:$M$3=$S$2)*('Фрахт Транс'!$B$4:$M$4=N$2),'Фрахт Транс'!$B$5:$M$10)),SUM($F33, $H33, $K33, $P33))</f>
        <v>747801</v>
      </c>
      <c r="O33" s="233" cm="1">
        <f t="array" aca="1" ref="O33" ca="1">IFERROR(_xlfn.XLOOKUP(1,  (Охрана!$A$6:$A$14 = $D33) * 1,  _xlfn.XLOOKUP(1,  (Охрана!$B$5:$M$5 = O$2) * (Охрана!$B$4:$M$4 = $S$2), Охрана!$B$6:$M$14)), "-")</f>
        <v>3394</v>
      </c>
      <c r="P33" s="234" cm="1">
        <f t="array" aca="1" ref="P33" ca="1">IFERROR(_xlfn.XLOOKUP(1,  (Охрана!$A$6:$A$14 = $D33) * 1,  _xlfn.XLOOKUP(1,  (Охрана!$B$5:$M$5 = P$2) * (Охрана!$B$4:$M$4 = $S$2), Охрана!$B$6:$M$14)), "-")</f>
        <v>6801</v>
      </c>
      <c r="Q33" s="286"/>
      <c r="R33" s="4"/>
      <c r="S33" s="1"/>
    </row>
    <row r="34" spans="1:19" ht="15" customHeight="1" thickBot="1" x14ac:dyDescent="0.3">
      <c r="A34" s="214" t="s">
        <v>16</v>
      </c>
      <c r="B34" s="291"/>
      <c r="C34" s="41" t="s">
        <v>35</v>
      </c>
      <c r="D34" s="40" t="s">
        <v>10</v>
      </c>
      <c r="E34" s="150" cm="1">
        <f t="array" ref="E34">IFERROR(_xlfn.XLOOKUP(1, (Фрахт!$A$5:$A$80 = $A34)* (Фрахт!$B$5:$B$80 = $C34) * (Фрахт!$C$5:$C$80 =$D34),  _xlfn.XLOOKUP(1,  (Фрахт!$D$4:$E$4 = E$2) * 1, Фрахт!$D$5:$E$80)) *  $S$1, "-")</f>
        <v>315000</v>
      </c>
      <c r="F34" s="150" cm="1">
        <f t="array" ref="F34">IFERROR(_xlfn.XLOOKUP(1, (Фрахт!$A$5:$A$80 = $A34)* (Фрахт!$B$5:$B$80 = $C34) * (Фрахт!$C$5:$C$80 =$D34),  _xlfn.XLOOKUP(1,  (Фрахт!$D$4:$E$4 = F$2) * 1, Фрахт!$D$5:$E$80)) *  $S$1, "-")</f>
        <v>472500</v>
      </c>
      <c r="G34" s="150" cm="1">
        <f t="array" aca="1" ref="G34" ca="1">IFERROR(_xlfn.XLOOKUP(1,  ('Drop off'!$A$6:$A$14 = $C34) * 1,  _xlfn.XLOOKUP(1,  ('Drop off'!$B$5:$I$5 = G$2) * ('Drop off'!$B$4:$I$4 = $S$2), 'Drop off'!$B$6:$I$14)) * $S$1, "-")</f>
        <v>75600</v>
      </c>
      <c r="H34" s="150" cm="1">
        <f t="array" aca="1" ref="H34" ca="1">IFERROR(_xlfn.XLOOKUP(1,  ('Drop off'!$A$6:$A$14 = $C34) * 1,  _xlfn.XLOOKUP(1,  ('Drop off'!$B$5:$I$5 = H$2) * ('Drop off'!$B$4:$I$4 = $S$2), 'Drop off'!$B$6:$I$14)) * $S$1, "-")</f>
        <v>56700</v>
      </c>
      <c r="I34" s="150" cm="1">
        <f t="array" aca="1" ref="I34" ca="1">IFERROR(_xlfn.XLOOKUP(1,  ('ж.д.'!$A$6:$A$14 = $D34) * 1,  _xlfn.XLOOKUP(1,  ('ж.д.'!$B$5:$M$5 = I$2) * ('ж.д.'!$B$4:$M$4 = $S$2), 'ж.д.'!$B$6:$M$14)), "-")</f>
        <v>125800</v>
      </c>
      <c r="J34" s="150" cm="1">
        <f t="array" aca="1" ref="J34" ca="1">IFERROR(_xlfn.XLOOKUP(1,  ('ж.д.'!$A$6:$A$14 = $D34) * 1,  _xlfn.XLOOKUP(1,  ('ж.д.'!$B$5:$M$5 = J$2) * ('ж.д.'!$B$4:$M$4 = $S$2), 'ж.д.'!$B$6:$M$14)), "-")</f>
        <v>141805</v>
      </c>
      <c r="K34" s="150" cm="1">
        <f t="array" aca="1" ref="K34" ca="1">IFERROR(_xlfn.XLOOKUP(1,  ('ж.д.'!$A$6:$A$14 = $D34) * 1,  _xlfn.XLOOKUP(1,  ('ж.д.'!$B$5:$M$5 = K$2) * ('ж.д.'!$B$4:$M$4 = $S$2), 'ж.д.'!$B$6:$M$14)), "-")</f>
        <v>211100</v>
      </c>
      <c r="L34" s="233" cm="1">
        <f t="array" aca="1" ref="L34" ca="1">IF(ISNUMBER(SEARCH("Транс",$C34)),_xlfn.XLOOKUP(1,('Фрахт Транс'!$A$5:$A$10=$D34)*1,_xlfn.XLOOKUP(1,('Фрахт Транс'!$B$3:$M$3 = $S$2)*('Фрахт Транс'!$B$4:$M$4=L$2),'Фрахт Транс'!$B$5:$M$10)),SUM($E34, $G34, $I34, $O34))</f>
        <v>520544</v>
      </c>
      <c r="M34" s="233" cm="1">
        <f t="array" aca="1" ref="M34" ca="1">IF(ISNUMBER(SEARCH("Транс",$C34)),_xlfn.XLOOKUP(1,('Фрахт Транс'!$A$5:$A$10=$D34)*1,_xlfn.XLOOKUP(1,('Фрахт Транс'!$B$3:$M$3=$S$2)*('Фрахт Транс'!$B$4:$M$4=M$2),'Фрахт Транс'!$B$5:$M$10)),SUM($E34, $G34, $J34, $O34))</f>
        <v>536549</v>
      </c>
      <c r="N34" s="233" cm="1">
        <f t="array" aca="1" ref="N34" ca="1">IF(ISNUMBER(SEARCH("Транс",$C34)),_xlfn.XLOOKUP(1,('Фрахт Транс'!$A$5:$A$10=$D34)*1,_xlfn.XLOOKUP(1,('Фрахт Транс'!$B$3:$M$3=$S$2)*('Фрахт Транс'!$B$4:$M$4=N$2),'Фрахт Транс'!$B$5:$M$10)),SUM($F34, $H34, $K34, $P34))</f>
        <v>747851</v>
      </c>
      <c r="O34" s="233" cm="1">
        <f t="array" aca="1" ref="O34" ca="1">IFERROR(_xlfn.XLOOKUP(1,  (Охрана!$A$6:$A$14 = $D34) * 1,  _xlfn.XLOOKUP(1,  (Охрана!$B$5:$M$5 = O$2) * (Охрана!$B$4:$M$4 = $S$2), Охрана!$B$6:$M$14)), "-")</f>
        <v>4144</v>
      </c>
      <c r="P34" s="234" cm="1">
        <f t="array" aca="1" ref="P34" ca="1">IFERROR(_xlfn.XLOOKUP(1,  (Охрана!$A$6:$A$14 = $D34) * 1,  _xlfn.XLOOKUP(1,  (Охрана!$B$5:$M$5 = P$2) * (Охрана!$B$4:$M$4 = $S$2), Охрана!$B$6:$M$14)), "-")</f>
        <v>7551</v>
      </c>
      <c r="Q34" s="286"/>
      <c r="R34" s="4"/>
      <c r="S34" s="1"/>
    </row>
    <row r="35" spans="1:19" ht="15" customHeight="1" thickBot="1" x14ac:dyDescent="0.3">
      <c r="A35" s="214" t="s">
        <v>16</v>
      </c>
      <c r="B35" s="291"/>
      <c r="C35" s="41" t="s">
        <v>35</v>
      </c>
      <c r="D35" s="40" t="s">
        <v>7</v>
      </c>
      <c r="E35" s="150" cm="1">
        <f t="array" ref="E35">IFERROR(_xlfn.XLOOKUP(1, (Фрахт!$A$5:$A$80 = $A35)* (Фрахт!$B$5:$B$80 = $C35) * (Фрахт!$C$5:$C$80 =$D35),  _xlfn.XLOOKUP(1,  (Фрахт!$D$4:$E$4 = E$2) * 1, Фрахт!$D$5:$E$80)) *  $S$1, "-")</f>
        <v>315000</v>
      </c>
      <c r="F35" s="150" cm="1">
        <f t="array" ref="F35">IFERROR(_xlfn.XLOOKUP(1, (Фрахт!$A$5:$A$80 = $A35)* (Фрахт!$B$5:$B$80 = $C35) * (Фрахт!$C$5:$C$80 =$D35),  _xlfn.XLOOKUP(1,  (Фрахт!$D$4:$E$4 = F$2) * 1, Фрахт!$D$5:$E$80)) *  $S$1, "-")</f>
        <v>472500</v>
      </c>
      <c r="G35" s="150" cm="1">
        <f t="array" aca="1" ref="G35" ca="1">IFERROR(_xlfn.XLOOKUP(1,  ('Drop off'!$A$6:$A$14 = $C35) * 1,  _xlfn.XLOOKUP(1,  ('Drop off'!$B$5:$I$5 = G$2) * ('Drop off'!$B$4:$I$4 = $S$2), 'Drop off'!$B$6:$I$14)) * $S$1, "-")</f>
        <v>75600</v>
      </c>
      <c r="H35" s="150" cm="1">
        <f t="array" aca="1" ref="H35" ca="1">IFERROR(_xlfn.XLOOKUP(1,  ('Drop off'!$A$6:$A$14 = $C35) * 1,  _xlfn.XLOOKUP(1,  ('Drop off'!$B$5:$I$5 = H$2) * ('Drop off'!$B$4:$I$4 = $S$2), 'Drop off'!$B$6:$I$14)) * $S$1, "-")</f>
        <v>56700</v>
      </c>
      <c r="I35" s="150" cm="1">
        <f t="array" aca="1" ref="I35" ca="1">IFERROR(_xlfn.XLOOKUP(1,  ('ж.д.'!$A$6:$A$14 = $D35) * 1,  _xlfn.XLOOKUP(1,  ('ж.д.'!$B$5:$M$5 = I$2) * ('ж.д.'!$B$4:$M$4 = $S$2), 'ж.д.'!$B$6:$M$14)), "-")</f>
        <v>120000</v>
      </c>
      <c r="J35" s="150" cm="1">
        <f t="array" aca="1" ref="J35" ca="1">IFERROR(_xlfn.XLOOKUP(1,  ('ж.д.'!$A$6:$A$14 = $D35) * 1,  _xlfn.XLOOKUP(1,  ('ж.д.'!$B$5:$M$5 = J$2) * ('ж.д.'!$B$4:$M$4 = $S$2), 'ж.д.'!$B$6:$M$14)), "-")</f>
        <v>137000</v>
      </c>
      <c r="K35" s="150" cm="1">
        <f t="array" aca="1" ref="K35" ca="1">IFERROR(_xlfn.XLOOKUP(1,  ('ж.д.'!$A$6:$A$14 = $D35) * 1,  _xlfn.XLOOKUP(1,  ('ж.д.'!$B$5:$M$5 = K$2) * ('ж.д.'!$B$4:$M$4 = $S$2), 'ж.д.'!$B$6:$M$14)), "-")</f>
        <v>200000</v>
      </c>
      <c r="L35" s="233" cm="1">
        <f t="array" aca="1" ref="L35" ca="1">IF(ISNUMBER(SEARCH("Транс",$C35)),_xlfn.XLOOKUP(1,('Фрахт Транс'!$A$5:$A$10=$D35)*1,_xlfn.XLOOKUP(1,('Фрахт Транс'!$B$3:$M$3 = $S$2)*('Фрахт Транс'!$B$4:$M$4=L$2),'Фрахт Транс'!$B$5:$M$10)),SUM($E35, $G35, $I35, $O35))</f>
        <v>514700</v>
      </c>
      <c r="M35" s="233" cm="1">
        <f t="array" aca="1" ref="M35" ca="1">IF(ISNUMBER(SEARCH("Транс",$C35)),_xlfn.XLOOKUP(1,('Фрахт Транс'!$A$5:$A$10=$D35)*1,_xlfn.XLOOKUP(1,('Фрахт Транс'!$B$3:$M$3=$S$2)*('Фрахт Транс'!$B$4:$M$4=M$2),'Фрахт Транс'!$B$5:$M$10)),SUM($E35, $G35, $J35, $O35))</f>
        <v>531700</v>
      </c>
      <c r="N35" s="233" cm="1">
        <f t="array" aca="1" ref="N35" ca="1">IF(ISNUMBER(SEARCH("Транс",$C35)),_xlfn.XLOOKUP(1,('Фрахт Транс'!$A$5:$A$10=$D35)*1,_xlfn.XLOOKUP(1,('Фрахт Транс'!$B$3:$M$3=$S$2)*('Фрахт Транс'!$B$4:$M$4=N$2),'Фрахт Транс'!$B$5:$M$10)),SUM($F35, $H35, $K35, $P35))</f>
        <v>737400</v>
      </c>
      <c r="O35" s="233" cm="1">
        <f t="array" aca="1" ref="O35" ca="1">IFERROR(_xlfn.XLOOKUP(1,  (Охрана!$A$6:$A$14 = $D35) * 1,  _xlfn.XLOOKUP(1,  (Охрана!$B$5:$M$5 = O$2) * (Охрана!$B$4:$M$4 = $S$2), Охрана!$B$6:$M$14)), "-")</f>
        <v>4100</v>
      </c>
      <c r="P35" s="234" cm="1">
        <f t="array" aca="1" ref="P35" ca="1">IFERROR(_xlfn.XLOOKUP(1,  (Охрана!$A$6:$A$14 = $D35) * 1,  _xlfn.XLOOKUP(1,  (Охрана!$B$5:$M$5 = P$2) * (Охрана!$B$4:$M$4 = $S$2), Охрана!$B$6:$M$14)), "-")</f>
        <v>8200</v>
      </c>
      <c r="Q35" s="286"/>
      <c r="R35" s="4"/>
      <c r="S35" s="1"/>
    </row>
    <row r="36" spans="1:19" ht="15" customHeight="1" thickBot="1" x14ac:dyDescent="0.3">
      <c r="A36" s="214" t="s">
        <v>16</v>
      </c>
      <c r="B36" s="291"/>
      <c r="C36" s="50" t="s">
        <v>36</v>
      </c>
      <c r="D36" s="50" t="s">
        <v>21</v>
      </c>
      <c r="E36" s="151" cm="1">
        <f t="array" ref="E36">IFERROR(_xlfn.XLOOKUP(1, (Фрахт!$A$5:$A$80 = $A36)* (Фрахт!$B$5:$B$80 = $C36) * (Фрахт!$C$5:$C$80 =$D36),  _xlfn.XLOOKUP(1,  (Фрахт!$D$4:$E$4 = E$2) * 1, Фрахт!$D$5:$E$80)) *  $S$1, "-")</f>
        <v>266160</v>
      </c>
      <c r="F36" s="151" cm="1">
        <f t="array" ref="F36">IFERROR(_xlfn.XLOOKUP(1, (Фрахт!$A$5:$A$80 = $A36)* (Фрахт!$B$5:$B$80 = $C36) * (Фрахт!$C$5:$C$80 =$D36),  _xlfn.XLOOKUP(1,  (Фрахт!$D$4:$E$4 = F$2) * 1, Фрахт!$D$5:$E$80)) *  $S$1, "-")</f>
        <v>442320</v>
      </c>
      <c r="G36" s="151" cm="1">
        <f t="array" aca="1" ref="G36" ca="1">IFERROR(_xlfn.XLOOKUP(1,  ('Drop off'!$A$6:$A$14 = $C36) * 1,  _xlfn.XLOOKUP(1,  ('Drop off'!$B$5:$I$5 = G$2) * ('Drop off'!$B$4:$I$4 = $S$2), 'Drop off'!$B$6:$I$14)) * $S$1, "-")</f>
        <v>0</v>
      </c>
      <c r="H36" s="151" cm="1">
        <f t="array" aca="1" ref="H36" ca="1">IFERROR(_xlfn.XLOOKUP(1,  ('Drop off'!$A$6:$A$14 = $C36) * 1,  _xlfn.XLOOKUP(1,  ('Drop off'!$B$5:$I$5 = H$2) * ('Drop off'!$B$4:$I$4 = $S$2), 'Drop off'!$B$6:$I$14)) * $S$1, "-")</f>
        <v>0</v>
      </c>
      <c r="I36" s="151" cm="1">
        <f t="array" aca="1" ref="I36" ca="1">IFERROR(_xlfn.XLOOKUP(1,  ('ж.д.'!$A$6:$A$14 = $D36) * 1,  _xlfn.XLOOKUP(1,  ('ж.д.'!$B$5:$M$5 = I$2) * ('ж.д.'!$B$4:$M$4 = $S$2), 'ж.д.'!$B$6:$M$14)), "-")</f>
        <v>107400</v>
      </c>
      <c r="J36" s="151" cm="1">
        <f t="array" aca="1" ref="J36" ca="1">IFERROR(_xlfn.XLOOKUP(1,  ('ж.д.'!$A$6:$A$14 = $D36) * 1,  _xlfn.XLOOKUP(1,  ('ж.д.'!$B$5:$M$5 = J$2) * ('ж.д.'!$B$4:$M$4 = $S$2), 'ж.д.'!$B$6:$M$14)), "-")</f>
        <v>123400</v>
      </c>
      <c r="K36" s="151" cm="1">
        <f t="array" aca="1" ref="K36" ca="1">IFERROR(_xlfn.XLOOKUP(1,  ('ж.д.'!$A$6:$A$14 = $D36) * 1,  _xlfn.XLOOKUP(1,  ('ж.д.'!$B$5:$M$5 = K$2) * ('ж.д.'!$B$4:$M$4 = $S$2), 'ж.д.'!$B$6:$M$14)), "-")</f>
        <v>187400</v>
      </c>
      <c r="L36" s="235" cm="1">
        <f t="array" aca="1" ref="L36" ca="1">IF(ISNUMBER(SEARCH("Транс",$C36)),_xlfn.XLOOKUP(1,('Фрахт Транс'!$A$5:$A$10=$D36)*1,_xlfn.XLOOKUP(1,('Фрахт Транс'!$B$3:$M$3 = $S$2)*('Фрахт Транс'!$B$4:$M$4=L$2),'Фрахт Транс'!$B$5:$M$10)),SUM($E36, $G36, $I36, $O36))</f>
        <v>376954</v>
      </c>
      <c r="M36" s="235" cm="1">
        <f t="array" aca="1" ref="M36" ca="1">IF(ISNUMBER(SEARCH("Транс",$C36)),_xlfn.XLOOKUP(1,('Фрахт Транс'!$A$5:$A$10=$D36)*1,_xlfn.XLOOKUP(1,('Фрахт Транс'!$B$3:$M$3=$S$2)*('Фрахт Транс'!$B$4:$M$4=M$2),'Фрахт Транс'!$B$5:$M$10)),SUM($E36, $G36, $J36, $O36))</f>
        <v>392954</v>
      </c>
      <c r="N36" s="235" cm="1">
        <f t="array" aca="1" ref="N36" ca="1">IF(ISNUMBER(SEARCH("Транс",$C36)),_xlfn.XLOOKUP(1,('Фрахт Транс'!$A$5:$A$10=$D36)*1,_xlfn.XLOOKUP(1,('Фрахт Транс'!$B$3:$M$3=$S$2)*('Фрахт Транс'!$B$4:$M$4=N$2),'Фрахт Транс'!$B$5:$M$10)),SUM($F36, $H36, $K36, $P36))</f>
        <v>636521</v>
      </c>
      <c r="O36" s="235" cm="1">
        <f t="array" aca="1" ref="O36" ca="1">IFERROR(_xlfn.XLOOKUP(1,  (Охрана!$A$6:$A$14 = $D36) * 1,  _xlfn.XLOOKUP(1,  (Охрана!$B$5:$M$5 = O$2) * (Охрана!$B$4:$M$4 = $S$2), Охрана!$B$6:$M$14)), "-")</f>
        <v>3394</v>
      </c>
      <c r="P36" s="236" cm="1">
        <f t="array" aca="1" ref="P36" ca="1">IFERROR(_xlfn.XLOOKUP(1,  (Охрана!$A$6:$A$14 = $D36) * 1,  _xlfn.XLOOKUP(1,  (Охрана!$B$5:$M$5 = P$2) * (Охрана!$B$4:$M$4 = $S$2), Охрана!$B$6:$M$14)), "-")</f>
        <v>6801</v>
      </c>
      <c r="Q36" s="38"/>
      <c r="R36" s="3"/>
      <c r="S36" s="1"/>
    </row>
    <row r="37" spans="1:19" ht="15.75" customHeight="1" thickBot="1" x14ac:dyDescent="0.3">
      <c r="A37" s="214" t="s">
        <v>16</v>
      </c>
      <c r="B37" s="292"/>
      <c r="C37" s="58" t="s">
        <v>37</v>
      </c>
      <c r="D37" s="55" t="s">
        <v>11</v>
      </c>
      <c r="E37" s="228" t="str" cm="1">
        <f t="array" ref="E37">IFERROR(_xlfn.XLOOKUP(1, (Фрахт!$A$5:$A$80 = $A37)* (Фрахт!$B$5:$B$80 = $C37) * (Фрахт!$C$5:$C$80 =$D37),  _xlfn.XLOOKUP(1,  (Фрахт!$D$4:$E$4 = E$2) * 1, Фрахт!$D$5:$E$80)) *  $S$1, "-")</f>
        <v>-</v>
      </c>
      <c r="F37" s="228" t="str" cm="1">
        <f t="array" ref="F37">IFERROR(_xlfn.XLOOKUP(1, (Фрахт!$A$5:$A$80 = $A37)* (Фрахт!$B$5:$B$80 = $C37) * (Фрахт!$C$5:$C$80 =$D37),  _xlfn.XLOOKUP(1,  (Фрахт!$D$4:$E$4 = F$2) * 1, Фрахт!$D$5:$E$80)) *  $S$1, "-")</f>
        <v>-</v>
      </c>
      <c r="G37" s="228" cm="1">
        <f t="array" aca="1" ref="G37" ca="1">IFERROR(_xlfn.XLOOKUP(1,  ('Drop off'!$A$6:$A$14 = $C37) * 1,  _xlfn.XLOOKUP(1,  ('Drop off'!$B$5:$I$5 = G$2) * ('Drop off'!$B$4:$I$4 = $S$2), 'Drop off'!$B$6:$I$14)) * $S$1, "-")</f>
        <v>0</v>
      </c>
      <c r="H37" s="228" cm="1">
        <f t="array" aca="1" ref="H37" ca="1">IFERROR(_xlfn.XLOOKUP(1,  ('Drop off'!$A$6:$A$14 = $C37) * 1,  _xlfn.XLOOKUP(1,  ('Drop off'!$B$5:$I$5 = H$2) * ('Drop off'!$B$4:$I$4 = $S$2), 'Drop off'!$B$6:$I$14)) * $S$1, "-")</f>
        <v>0</v>
      </c>
      <c r="I37" s="228" cm="1">
        <f t="array" aca="1" ref="I37" ca="1">IFERROR(_xlfn.XLOOKUP(1,  ('ж.д.'!$A$6:$A$14 = $D37) * 1,  _xlfn.XLOOKUP(1,  ('ж.д.'!$B$5:$M$5 = I$2) * ('ж.д.'!$B$4:$M$4 = $S$2), 'ж.д.'!$B$6:$M$14)), "-")</f>
        <v>124800</v>
      </c>
      <c r="J37" s="228" cm="1">
        <f t="array" aca="1" ref="J37" ca="1">IFERROR(_xlfn.XLOOKUP(1,  ('ж.д.'!$A$6:$A$14 = $D37) * 1,  _xlfn.XLOOKUP(1,  ('ж.д.'!$B$5:$M$5 = J$2) * ('ж.д.'!$B$4:$M$4 = $S$2), 'ж.д.'!$B$6:$M$14)), "-")</f>
        <v>143000</v>
      </c>
      <c r="K37" s="228" cm="1">
        <f t="array" aca="1" ref="K37" ca="1">IFERROR(_xlfn.XLOOKUP(1,  ('ж.д.'!$A$6:$A$14 = $D37) * 1,  _xlfn.XLOOKUP(1,  ('ж.д.'!$B$5:$M$5 = K$2) * ('ж.д.'!$B$4:$M$4 = $S$2), 'ж.д.'!$B$6:$M$14)), "-")</f>
        <v>211800</v>
      </c>
      <c r="L37" s="160" cm="1">
        <f t="array" aca="1" ref="L37" ca="1">IF(ISNUMBER(SEARCH("Транс",$C37)),_xlfn.XLOOKUP(1,('Фрахт Транс'!$A$5:$A$10=$D37)*1,_xlfn.XLOOKUP(1,('Фрахт Транс'!$B$3:$M$3 = $S$2)*('Фрахт Транс'!$B$4:$M$4=L$2),'Фрахт Транс'!$B$5:$M$10)),SUM($E37, $G37, $I37, $O37))</f>
        <v>128194</v>
      </c>
      <c r="M37" s="160" cm="1">
        <f t="array" aca="1" ref="M37" ca="1">IF(ISNUMBER(SEARCH("Транс",$C37)),_xlfn.XLOOKUP(1,('Фрахт Транс'!$A$5:$A$10=$D37)*1,_xlfn.XLOOKUP(1,('Фрахт Транс'!$B$3:$M$3=$S$2)*('Фрахт Транс'!$B$4:$M$4=M$2),'Фрахт Транс'!$B$5:$M$10)),SUM($E37, $G37, $J37, $O37))</f>
        <v>146394</v>
      </c>
      <c r="N37" s="160" cm="1">
        <f t="array" aca="1" ref="N37" ca="1">IF(ISNUMBER(SEARCH("Транс",$C37)),_xlfn.XLOOKUP(1,('Фрахт Транс'!$A$5:$A$10=$D37)*1,_xlfn.XLOOKUP(1,('Фрахт Транс'!$B$3:$M$3=$S$2)*('Фрахт Транс'!$B$4:$M$4=N$2),'Фрахт Транс'!$B$5:$M$10)),SUM($F37, $H37, $K37, $P37))</f>
        <v>218601</v>
      </c>
      <c r="O37" s="160" cm="1">
        <f t="array" aca="1" ref="O37" ca="1">IFERROR(_xlfn.XLOOKUP(1,  (Охрана!$A$6:$A$14 = $D37) * 1,  _xlfn.XLOOKUP(1,  (Охрана!$B$5:$M$5 = O$2) * (Охрана!$B$4:$M$4 = $S$2), Охрана!$B$6:$M$14)), "-")</f>
        <v>3394</v>
      </c>
      <c r="P37" s="206" cm="1">
        <f t="array" aca="1" ref="P37" ca="1">IFERROR(_xlfn.XLOOKUP(1,  (Охрана!$A$6:$A$14 = $D37) * 1,  _xlfn.XLOOKUP(1,  (Охрана!$B$5:$M$5 = P$2) * (Охрана!$B$4:$M$4 = $S$2), Охрана!$B$6:$M$14)), "-")</f>
        <v>6801</v>
      </c>
      <c r="Q37" s="38"/>
      <c r="R37" s="3"/>
      <c r="S37" s="1"/>
    </row>
    <row r="38" spans="1:19" ht="30.75" thickBot="1" x14ac:dyDescent="0.3">
      <c r="A38" s="213" t="s">
        <v>17</v>
      </c>
      <c r="B38" s="287" t="s">
        <v>17</v>
      </c>
      <c r="C38" s="63" t="s">
        <v>43</v>
      </c>
      <c r="D38" s="64" t="s">
        <v>47</v>
      </c>
      <c r="E38" s="148" t="str" cm="1">
        <f t="array" ref="E38">IFERROR(_xlfn.XLOOKUP(1, (Фрахт!$A$5:$A$80 = $A38)* (Фрахт!$B$5:$B$80 = $C38) * (Фрахт!$C$5:$C$80 =$D38),  _xlfn.XLOOKUP(1,  (Фрахт!$D$4:$E$4 = E$2) * 1, Фрахт!$D$5:$E$80)) *  $S$1, "-")</f>
        <v>-</v>
      </c>
      <c r="F38" s="148" t="str" cm="1">
        <f t="array" ref="F38">IFERROR(_xlfn.XLOOKUP(1, (Фрахт!$A$5:$A$80 = $A38)* (Фрахт!$B$5:$B$80 = $C38) * (Фрахт!$C$5:$C$80 =$D38),  _xlfn.XLOOKUP(1,  (Фрахт!$D$4:$E$4 = F$2) * 1, Фрахт!$D$5:$E$80)) *  $S$1, "-")</f>
        <v>-</v>
      </c>
      <c r="G38" s="148" cm="1">
        <f t="array" aca="1" ref="G38" ca="1">IFERROR(_xlfn.XLOOKUP(1,  ('Drop off'!$A$6:$A$14 = $C38) * 1,  _xlfn.XLOOKUP(1,  ('Drop off'!$B$5:$I$5 = G$2) * ('Drop off'!$B$4:$I$4 = $S$2), 'Drop off'!$B$6:$I$14)) * $S$1, "-")</f>
        <v>0</v>
      </c>
      <c r="H38" s="148" cm="1">
        <f t="array" aca="1" ref="H38" ca="1">IFERROR(_xlfn.XLOOKUP(1,  ('Drop off'!$A$6:$A$14 = $C38) * 1,  _xlfn.XLOOKUP(1,  ('Drop off'!$B$5:$I$5 = H$2) * ('Drop off'!$B$4:$I$4 = $S$2), 'Drop off'!$B$6:$I$14)) * $S$1, "-")</f>
        <v>0</v>
      </c>
      <c r="I38" s="148" t="str" cm="1">
        <f t="array" aca="1" ref="I38" ca="1">IFERROR(_xlfn.XLOOKUP(1,  ('ж.д.'!$A$6:$A$14 = $D38) * 1,  _xlfn.XLOOKUP(1,  ('ж.д.'!$B$5:$M$5 = I$2) * ('ж.д.'!$B$4:$M$4 = $S$2), 'ж.д.'!$B$6:$M$14)), "-")</f>
        <v>-</v>
      </c>
      <c r="J38" s="148" t="str" cm="1">
        <f t="array" aca="1" ref="J38" ca="1">IFERROR(_xlfn.XLOOKUP(1,  ('ж.д.'!$A$6:$A$14 = $D38) * 1,  _xlfn.XLOOKUP(1,  ('ж.д.'!$B$5:$M$5 = J$2) * ('ж.д.'!$B$4:$M$4 = $S$2), 'ж.д.'!$B$6:$M$14)), "-")</f>
        <v>-</v>
      </c>
      <c r="K38" s="148" t="str" cm="1">
        <f t="array" aca="1" ref="K38" ca="1">IFERROR(_xlfn.XLOOKUP(1,  ('ж.д.'!$A$6:$A$14 = $D38) * 1,  _xlfn.XLOOKUP(1,  ('ж.д.'!$B$5:$M$5 = K$2) * ('ж.д.'!$B$4:$M$4 = $S$2), 'ж.д.'!$B$6:$M$14)), "-")</f>
        <v>-</v>
      </c>
      <c r="L38" s="192" cm="1">
        <f t="array" aca="1" ref="L38" ca="1">IF(ISNUMBER(SEARCH("Транс",$C38)),_xlfn.XLOOKUP(1,('Фрахт Транс'!$A$5:$A$10=$D38)*1,_xlfn.XLOOKUP(1,('Фрахт Транс'!$B$3:$M$3 = $S$2)*('Фрахт Транс'!$B$4:$M$4=L$2),'Фрахт Транс'!$B$5:$M$10)),SUM($E38, $G38, $I38, $O38))</f>
        <v>346960</v>
      </c>
      <c r="M38" s="192" cm="1">
        <f t="array" aca="1" ref="M38" ca="1">IF(ISNUMBER(SEARCH("Транс",$C38)),_xlfn.XLOOKUP(1,('Фрахт Транс'!$A$5:$A$10=$D38)*1,_xlfn.XLOOKUP(1,('Фрахт Транс'!$B$3:$M$3=$S$2)*('Фрахт Транс'!$B$4:$M$4=M$2),'Фрахт Транс'!$B$5:$M$10)),SUM($E38, $G38, $J38, $O38))</f>
        <v>364952</v>
      </c>
      <c r="N38" s="192" cm="1">
        <f t="array" aca="1" ref="N38" ca="1">IF(ISNUMBER(SEARCH("Транс",$C38)),_xlfn.XLOOKUP(1,('Фрахт Транс'!$A$5:$A$10=$D38)*1,_xlfn.XLOOKUP(1,('Фрахт Транс'!$B$3:$M$3=$S$2)*('Фрахт Транс'!$B$4:$M$4=N$2),'Фрахт Транс'!$B$5:$M$10)),SUM($F38, $H38, $K38, $P38))</f>
        <v>545513</v>
      </c>
      <c r="O38" s="192" t="str" cm="1">
        <f t="array" aca="1" ref="O38" ca="1">IFERROR(_xlfn.XLOOKUP(1,  (Охрана!$A$6:$A$14 = $D38) * 1,  _xlfn.XLOOKUP(1,  (Охрана!$B$5:$M$5 = O$2) * (Охрана!$B$4:$M$4 = $S$2), Охрана!$B$6:$M$14)), "-")</f>
        <v>-</v>
      </c>
      <c r="P38" s="193" t="str" cm="1">
        <f t="array" aca="1" ref="P38" ca="1">IFERROR(_xlfn.XLOOKUP(1,  (Охрана!$A$6:$A$14 = $D38) * 1,  _xlfn.XLOOKUP(1,  (Охрана!$B$5:$M$5 = P$2) * (Охрана!$B$4:$M$4 = $S$2), Охрана!$B$6:$M$14)), "-")</f>
        <v>-</v>
      </c>
      <c r="Q38" s="38"/>
      <c r="R38" s="6"/>
      <c r="S38" s="1"/>
    </row>
    <row r="39" spans="1:19" ht="15" customHeight="1" thickBot="1" x14ac:dyDescent="0.3">
      <c r="A39" s="213" t="s">
        <v>17</v>
      </c>
      <c r="B39" s="288"/>
      <c r="C39" s="42" t="s">
        <v>12</v>
      </c>
      <c r="D39" s="32" t="s">
        <v>30</v>
      </c>
      <c r="E39" s="149" cm="1">
        <f t="array" ref="E39">IFERROR(_xlfn.XLOOKUP(1, (Фрахт!$A$5:$A$80 = $A39)* (Фрахт!$B$5:$B$80 = $C39) * (Фрахт!$C$5:$C$80 =$D39),  _xlfn.XLOOKUP(1,  (Фрахт!$D$4:$E$4 = E$2) * 1, Фрахт!$D$5:$E$80)) *  $S$1, "-")</f>
        <v>330000</v>
      </c>
      <c r="F39" s="149" cm="1">
        <f t="array" ref="F39">IFERROR(_xlfn.XLOOKUP(1, (Фрахт!$A$5:$A$80 = $A39)* (Фрахт!$B$5:$B$80 = $C39) * (Фрахт!$C$5:$C$80 =$D39),  _xlfn.XLOOKUP(1,  (Фрахт!$D$4:$E$4 = F$2) * 1, Фрахт!$D$5:$E$80)) *  $S$1, "-")</f>
        <v>450000</v>
      </c>
      <c r="G39" s="149" cm="1">
        <f t="array" aca="1" ref="G39" ca="1">IFERROR(_xlfn.XLOOKUP(1,  ('Drop off'!$A$6:$A$14 = $C39) * 1,  _xlfn.XLOOKUP(1,  ('Drop off'!$B$5:$I$5 = G$2) * ('Drop off'!$B$4:$I$4 = $S$2), 'Drop off'!$B$6:$I$14)) * $S$1, "-")</f>
        <v>0</v>
      </c>
      <c r="H39" s="149" cm="1">
        <f t="array" aca="1" ref="H39" ca="1">IFERROR(_xlfn.XLOOKUP(1,  ('Drop off'!$A$6:$A$14 = $C39) * 1,  _xlfn.XLOOKUP(1,  ('Drop off'!$B$5:$I$5 = H$2) * ('Drop off'!$B$4:$I$4 = $S$2), 'Drop off'!$B$6:$I$14)) * $S$1, "-")</f>
        <v>0</v>
      </c>
      <c r="I39" s="149" cm="1">
        <f t="array" aca="1" ref="I39" ca="1">IFERROR(_xlfn.XLOOKUP(1,  ('ж.д.'!$A$6:$A$14 = $D39) * 1,  _xlfn.XLOOKUP(1,  ('ж.д.'!$B$5:$M$5 = I$2) * ('ж.д.'!$B$4:$M$4 = $S$2), 'ж.д.'!$B$6:$M$14)), "-")</f>
        <v>144300</v>
      </c>
      <c r="J39" s="149" cm="1">
        <f t="array" aca="1" ref="J39" ca="1">IFERROR(_xlfn.XLOOKUP(1,  ('ж.д.'!$A$6:$A$14 = $D39) * 1,  _xlfn.XLOOKUP(1,  ('ж.д.'!$B$5:$M$5 = J$2) * ('ж.д.'!$B$4:$M$4 = $S$2), 'ж.д.'!$B$6:$M$14)), "-")</f>
        <v>160305</v>
      </c>
      <c r="K39" s="149" cm="1">
        <f t="array" aca="1" ref="K39" ca="1">IFERROR(_xlfn.XLOOKUP(1,  ('ж.д.'!$A$6:$A$14 = $D39) * 1,  _xlfn.XLOOKUP(1,  ('ж.д.'!$B$5:$M$5 = K$2) * ('ж.д.'!$B$4:$M$4 = $S$2), 'ж.д.'!$B$6:$M$14)), "-")</f>
        <v>247100</v>
      </c>
      <c r="L39" s="231" cm="1">
        <f t="array" aca="1" ref="L39" ca="1">IF(ISNUMBER(SEARCH("Транс",$C39)),_xlfn.XLOOKUP(1,('Фрахт Транс'!$A$5:$A$10=$D39)*1,_xlfn.XLOOKUP(1,('Фрахт Транс'!$B$3:$M$3 = $S$2)*('Фрахт Транс'!$B$4:$M$4=L$2),'Фрахт Транс'!$B$5:$M$10)),SUM($E39, $G39, $I39, $O39))</f>
        <v>478444</v>
      </c>
      <c r="M39" s="231" cm="1">
        <f t="array" aca="1" ref="M39" ca="1">IF(ISNUMBER(SEARCH("Транс",$C39)),_xlfn.XLOOKUP(1,('Фрахт Транс'!$A$5:$A$10=$D39)*1,_xlfn.XLOOKUP(1,('Фрахт Транс'!$B$3:$M$3=$S$2)*('Фрахт Транс'!$B$4:$M$4=M$2),'Фрахт Транс'!$B$5:$M$10)),SUM($E39, $G39, $J39, $O39))</f>
        <v>494449</v>
      </c>
      <c r="N39" s="231" cm="1">
        <f t="array" aca="1" ref="N39" ca="1">IF(ISNUMBER(SEARCH("Транс",$C39)),_xlfn.XLOOKUP(1,('Фрахт Транс'!$A$5:$A$10=$D39)*1,_xlfn.XLOOKUP(1,('Фрахт Транс'!$B$3:$M$3=$S$2)*('Фрахт Транс'!$B$4:$M$4=N$2),'Фрахт Транс'!$B$5:$M$10)),SUM($F39, $H39, $K39, $P39))</f>
        <v>704651</v>
      </c>
      <c r="O39" s="231" cm="1">
        <f t="array" aca="1" ref="O39" ca="1">IFERROR(_xlfn.XLOOKUP(1,  (Охрана!$A$6:$A$14 = $D39) * 1,  _xlfn.XLOOKUP(1,  (Охрана!$B$5:$M$5 = O$2) * (Охрана!$B$4:$M$4 = $S$2), Охрана!$B$6:$M$14)), "-")</f>
        <v>4144</v>
      </c>
      <c r="P39" s="232" cm="1">
        <f t="array" aca="1" ref="P39" ca="1">IFERROR(_xlfn.XLOOKUP(1,  (Охрана!$A$6:$A$14 = $D39) * 1,  _xlfn.XLOOKUP(1,  (Охрана!$B$5:$M$5 = P$2) * (Охрана!$B$4:$M$4 = $S$2), Охрана!$B$6:$M$14)), "-")</f>
        <v>7551</v>
      </c>
      <c r="Q39" s="282"/>
      <c r="R39" s="91"/>
      <c r="S39" s="1"/>
    </row>
    <row r="40" spans="1:19" ht="15" customHeight="1" thickBot="1" x14ac:dyDescent="0.3">
      <c r="A40" s="213" t="s">
        <v>17</v>
      </c>
      <c r="B40" s="288"/>
      <c r="C40" s="42" t="s">
        <v>12</v>
      </c>
      <c r="D40" s="32" t="s">
        <v>55</v>
      </c>
      <c r="E40" s="149" cm="1">
        <f t="array" ref="E40">IFERROR(_xlfn.XLOOKUP(1, (Фрахт!$A$5:$A$80 = $A40)* (Фрахт!$B$5:$B$80 = $C40) * (Фрахт!$C$5:$C$80 =$D40),  _xlfn.XLOOKUP(1,  (Фрахт!$D$4:$E$4 = E$2) * 1, Фрахт!$D$5:$E$80)) *  $S$1, "-")</f>
        <v>330000</v>
      </c>
      <c r="F40" s="149" cm="1">
        <f t="array" ref="F40">IFERROR(_xlfn.XLOOKUP(1, (Фрахт!$A$5:$A$80 = $A40)* (Фрахт!$B$5:$B$80 = $C40) * (Фрахт!$C$5:$C$80 =$D40),  _xlfn.XLOOKUP(1,  (Фрахт!$D$4:$E$4 = F$2) * 1, Фрахт!$D$5:$E$80)) *  $S$1, "-")</f>
        <v>450000</v>
      </c>
      <c r="G40" s="149" cm="1">
        <f t="array" aca="1" ref="G40" ca="1">IFERROR(_xlfn.XLOOKUP(1,  ('Drop off'!$A$6:$A$14 = $C40) * 1,  _xlfn.XLOOKUP(1,  ('Drop off'!$B$5:$I$5 = G$2) * ('Drop off'!$B$4:$I$4 = $S$2), 'Drop off'!$B$6:$I$14)) * $S$1, "-")</f>
        <v>0</v>
      </c>
      <c r="H40" s="149" cm="1">
        <f t="array" aca="1" ref="H40" ca="1">IFERROR(_xlfn.XLOOKUP(1,  ('Drop off'!$A$6:$A$14 = $C40) * 1,  _xlfn.XLOOKUP(1,  ('Drop off'!$B$5:$I$5 = H$2) * ('Drop off'!$B$4:$I$4 = $S$2), 'Drop off'!$B$6:$I$14)) * $S$1, "-")</f>
        <v>0</v>
      </c>
      <c r="I40" s="149" cm="1">
        <f t="array" aca="1" ref="I40" ca="1">IFERROR(_xlfn.XLOOKUP(1,  ('ж.д.'!$A$6:$A$14 = $D40) * 1,  _xlfn.XLOOKUP(1,  ('ж.д.'!$B$5:$M$5 = I$2) * ('ж.д.'!$B$4:$M$4 = $S$2), 'ж.д.'!$B$6:$M$14)), "-")</f>
        <v>150590</v>
      </c>
      <c r="J40" s="149" cm="1">
        <f t="array" aca="1" ref="J40" ca="1">IFERROR(_xlfn.XLOOKUP(1,  ('ж.д.'!$A$6:$A$14 = $D40) * 1,  _xlfn.XLOOKUP(1,  ('ж.д.'!$B$5:$M$5 = J$2) * ('ж.д.'!$B$4:$M$4 = $S$2), 'ж.д.'!$B$6:$M$14)), "-")</f>
        <v>168355</v>
      </c>
      <c r="K40" s="149" cm="1">
        <f t="array" aca="1" ref="K40" ca="1">IFERROR(_xlfn.XLOOKUP(1,  ('ж.д.'!$A$6:$A$14 = $D40) * 1,  _xlfn.XLOOKUP(1,  ('ж.д.'!$B$5:$M$5 = K$2) * ('ж.д.'!$B$4:$M$4 = $S$2), 'ж.д.'!$B$6:$M$14)), "-")</f>
        <v>259240</v>
      </c>
      <c r="L40" s="231" cm="1">
        <f t="array" aca="1" ref="L40" ca="1">IF(ISNUMBER(SEARCH("Транс",$C40)),_xlfn.XLOOKUP(1,('Фрахт Транс'!$A$5:$A$10=$D40)*1,_xlfn.XLOOKUP(1,('Фрахт Транс'!$B$3:$M$3 = $S$2)*('Фрахт Транс'!$B$4:$M$4=L$2),'Фрахт Транс'!$B$5:$M$10)),SUM($E40, $G40, $I40, $O40))</f>
        <v>484734</v>
      </c>
      <c r="M40" s="231" cm="1">
        <f t="array" aca="1" ref="M40" ca="1">IF(ISNUMBER(SEARCH("Транс",$C40)),_xlfn.XLOOKUP(1,('Фрахт Транс'!$A$5:$A$10=$D40)*1,_xlfn.XLOOKUP(1,('Фрахт Транс'!$B$3:$M$3=$S$2)*('Фрахт Транс'!$B$4:$M$4=M$2),'Фрахт Транс'!$B$5:$M$10)),SUM($E40, $G40, $J40, $O40))</f>
        <v>502499</v>
      </c>
      <c r="N40" s="231" cm="1">
        <f t="array" aca="1" ref="N40" ca="1">IF(ISNUMBER(SEARCH("Транс",$C40)),_xlfn.XLOOKUP(1,('Фрахт Транс'!$A$5:$A$10=$D40)*1,_xlfn.XLOOKUP(1,('Фрахт Транс'!$B$3:$M$3=$S$2)*('Фрахт Транс'!$B$4:$M$4=N$2),'Фрахт Транс'!$B$5:$M$10)),SUM($F40, $H40, $K40, $P40))</f>
        <v>716791</v>
      </c>
      <c r="O40" s="231" cm="1">
        <f t="array" aca="1" ref="O40" ca="1">IFERROR(_xlfn.XLOOKUP(1,  (Охрана!$A$6:$A$14 = $D40) * 1,  _xlfn.XLOOKUP(1,  (Охрана!$B$5:$M$5 = O$2) * (Охрана!$B$4:$M$4 = $S$2), Охрана!$B$6:$M$14)), "-")</f>
        <v>4144</v>
      </c>
      <c r="P40" s="232" cm="1">
        <f t="array" aca="1" ref="P40" ca="1">IFERROR(_xlfn.XLOOKUP(1,  (Охрана!$A$6:$A$14 = $D40) * 1,  _xlfn.XLOOKUP(1,  (Охрана!$B$5:$M$5 = P$2) * (Охрана!$B$4:$M$4 = $S$2), Охрана!$B$6:$M$14)), "-")</f>
        <v>7551</v>
      </c>
      <c r="Q40" s="282"/>
      <c r="R40" s="3"/>
      <c r="S40" s="1"/>
    </row>
    <row r="41" spans="1:19" ht="15" customHeight="1" thickBot="1" x14ac:dyDescent="0.3">
      <c r="A41" s="213" t="s">
        <v>17</v>
      </c>
      <c r="B41" s="288"/>
      <c r="C41" s="41" t="s">
        <v>35</v>
      </c>
      <c r="D41" s="40" t="s">
        <v>11</v>
      </c>
      <c r="E41" s="150" cm="1">
        <f t="array" ref="E41">IFERROR(_xlfn.XLOOKUP(1, (Фрахт!$A$5:$A$80 = $A41)* (Фрахт!$B$5:$B$80 = $C41) * (Фрахт!$C$5:$C$80 =$D41),  _xlfn.XLOOKUP(1,  (Фрахт!$D$4:$E$4 = E$2) * 1, Фрахт!$D$5:$E$80)) *  $S$1, "-")</f>
        <v>283500</v>
      </c>
      <c r="F41" s="150" cm="1">
        <f t="array" ref="F41">IFERROR(_xlfn.XLOOKUP(1, (Фрахт!$A$5:$A$80 = $A41)* (Фрахт!$B$5:$B$80 = $C41) * (Фрахт!$C$5:$C$80 =$D41),  _xlfn.XLOOKUP(1,  (Фрахт!$D$4:$E$4 = F$2) * 1, Фрахт!$D$5:$E$80)) *  $S$1, "-")</f>
        <v>472500</v>
      </c>
      <c r="G41" s="150" cm="1">
        <f t="array" aca="1" ref="G41" ca="1">IFERROR(_xlfn.XLOOKUP(1,  ('Drop off'!$A$6:$A$14 = $C41) * 1,  _xlfn.XLOOKUP(1,  ('Drop off'!$B$5:$I$5 = G$2) * ('Drop off'!$B$4:$I$4 = $S$2), 'Drop off'!$B$6:$I$14)) * $S$1, "-")</f>
        <v>75600</v>
      </c>
      <c r="H41" s="150" cm="1">
        <f t="array" aca="1" ref="H41" ca="1">IFERROR(_xlfn.XLOOKUP(1,  ('Drop off'!$A$6:$A$14 = $C41) * 1,  _xlfn.XLOOKUP(1,  ('Drop off'!$B$5:$I$5 = H$2) * ('Drop off'!$B$4:$I$4 = $S$2), 'Drop off'!$B$6:$I$14)) * $S$1, "-")</f>
        <v>56700</v>
      </c>
      <c r="I41" s="150" cm="1">
        <f t="array" aca="1" ref="I41" ca="1">IFERROR(_xlfn.XLOOKUP(1,  ('ж.д.'!$A$6:$A$14 = $D41) * 1,  _xlfn.XLOOKUP(1,  ('ж.д.'!$B$5:$M$5 = I$2) * ('ж.д.'!$B$4:$M$4 = $S$2), 'ж.д.'!$B$6:$M$14)), "-")</f>
        <v>124800</v>
      </c>
      <c r="J41" s="150" cm="1">
        <f t="array" aca="1" ref="J41" ca="1">IFERROR(_xlfn.XLOOKUP(1,  ('ж.д.'!$A$6:$A$14 = $D41) * 1,  _xlfn.XLOOKUP(1,  ('ж.д.'!$B$5:$M$5 = J$2) * ('ж.д.'!$B$4:$M$4 = $S$2), 'ж.д.'!$B$6:$M$14)), "-")</f>
        <v>143000</v>
      </c>
      <c r="K41" s="150" cm="1">
        <f t="array" aca="1" ref="K41" ca="1">IFERROR(_xlfn.XLOOKUP(1,  ('ж.д.'!$A$6:$A$14 = $D41) * 1,  _xlfn.XLOOKUP(1,  ('ж.д.'!$B$5:$M$5 = K$2) * ('ж.д.'!$B$4:$M$4 = $S$2), 'ж.д.'!$B$6:$M$14)), "-")</f>
        <v>211800</v>
      </c>
      <c r="L41" s="233" cm="1">
        <f t="array" aca="1" ref="L41" ca="1">IF(ISNUMBER(SEARCH("Транс",$C41)),_xlfn.XLOOKUP(1,('Фрахт Транс'!$A$5:$A$10=$D41)*1,_xlfn.XLOOKUP(1,('Фрахт Транс'!$B$3:$M$3 = $S$2)*('Фрахт Транс'!$B$4:$M$4=L$2),'Фрахт Транс'!$B$5:$M$10)),SUM($E41, $G41, $I41, $O41))</f>
        <v>487294</v>
      </c>
      <c r="M41" s="233" cm="1">
        <f t="array" aca="1" ref="M41" ca="1">IF(ISNUMBER(SEARCH("Транс",$C41)),_xlfn.XLOOKUP(1,('Фрахт Транс'!$A$5:$A$10=$D41)*1,_xlfn.XLOOKUP(1,('Фрахт Транс'!$B$3:$M$3=$S$2)*('Фрахт Транс'!$B$4:$M$4=M$2),'Фрахт Транс'!$B$5:$M$10)),SUM($E41, $G41, $J41, $O41))</f>
        <v>505494</v>
      </c>
      <c r="N41" s="233" cm="1">
        <f t="array" aca="1" ref="N41" ca="1">IF(ISNUMBER(SEARCH("Транс",$C41)),_xlfn.XLOOKUP(1,('Фрахт Транс'!$A$5:$A$10=$D41)*1,_xlfn.XLOOKUP(1,('Фрахт Транс'!$B$3:$M$3=$S$2)*('Фрахт Транс'!$B$4:$M$4=N$2),'Фрахт Транс'!$B$5:$M$10)),SUM($F41, $H41, $K41, $P41))</f>
        <v>747801</v>
      </c>
      <c r="O41" s="233" cm="1">
        <f t="array" aca="1" ref="O41" ca="1">IFERROR(_xlfn.XLOOKUP(1,  (Охрана!$A$6:$A$14 = $D41) * 1,  _xlfn.XLOOKUP(1,  (Охрана!$B$5:$M$5 = O$2) * (Охрана!$B$4:$M$4 = $S$2), Охрана!$B$6:$M$14)), "-")</f>
        <v>3394</v>
      </c>
      <c r="P41" s="234" cm="1">
        <f t="array" aca="1" ref="P41" ca="1">IFERROR(_xlfn.XLOOKUP(1,  (Охрана!$A$6:$A$14 = $D41) * 1,  _xlfn.XLOOKUP(1,  (Охрана!$B$5:$M$5 = P$2) * (Охрана!$B$4:$M$4 = $S$2), Охрана!$B$6:$M$14)), "-")</f>
        <v>6801</v>
      </c>
      <c r="Q41" s="286"/>
      <c r="R41" s="4"/>
      <c r="S41" s="1"/>
    </row>
    <row r="42" spans="1:19" ht="15" customHeight="1" thickBot="1" x14ac:dyDescent="0.3">
      <c r="A42" s="213" t="s">
        <v>17</v>
      </c>
      <c r="B42" s="288"/>
      <c r="C42" s="41" t="s">
        <v>35</v>
      </c>
      <c r="D42" s="40" t="s">
        <v>10</v>
      </c>
      <c r="E42" s="150" cm="1">
        <f t="array" ref="E42">IFERROR(_xlfn.XLOOKUP(1, (Фрахт!$A$5:$A$80 = $A42)* (Фрахт!$B$5:$B$80 = $C42) * (Фрахт!$C$5:$C$80 =$D42),  _xlfn.XLOOKUP(1,  (Фрахт!$D$4:$E$4 = E$2) * 1, Фрахт!$D$5:$E$80)) *  $S$1, "-")</f>
        <v>283500</v>
      </c>
      <c r="F42" s="150" cm="1">
        <f t="array" ref="F42">IFERROR(_xlfn.XLOOKUP(1, (Фрахт!$A$5:$A$80 = $A42)* (Фрахт!$B$5:$B$80 = $C42) * (Фрахт!$C$5:$C$80 =$D42),  _xlfn.XLOOKUP(1,  (Фрахт!$D$4:$E$4 = F$2) * 1, Фрахт!$D$5:$E$80)) *  $S$1, "-")</f>
        <v>472500</v>
      </c>
      <c r="G42" s="150" cm="1">
        <f t="array" aca="1" ref="G42" ca="1">IFERROR(_xlfn.XLOOKUP(1,  ('Drop off'!$A$6:$A$14 = $C42) * 1,  _xlfn.XLOOKUP(1,  ('Drop off'!$B$5:$I$5 = G$2) * ('Drop off'!$B$4:$I$4 = $S$2), 'Drop off'!$B$6:$I$14)) * $S$1, "-")</f>
        <v>75600</v>
      </c>
      <c r="H42" s="150" cm="1">
        <f t="array" aca="1" ref="H42" ca="1">IFERROR(_xlfn.XLOOKUP(1,  ('Drop off'!$A$6:$A$14 = $C42) * 1,  _xlfn.XLOOKUP(1,  ('Drop off'!$B$5:$I$5 = H$2) * ('Drop off'!$B$4:$I$4 = $S$2), 'Drop off'!$B$6:$I$14)) * $S$1, "-")</f>
        <v>56700</v>
      </c>
      <c r="I42" s="150" cm="1">
        <f t="array" aca="1" ref="I42" ca="1">IFERROR(_xlfn.XLOOKUP(1,  ('ж.д.'!$A$6:$A$14 = $D42) * 1,  _xlfn.XLOOKUP(1,  ('ж.д.'!$B$5:$M$5 = I$2) * ('ж.д.'!$B$4:$M$4 = $S$2), 'ж.д.'!$B$6:$M$14)), "-")</f>
        <v>125800</v>
      </c>
      <c r="J42" s="150" cm="1">
        <f t="array" aca="1" ref="J42" ca="1">IFERROR(_xlfn.XLOOKUP(1,  ('ж.д.'!$A$6:$A$14 = $D42) * 1,  _xlfn.XLOOKUP(1,  ('ж.д.'!$B$5:$M$5 = J$2) * ('ж.д.'!$B$4:$M$4 = $S$2), 'ж.д.'!$B$6:$M$14)), "-")</f>
        <v>141805</v>
      </c>
      <c r="K42" s="150" cm="1">
        <f t="array" aca="1" ref="K42" ca="1">IFERROR(_xlfn.XLOOKUP(1,  ('ж.д.'!$A$6:$A$14 = $D42) * 1,  _xlfn.XLOOKUP(1,  ('ж.д.'!$B$5:$M$5 = K$2) * ('ж.д.'!$B$4:$M$4 = $S$2), 'ж.д.'!$B$6:$M$14)), "-")</f>
        <v>211100</v>
      </c>
      <c r="L42" s="233" cm="1">
        <f t="array" aca="1" ref="L42" ca="1">IF(ISNUMBER(SEARCH("Транс",$C42)),_xlfn.XLOOKUP(1,('Фрахт Транс'!$A$5:$A$10=$D42)*1,_xlfn.XLOOKUP(1,('Фрахт Транс'!$B$3:$M$3 = $S$2)*('Фрахт Транс'!$B$4:$M$4=L$2),'Фрахт Транс'!$B$5:$M$10)),SUM($E42, $G42, $I42, $O42))</f>
        <v>489044</v>
      </c>
      <c r="M42" s="233" cm="1">
        <f t="array" aca="1" ref="M42" ca="1">IF(ISNUMBER(SEARCH("Транс",$C42)),_xlfn.XLOOKUP(1,('Фрахт Транс'!$A$5:$A$10=$D42)*1,_xlfn.XLOOKUP(1,('Фрахт Транс'!$B$3:$M$3=$S$2)*('Фрахт Транс'!$B$4:$M$4=M$2),'Фрахт Транс'!$B$5:$M$10)),SUM($E42, $G42, $J42, $O42))</f>
        <v>505049</v>
      </c>
      <c r="N42" s="233" cm="1">
        <f t="array" aca="1" ref="N42" ca="1">IF(ISNUMBER(SEARCH("Транс",$C42)),_xlfn.XLOOKUP(1,('Фрахт Транс'!$A$5:$A$10=$D42)*1,_xlfn.XLOOKUP(1,('Фрахт Транс'!$B$3:$M$3=$S$2)*('Фрахт Транс'!$B$4:$M$4=N$2),'Фрахт Транс'!$B$5:$M$10)),SUM($F42, $H42, $K42, $P42))</f>
        <v>747851</v>
      </c>
      <c r="O42" s="233" cm="1">
        <f t="array" aca="1" ref="O42" ca="1">IFERROR(_xlfn.XLOOKUP(1,  (Охрана!$A$6:$A$14 = $D42) * 1,  _xlfn.XLOOKUP(1,  (Охрана!$B$5:$M$5 = O$2) * (Охрана!$B$4:$M$4 = $S$2), Охрана!$B$6:$M$14)), "-")</f>
        <v>4144</v>
      </c>
      <c r="P42" s="234" cm="1">
        <f t="array" aca="1" ref="P42" ca="1">IFERROR(_xlfn.XLOOKUP(1,  (Охрана!$A$6:$A$14 = $D42) * 1,  _xlfn.XLOOKUP(1,  (Охрана!$B$5:$M$5 = P$2) * (Охрана!$B$4:$M$4 = $S$2), Охрана!$B$6:$M$14)), "-")</f>
        <v>7551</v>
      </c>
      <c r="Q42" s="286"/>
      <c r="R42" s="4"/>
      <c r="S42" s="1"/>
    </row>
    <row r="43" spans="1:19" ht="15" customHeight="1" thickBot="1" x14ac:dyDescent="0.3">
      <c r="A43" s="213" t="s">
        <v>17</v>
      </c>
      <c r="B43" s="288"/>
      <c r="C43" s="41" t="s">
        <v>35</v>
      </c>
      <c r="D43" s="40" t="s">
        <v>7</v>
      </c>
      <c r="E43" s="150" cm="1">
        <f t="array" ref="E43">IFERROR(_xlfn.XLOOKUP(1, (Фрахт!$A$5:$A$80 = $A43)* (Фрахт!$B$5:$B$80 = $C43) * (Фрахт!$C$5:$C$80 =$D43),  _xlfn.XLOOKUP(1,  (Фрахт!$D$4:$E$4 = E$2) * 1, Фрахт!$D$5:$E$80)) *  $S$1, "-")</f>
        <v>283500</v>
      </c>
      <c r="F43" s="150" cm="1">
        <f t="array" ref="F43">IFERROR(_xlfn.XLOOKUP(1, (Фрахт!$A$5:$A$80 = $A43)* (Фрахт!$B$5:$B$80 = $C43) * (Фрахт!$C$5:$C$80 =$D43),  _xlfn.XLOOKUP(1,  (Фрахт!$D$4:$E$4 = F$2) * 1, Фрахт!$D$5:$E$80)) *  $S$1, "-")</f>
        <v>472500</v>
      </c>
      <c r="G43" s="150" cm="1">
        <f t="array" aca="1" ref="G43" ca="1">IFERROR(_xlfn.XLOOKUP(1,  ('Drop off'!$A$6:$A$14 = $C43) * 1,  _xlfn.XLOOKUP(1,  ('Drop off'!$B$5:$I$5 = G$2) * ('Drop off'!$B$4:$I$4 = $S$2), 'Drop off'!$B$6:$I$14)) * $S$1, "-")</f>
        <v>75600</v>
      </c>
      <c r="H43" s="150" cm="1">
        <f t="array" aca="1" ref="H43" ca="1">IFERROR(_xlfn.XLOOKUP(1,  ('Drop off'!$A$6:$A$14 = $C43) * 1,  _xlfn.XLOOKUP(1,  ('Drop off'!$B$5:$I$5 = H$2) * ('Drop off'!$B$4:$I$4 = $S$2), 'Drop off'!$B$6:$I$14)) * $S$1, "-")</f>
        <v>56700</v>
      </c>
      <c r="I43" s="150" cm="1">
        <f t="array" aca="1" ref="I43" ca="1">IFERROR(_xlfn.XLOOKUP(1,  ('ж.д.'!$A$6:$A$14 = $D43) * 1,  _xlfn.XLOOKUP(1,  ('ж.д.'!$B$5:$M$5 = I$2) * ('ж.д.'!$B$4:$M$4 = $S$2), 'ж.д.'!$B$6:$M$14)), "-")</f>
        <v>120000</v>
      </c>
      <c r="J43" s="150" cm="1">
        <f t="array" aca="1" ref="J43" ca="1">IFERROR(_xlfn.XLOOKUP(1,  ('ж.д.'!$A$6:$A$14 = $D43) * 1,  _xlfn.XLOOKUP(1,  ('ж.д.'!$B$5:$M$5 = J$2) * ('ж.д.'!$B$4:$M$4 = $S$2), 'ж.д.'!$B$6:$M$14)), "-")</f>
        <v>137000</v>
      </c>
      <c r="K43" s="150" cm="1">
        <f t="array" aca="1" ref="K43" ca="1">IFERROR(_xlfn.XLOOKUP(1,  ('ж.д.'!$A$6:$A$14 = $D43) * 1,  _xlfn.XLOOKUP(1,  ('ж.д.'!$B$5:$M$5 = K$2) * ('ж.д.'!$B$4:$M$4 = $S$2), 'ж.д.'!$B$6:$M$14)), "-")</f>
        <v>200000</v>
      </c>
      <c r="L43" s="233" cm="1">
        <f t="array" aca="1" ref="L43" ca="1">IF(ISNUMBER(SEARCH("Транс",$C43)),_xlfn.XLOOKUP(1,('Фрахт Транс'!$A$5:$A$10=$D43)*1,_xlfn.XLOOKUP(1,('Фрахт Транс'!$B$3:$M$3 = $S$2)*('Фрахт Транс'!$B$4:$M$4=L$2),'Фрахт Транс'!$B$5:$M$10)),SUM($E43, $G43, $I43, $O43))</f>
        <v>483200</v>
      </c>
      <c r="M43" s="233" cm="1">
        <f t="array" aca="1" ref="M43" ca="1">IF(ISNUMBER(SEARCH("Транс",$C43)),_xlfn.XLOOKUP(1,('Фрахт Транс'!$A$5:$A$10=$D43)*1,_xlfn.XLOOKUP(1,('Фрахт Транс'!$B$3:$M$3=$S$2)*('Фрахт Транс'!$B$4:$M$4=M$2),'Фрахт Транс'!$B$5:$M$10)),SUM($E43, $G43, $J43, $O43))</f>
        <v>500200</v>
      </c>
      <c r="N43" s="233" cm="1">
        <f t="array" aca="1" ref="N43" ca="1">IF(ISNUMBER(SEARCH("Транс",$C43)),_xlfn.XLOOKUP(1,('Фрахт Транс'!$A$5:$A$10=$D43)*1,_xlfn.XLOOKUP(1,('Фрахт Транс'!$B$3:$M$3=$S$2)*('Фрахт Транс'!$B$4:$M$4=N$2),'Фрахт Транс'!$B$5:$M$10)),SUM($F43, $H43, $K43, $P43))</f>
        <v>737400</v>
      </c>
      <c r="O43" s="233" cm="1">
        <f t="array" aca="1" ref="O43" ca="1">IFERROR(_xlfn.XLOOKUP(1,  (Охрана!$A$6:$A$14 = $D43) * 1,  _xlfn.XLOOKUP(1,  (Охрана!$B$5:$M$5 = O$2) * (Охрана!$B$4:$M$4 = $S$2), Охрана!$B$6:$M$14)), "-")</f>
        <v>4100</v>
      </c>
      <c r="P43" s="234" cm="1">
        <f t="array" aca="1" ref="P43" ca="1">IFERROR(_xlfn.XLOOKUP(1,  (Охрана!$A$6:$A$14 = $D43) * 1,  _xlfn.XLOOKUP(1,  (Охрана!$B$5:$M$5 = P$2) * (Охрана!$B$4:$M$4 = $S$2), Охрана!$B$6:$M$14)), "-")</f>
        <v>8200</v>
      </c>
      <c r="Q43" s="286"/>
      <c r="R43" s="4"/>
      <c r="S43" s="1"/>
    </row>
    <row r="44" spans="1:19" ht="16.5" thickBot="1" x14ac:dyDescent="0.3">
      <c r="A44" s="213" t="s">
        <v>17</v>
      </c>
      <c r="B44" s="288"/>
      <c r="C44" s="50" t="s">
        <v>36</v>
      </c>
      <c r="D44" s="50" t="s">
        <v>21</v>
      </c>
      <c r="E44" s="151" cm="1">
        <f t="array" ref="E44">IFERROR(_xlfn.XLOOKUP(1, (Фрахт!$A$5:$A$80 = $A44)* (Фрахт!$B$5:$B$80 = $C44) * (Фрахт!$C$5:$C$80 =$D44),  _xlfn.XLOOKUP(1,  (Фрахт!$D$4:$E$4 = E$2) * 1, Фрахт!$D$5:$E$80)) *  $S$1, "-")</f>
        <v>275160</v>
      </c>
      <c r="F44" s="151" cm="1">
        <f t="array" ref="F44">IFERROR(_xlfn.XLOOKUP(1, (Фрахт!$A$5:$A$80 = $A44)* (Фрахт!$B$5:$B$80 = $C44) * (Фрахт!$C$5:$C$80 =$D44),  _xlfn.XLOOKUP(1,  (Фрахт!$D$4:$E$4 = F$2) * 1, Фрахт!$D$5:$E$80)) *  $S$1, "-")</f>
        <v>454320</v>
      </c>
      <c r="G44" s="151" cm="1">
        <f t="array" aca="1" ref="G44" ca="1">IFERROR(_xlfn.XLOOKUP(1,  ('Drop off'!$A$6:$A$14 = $C44) * 1,  _xlfn.XLOOKUP(1,  ('Drop off'!$B$5:$I$5 = G$2) * ('Drop off'!$B$4:$I$4 = $S$2), 'Drop off'!$B$6:$I$14)) * $S$1, "-")</f>
        <v>0</v>
      </c>
      <c r="H44" s="151" cm="1">
        <f t="array" aca="1" ref="H44" ca="1">IFERROR(_xlfn.XLOOKUP(1,  ('Drop off'!$A$6:$A$14 = $C44) * 1,  _xlfn.XLOOKUP(1,  ('Drop off'!$B$5:$I$5 = H$2) * ('Drop off'!$B$4:$I$4 = $S$2), 'Drop off'!$B$6:$I$14)) * $S$1, "-")</f>
        <v>0</v>
      </c>
      <c r="I44" s="151" cm="1">
        <f t="array" aca="1" ref="I44" ca="1">IFERROR(_xlfn.XLOOKUP(1,  ('ж.д.'!$A$6:$A$14 = $D44) * 1,  _xlfn.XLOOKUP(1,  ('ж.д.'!$B$5:$M$5 = I$2) * ('ж.д.'!$B$4:$M$4 = $S$2), 'ж.д.'!$B$6:$M$14)), "-")</f>
        <v>107400</v>
      </c>
      <c r="J44" s="151" cm="1">
        <f t="array" aca="1" ref="J44" ca="1">IFERROR(_xlfn.XLOOKUP(1,  ('ж.д.'!$A$6:$A$14 = $D44) * 1,  _xlfn.XLOOKUP(1,  ('ж.д.'!$B$5:$M$5 = J$2) * ('ж.д.'!$B$4:$M$4 = $S$2), 'ж.д.'!$B$6:$M$14)), "-")</f>
        <v>123400</v>
      </c>
      <c r="K44" s="151" cm="1">
        <f t="array" aca="1" ref="K44" ca="1">IFERROR(_xlfn.XLOOKUP(1,  ('ж.д.'!$A$6:$A$14 = $D44) * 1,  _xlfn.XLOOKUP(1,  ('ж.д.'!$B$5:$M$5 = K$2) * ('ж.д.'!$B$4:$M$4 = $S$2), 'ж.д.'!$B$6:$M$14)), "-")</f>
        <v>187400</v>
      </c>
      <c r="L44" s="235" cm="1">
        <f t="array" aca="1" ref="L44" ca="1">IF(ISNUMBER(SEARCH("Транс",$C44)),_xlfn.XLOOKUP(1,('Фрахт Транс'!$A$5:$A$10=$D44)*1,_xlfn.XLOOKUP(1,('Фрахт Транс'!$B$3:$M$3 = $S$2)*('Фрахт Транс'!$B$4:$M$4=L$2),'Фрахт Транс'!$B$5:$M$10)),SUM($E44, $G44, $I44, $O44))</f>
        <v>385954</v>
      </c>
      <c r="M44" s="235" cm="1">
        <f t="array" aca="1" ref="M44" ca="1">IF(ISNUMBER(SEARCH("Транс",$C44)),_xlfn.XLOOKUP(1,('Фрахт Транс'!$A$5:$A$10=$D44)*1,_xlfn.XLOOKUP(1,('Фрахт Транс'!$B$3:$M$3=$S$2)*('Фрахт Транс'!$B$4:$M$4=M$2),'Фрахт Транс'!$B$5:$M$10)),SUM($E44, $G44, $J44, $O44))</f>
        <v>401954</v>
      </c>
      <c r="N44" s="235" cm="1">
        <f t="array" aca="1" ref="N44" ca="1">IF(ISNUMBER(SEARCH("Транс",$C44)),_xlfn.XLOOKUP(1,('Фрахт Транс'!$A$5:$A$10=$D44)*1,_xlfn.XLOOKUP(1,('Фрахт Транс'!$B$3:$M$3=$S$2)*('Фрахт Транс'!$B$4:$M$4=N$2),'Фрахт Транс'!$B$5:$M$10)),SUM($F44, $H44, $K44, $P44))</f>
        <v>648521</v>
      </c>
      <c r="O44" s="235" cm="1">
        <f t="array" aca="1" ref="O44" ca="1">IFERROR(_xlfn.XLOOKUP(1,  (Охрана!$A$6:$A$14 = $D44) * 1,  _xlfn.XLOOKUP(1,  (Охрана!$B$5:$M$5 = O$2) * (Охрана!$B$4:$M$4 = $S$2), Охрана!$B$6:$M$14)), "-")</f>
        <v>3394</v>
      </c>
      <c r="P44" s="236" cm="1">
        <f t="array" aca="1" ref="P44" ca="1">IFERROR(_xlfn.XLOOKUP(1,  (Охрана!$A$6:$A$14 = $D44) * 1,  _xlfn.XLOOKUP(1,  (Охрана!$B$5:$M$5 = P$2) * (Охрана!$B$4:$M$4 = $S$2), Охрана!$B$6:$M$14)), "-")</f>
        <v>6801</v>
      </c>
      <c r="Q44" s="38"/>
      <c r="R44" s="3"/>
      <c r="S44" s="1"/>
    </row>
    <row r="45" spans="1:19" ht="15.75" customHeight="1" thickBot="1" x14ac:dyDescent="0.3">
      <c r="A45" s="213" t="s">
        <v>17</v>
      </c>
      <c r="B45" s="289"/>
      <c r="C45" s="58" t="s">
        <v>37</v>
      </c>
      <c r="D45" s="55" t="s">
        <v>11</v>
      </c>
      <c r="E45" s="228" cm="1">
        <f t="array" ref="E45">IFERROR(_xlfn.XLOOKUP(1, (Фрахт!$A$5:$A$80 = $A45)* (Фрахт!$B$5:$B$80 = $C45) * (Фрахт!$C$5:$C$80 =$D45),  _xlfn.XLOOKUP(1,  (Фрахт!$D$4:$E$4 = E$2) * 1, Фрахт!$D$5:$E$80)) *  $S$1, "-")</f>
        <v>216000</v>
      </c>
      <c r="F45" s="228" cm="1">
        <f t="array" ref="F45">IFERROR(_xlfn.XLOOKUP(1, (Фрахт!$A$5:$A$80 = $A45)* (Фрахт!$B$5:$B$80 = $C45) * (Фрахт!$C$5:$C$80 =$D45),  _xlfn.XLOOKUP(1,  (Фрахт!$D$4:$E$4 = F$2) * 1, Фрахт!$D$5:$E$80)) *  $S$1, "-")</f>
        <v>360000</v>
      </c>
      <c r="G45" s="228" cm="1">
        <f t="array" aca="1" ref="G45" ca="1">IFERROR(_xlfn.XLOOKUP(1,  ('Drop off'!$A$6:$A$14 = $C45) * 1,  _xlfn.XLOOKUP(1,  ('Drop off'!$B$5:$I$5 = G$2) * ('Drop off'!$B$4:$I$4 = $S$2), 'Drop off'!$B$6:$I$14)) * $S$1, "-")</f>
        <v>0</v>
      </c>
      <c r="H45" s="228" cm="1">
        <f t="array" aca="1" ref="H45" ca="1">IFERROR(_xlfn.XLOOKUP(1,  ('Drop off'!$A$6:$A$14 = $C45) * 1,  _xlfn.XLOOKUP(1,  ('Drop off'!$B$5:$I$5 = H$2) * ('Drop off'!$B$4:$I$4 = $S$2), 'Drop off'!$B$6:$I$14)) * $S$1, "-")</f>
        <v>0</v>
      </c>
      <c r="I45" s="228" cm="1">
        <f t="array" aca="1" ref="I45" ca="1">IFERROR(_xlfn.XLOOKUP(1,  ('ж.д.'!$A$6:$A$14 = $D45) * 1,  _xlfn.XLOOKUP(1,  ('ж.д.'!$B$5:$M$5 = I$2) * ('ж.д.'!$B$4:$M$4 = $S$2), 'ж.д.'!$B$6:$M$14)), "-")</f>
        <v>124800</v>
      </c>
      <c r="J45" s="228" cm="1">
        <f t="array" aca="1" ref="J45" ca="1">IFERROR(_xlfn.XLOOKUP(1,  ('ж.д.'!$A$6:$A$14 = $D45) * 1,  _xlfn.XLOOKUP(1,  ('ж.д.'!$B$5:$M$5 = J$2) * ('ж.д.'!$B$4:$M$4 = $S$2), 'ж.д.'!$B$6:$M$14)), "-")</f>
        <v>143000</v>
      </c>
      <c r="K45" s="228" cm="1">
        <f t="array" aca="1" ref="K45" ca="1">IFERROR(_xlfn.XLOOKUP(1,  ('ж.д.'!$A$6:$A$14 = $D45) * 1,  _xlfn.XLOOKUP(1,  ('ж.д.'!$B$5:$M$5 = K$2) * ('ж.д.'!$B$4:$M$4 = $S$2), 'ж.д.'!$B$6:$M$14)), "-")</f>
        <v>211800</v>
      </c>
      <c r="L45" s="160" cm="1">
        <f t="array" aca="1" ref="L45" ca="1">IF(ISNUMBER(SEARCH("Транс",$C45)),_xlfn.XLOOKUP(1,('Фрахт Транс'!$A$5:$A$10=$D45)*1,_xlfn.XLOOKUP(1,('Фрахт Транс'!$B$3:$M$3 = $S$2)*('Фрахт Транс'!$B$4:$M$4=L$2),'Фрахт Транс'!$B$5:$M$10)),SUM($E45, $G45, $I45, $O45))</f>
        <v>344194</v>
      </c>
      <c r="M45" s="160" cm="1">
        <f t="array" aca="1" ref="M45" ca="1">IF(ISNUMBER(SEARCH("Транс",$C45)),_xlfn.XLOOKUP(1,('Фрахт Транс'!$A$5:$A$10=$D45)*1,_xlfn.XLOOKUP(1,('Фрахт Транс'!$B$3:$M$3=$S$2)*('Фрахт Транс'!$B$4:$M$4=M$2),'Фрахт Транс'!$B$5:$M$10)),SUM($E45, $G45, $J45, $O45))</f>
        <v>362394</v>
      </c>
      <c r="N45" s="160" cm="1">
        <f t="array" aca="1" ref="N45" ca="1">IF(ISNUMBER(SEARCH("Транс",$C45)),_xlfn.XLOOKUP(1,('Фрахт Транс'!$A$5:$A$10=$D45)*1,_xlfn.XLOOKUP(1,('Фрахт Транс'!$B$3:$M$3=$S$2)*('Фрахт Транс'!$B$4:$M$4=N$2),'Фрахт Транс'!$B$5:$M$10)),SUM($F45, $H45, $K45, $P45))</f>
        <v>578601</v>
      </c>
      <c r="O45" s="160" cm="1">
        <f t="array" aca="1" ref="O45" ca="1">IFERROR(_xlfn.XLOOKUP(1,  (Охрана!$A$6:$A$14 = $D45) * 1,  _xlfn.XLOOKUP(1,  (Охрана!$B$5:$M$5 = O$2) * (Охрана!$B$4:$M$4 = $S$2), Охрана!$B$6:$M$14)), "-")</f>
        <v>3394</v>
      </c>
      <c r="P45" s="206" cm="1">
        <f t="array" aca="1" ref="P45" ca="1">IFERROR(_xlfn.XLOOKUP(1,  (Охрана!$A$6:$A$14 = $D45) * 1,  _xlfn.XLOOKUP(1,  (Охрана!$B$5:$M$5 = P$2) * (Охрана!$B$4:$M$4 = $S$2), Охрана!$B$6:$M$14)), "-")</f>
        <v>6801</v>
      </c>
      <c r="Q45" s="38"/>
      <c r="R45" s="3"/>
      <c r="S45" s="1"/>
    </row>
    <row r="46" spans="1:19" ht="30.75" thickBot="1" x14ac:dyDescent="0.3">
      <c r="A46" s="214" t="s">
        <v>18</v>
      </c>
      <c r="B46" s="290" t="s">
        <v>18</v>
      </c>
      <c r="C46" s="63" t="s">
        <v>43</v>
      </c>
      <c r="D46" s="64" t="s">
        <v>49</v>
      </c>
      <c r="E46" s="148" t="str" cm="1">
        <f t="array" ref="E46">IFERROR(_xlfn.XLOOKUP(1, (Фрахт!$A$5:$A$80 = $A46)* (Фрахт!$B$5:$B$80 = $C46) * (Фрахт!$C$5:$C$80 =$D46),  _xlfn.XLOOKUP(1,  (Фрахт!$D$4:$E$4 = E$2) * 1, Фрахт!$D$5:$E$80)) *  $S$1, "-")</f>
        <v>-</v>
      </c>
      <c r="F46" s="148" t="str" cm="1">
        <f t="array" ref="F46">IFERROR(_xlfn.XLOOKUP(1, (Фрахт!$A$5:$A$80 = $A46)* (Фрахт!$B$5:$B$80 = $C46) * (Фрахт!$C$5:$C$80 =$D46),  _xlfn.XLOOKUP(1,  (Фрахт!$D$4:$E$4 = F$2) * 1, Фрахт!$D$5:$E$80)) *  $S$1, "-")</f>
        <v>-</v>
      </c>
      <c r="G46" s="148" cm="1">
        <f t="array" aca="1" ref="G46" ca="1">IFERROR(_xlfn.XLOOKUP(1,  ('Drop off'!$A$6:$A$14 = $C46) * 1,  _xlfn.XLOOKUP(1,  ('Drop off'!$B$5:$I$5 = G$2) * ('Drop off'!$B$4:$I$4 = $S$2), 'Drop off'!$B$6:$I$14)) * $S$1, "-")</f>
        <v>0</v>
      </c>
      <c r="H46" s="148" cm="1">
        <f t="array" aca="1" ref="H46" ca="1">IFERROR(_xlfn.XLOOKUP(1,  ('Drop off'!$A$6:$A$14 = $C46) * 1,  _xlfn.XLOOKUP(1,  ('Drop off'!$B$5:$I$5 = H$2) * ('Drop off'!$B$4:$I$4 = $S$2), 'Drop off'!$B$6:$I$14)) * $S$1, "-")</f>
        <v>0</v>
      </c>
      <c r="I46" s="148" t="str" cm="1">
        <f t="array" aca="1" ref="I46" ca="1">IFERROR(_xlfn.XLOOKUP(1,  ('ж.д.'!$A$6:$A$14 = $D46) * 1,  _xlfn.XLOOKUP(1,  ('ж.д.'!$B$5:$M$5 = I$2) * ('ж.д.'!$B$4:$M$4 = $S$2), 'ж.д.'!$B$6:$M$14)), "-")</f>
        <v>-</v>
      </c>
      <c r="J46" s="148" t="str" cm="1">
        <f t="array" aca="1" ref="J46" ca="1">IFERROR(_xlfn.XLOOKUP(1,  ('ж.д.'!$A$6:$A$14 = $D46) * 1,  _xlfn.XLOOKUP(1,  ('ж.д.'!$B$5:$M$5 = J$2) * ('ж.д.'!$B$4:$M$4 = $S$2), 'ж.д.'!$B$6:$M$14)), "-")</f>
        <v>-</v>
      </c>
      <c r="K46" s="148" t="str" cm="1">
        <f t="array" aca="1" ref="K46" ca="1">IFERROR(_xlfn.XLOOKUP(1,  ('ж.д.'!$A$6:$A$14 = $D46) * 1,  _xlfn.XLOOKUP(1,  ('ж.д.'!$B$5:$M$5 = K$2) * ('ж.д.'!$B$4:$M$4 = $S$2), 'ж.д.'!$B$6:$M$14)), "-")</f>
        <v>-</v>
      </c>
      <c r="L46" s="192" cm="1">
        <f t="array" aca="1" ref="L46" ca="1">IF(ISNUMBER(SEARCH("Транс",$C46)),_xlfn.XLOOKUP(1,('Фрахт Транс'!$A$5:$A$10=$D46)*1,_xlfn.XLOOKUP(1,('Фрахт Транс'!$B$3:$M$3 = $S$2)*('Фрахт Транс'!$B$4:$M$4=L$2),'Фрахт Транс'!$B$5:$M$10)),SUM($E46, $G46, $I46, $O46))</f>
        <v>389660</v>
      </c>
      <c r="M46" s="192" cm="1">
        <f t="array" aca="1" ref="M46" ca="1">IF(ISNUMBER(SEARCH("Транс",$C46)),_xlfn.XLOOKUP(1,('Фрахт Транс'!$A$5:$A$10=$D46)*1,_xlfn.XLOOKUP(1,('Фрахт Транс'!$B$3:$M$3=$S$2)*('Фрахт Транс'!$B$4:$M$4=M$2),'Фрахт Транс'!$B$5:$M$10)),SUM($E46, $G46, $J46, $O46))</f>
        <v>407652</v>
      </c>
      <c r="N46" s="192" cm="1">
        <f t="array" aca="1" ref="N46" ca="1">IF(ISNUMBER(SEARCH("Транс",$C46)),_xlfn.XLOOKUP(1,('Фрахт Транс'!$A$5:$A$10=$D46)*1,_xlfn.XLOOKUP(1,('Фрахт Транс'!$B$3:$M$3=$S$2)*('Фрахт Транс'!$B$4:$M$4=N$2),'Фрахт Транс'!$B$5:$M$10)),SUM($F46, $H46, $K46, $P46))</f>
        <v>594313</v>
      </c>
      <c r="O46" s="192" t="str" cm="1">
        <f t="array" aca="1" ref="O46" ca="1">IFERROR(_xlfn.XLOOKUP(1,  (Охрана!$A$6:$A$14 = $D46) * 1,  _xlfn.XLOOKUP(1,  (Охрана!$B$5:$M$5 = O$2) * (Охрана!$B$4:$M$4 = $S$2), Охрана!$B$6:$M$14)), "-")</f>
        <v>-</v>
      </c>
      <c r="P46" s="193" t="str" cm="1">
        <f t="array" aca="1" ref="P46" ca="1">IFERROR(_xlfn.XLOOKUP(1,  (Охрана!$A$6:$A$14 = $D46) * 1,  _xlfn.XLOOKUP(1,  (Охрана!$B$5:$M$5 = P$2) * (Охрана!$B$4:$M$4 = $S$2), Охрана!$B$6:$M$14)), "-")</f>
        <v>-</v>
      </c>
      <c r="Q46" s="38"/>
      <c r="R46" s="6"/>
      <c r="S46" s="1"/>
    </row>
    <row r="47" spans="1:19" ht="15" customHeight="1" thickBot="1" x14ac:dyDescent="0.3">
      <c r="A47" s="214" t="s">
        <v>18</v>
      </c>
      <c r="B47" s="291"/>
      <c r="C47" s="42" t="s">
        <v>12</v>
      </c>
      <c r="D47" s="32" t="s">
        <v>30</v>
      </c>
      <c r="E47" s="149" cm="1">
        <f t="array" ref="E47">IFERROR(_xlfn.XLOOKUP(1, (Фрахт!$A$5:$A$80 = $A47)* (Фрахт!$B$5:$B$80 = $C47) * (Фрахт!$C$5:$C$80 =$D47),  _xlfn.XLOOKUP(1,  (Фрахт!$D$4:$E$4 = E$2) * 1, Фрахт!$D$5:$E$80)) *  $S$1, "-")</f>
        <v>330000</v>
      </c>
      <c r="F47" s="149" cm="1">
        <f t="array" ref="F47">IFERROR(_xlfn.XLOOKUP(1, (Фрахт!$A$5:$A$80 = $A47)* (Фрахт!$B$5:$B$80 = $C47) * (Фрахт!$C$5:$C$80 =$D47),  _xlfn.XLOOKUP(1,  (Фрахт!$D$4:$E$4 = F$2) * 1, Фрахт!$D$5:$E$80)) *  $S$1, "-")</f>
        <v>510000</v>
      </c>
      <c r="G47" s="149" cm="1">
        <f t="array" aca="1" ref="G47" ca="1">IFERROR(_xlfn.XLOOKUP(1,  ('Drop off'!$A$6:$A$14 = $C47) * 1,  _xlfn.XLOOKUP(1,  ('Drop off'!$B$5:$I$5 = G$2) * ('Drop off'!$B$4:$I$4 = $S$2), 'Drop off'!$B$6:$I$14)) * $S$1, "-")</f>
        <v>0</v>
      </c>
      <c r="H47" s="149" cm="1">
        <f t="array" aca="1" ref="H47" ca="1">IFERROR(_xlfn.XLOOKUP(1,  ('Drop off'!$A$6:$A$14 = $C47) * 1,  _xlfn.XLOOKUP(1,  ('Drop off'!$B$5:$I$5 = H$2) * ('Drop off'!$B$4:$I$4 = $S$2), 'Drop off'!$B$6:$I$14)) * $S$1, "-")</f>
        <v>0</v>
      </c>
      <c r="I47" s="149" cm="1">
        <f t="array" aca="1" ref="I47" ca="1">IFERROR(_xlfn.XLOOKUP(1,  ('ж.д.'!$A$6:$A$14 = $D47) * 1,  _xlfn.XLOOKUP(1,  ('ж.д.'!$B$5:$M$5 = I$2) * ('ж.д.'!$B$4:$M$4 = $S$2), 'ж.д.'!$B$6:$M$14)), "-")</f>
        <v>144300</v>
      </c>
      <c r="J47" s="149" cm="1">
        <f t="array" aca="1" ref="J47" ca="1">IFERROR(_xlfn.XLOOKUP(1,  ('ж.д.'!$A$6:$A$14 = $D47) * 1,  _xlfn.XLOOKUP(1,  ('ж.д.'!$B$5:$M$5 = J$2) * ('ж.д.'!$B$4:$M$4 = $S$2), 'ж.д.'!$B$6:$M$14)), "-")</f>
        <v>160305</v>
      </c>
      <c r="K47" s="149" cm="1">
        <f t="array" aca="1" ref="K47" ca="1">IFERROR(_xlfn.XLOOKUP(1,  ('ж.д.'!$A$6:$A$14 = $D47) * 1,  _xlfn.XLOOKUP(1,  ('ж.д.'!$B$5:$M$5 = K$2) * ('ж.д.'!$B$4:$M$4 = $S$2), 'ж.д.'!$B$6:$M$14)), "-")</f>
        <v>247100</v>
      </c>
      <c r="L47" s="231" cm="1">
        <f t="array" aca="1" ref="L47" ca="1">IF(ISNUMBER(SEARCH("Транс",$C47)),_xlfn.XLOOKUP(1,('Фрахт Транс'!$A$5:$A$10=$D47)*1,_xlfn.XLOOKUP(1,('Фрахт Транс'!$B$3:$M$3 = $S$2)*('Фрахт Транс'!$B$4:$M$4=L$2),'Фрахт Транс'!$B$5:$M$10)),SUM($E47, $G47, $I47, $O47))</f>
        <v>478444</v>
      </c>
      <c r="M47" s="231" cm="1">
        <f t="array" aca="1" ref="M47" ca="1">IF(ISNUMBER(SEARCH("Транс",$C47)),_xlfn.XLOOKUP(1,('Фрахт Транс'!$A$5:$A$10=$D47)*1,_xlfn.XLOOKUP(1,('Фрахт Транс'!$B$3:$M$3=$S$2)*('Фрахт Транс'!$B$4:$M$4=M$2),'Фрахт Транс'!$B$5:$M$10)),SUM($E47, $G47, $J47, $O47))</f>
        <v>494449</v>
      </c>
      <c r="N47" s="231" cm="1">
        <f t="array" aca="1" ref="N47" ca="1">IF(ISNUMBER(SEARCH("Транс",$C47)),_xlfn.XLOOKUP(1,('Фрахт Транс'!$A$5:$A$10=$D47)*1,_xlfn.XLOOKUP(1,('Фрахт Транс'!$B$3:$M$3=$S$2)*('Фрахт Транс'!$B$4:$M$4=N$2),'Фрахт Транс'!$B$5:$M$10)),SUM($F47, $H47, $K47, $P47))</f>
        <v>764651</v>
      </c>
      <c r="O47" s="231" cm="1">
        <f t="array" aca="1" ref="O47" ca="1">IFERROR(_xlfn.XLOOKUP(1,  (Охрана!$A$6:$A$14 = $D47) * 1,  _xlfn.XLOOKUP(1,  (Охрана!$B$5:$M$5 = O$2) * (Охрана!$B$4:$M$4 = $S$2), Охрана!$B$6:$M$14)), "-")</f>
        <v>4144</v>
      </c>
      <c r="P47" s="232" cm="1">
        <f t="array" aca="1" ref="P47" ca="1">IFERROR(_xlfn.XLOOKUP(1,  (Охрана!$A$6:$A$14 = $D47) * 1,  _xlfn.XLOOKUP(1,  (Охрана!$B$5:$M$5 = P$2) * (Охрана!$B$4:$M$4 = $S$2), Охрана!$B$6:$M$14)), "-")</f>
        <v>7551</v>
      </c>
      <c r="Q47" s="282"/>
      <c r="R47" s="91"/>
      <c r="S47" s="1"/>
    </row>
    <row r="48" spans="1:19" ht="15" customHeight="1" thickBot="1" x14ac:dyDescent="0.3">
      <c r="A48" s="214" t="s">
        <v>18</v>
      </c>
      <c r="B48" s="291"/>
      <c r="C48" s="42" t="s">
        <v>12</v>
      </c>
      <c r="D48" s="32" t="s">
        <v>55</v>
      </c>
      <c r="E48" s="149" cm="1">
        <f t="array" ref="E48">IFERROR(_xlfn.XLOOKUP(1, (Фрахт!$A$5:$A$80 = $A48)* (Фрахт!$B$5:$B$80 = $C48) * (Фрахт!$C$5:$C$80 =$D48),  _xlfn.XLOOKUP(1,  (Фрахт!$D$4:$E$4 = E$2) * 1, Фрахт!$D$5:$E$80)) *  $S$1, "-")</f>
        <v>330000</v>
      </c>
      <c r="F48" s="149" cm="1">
        <f t="array" ref="F48">IFERROR(_xlfn.XLOOKUP(1, (Фрахт!$A$5:$A$80 = $A48)* (Фрахт!$B$5:$B$80 = $C48) * (Фрахт!$C$5:$C$80 =$D48),  _xlfn.XLOOKUP(1,  (Фрахт!$D$4:$E$4 = F$2) * 1, Фрахт!$D$5:$E$80)) *  $S$1, "-")</f>
        <v>510000</v>
      </c>
      <c r="G48" s="149" cm="1">
        <f t="array" aca="1" ref="G48" ca="1">IFERROR(_xlfn.XLOOKUP(1,  ('Drop off'!$A$6:$A$14 = $C48) * 1,  _xlfn.XLOOKUP(1,  ('Drop off'!$B$5:$I$5 = G$2) * ('Drop off'!$B$4:$I$4 = $S$2), 'Drop off'!$B$6:$I$14)) * $S$1, "-")</f>
        <v>0</v>
      </c>
      <c r="H48" s="149" cm="1">
        <f t="array" aca="1" ref="H48" ca="1">IFERROR(_xlfn.XLOOKUP(1,  ('Drop off'!$A$6:$A$14 = $C48) * 1,  _xlfn.XLOOKUP(1,  ('Drop off'!$B$5:$I$5 = H$2) * ('Drop off'!$B$4:$I$4 = $S$2), 'Drop off'!$B$6:$I$14)) * $S$1, "-")</f>
        <v>0</v>
      </c>
      <c r="I48" s="149" cm="1">
        <f t="array" aca="1" ref="I48" ca="1">IFERROR(_xlfn.XLOOKUP(1,  ('ж.д.'!$A$6:$A$14 = $D48) * 1,  _xlfn.XLOOKUP(1,  ('ж.д.'!$B$5:$M$5 = I$2) * ('ж.д.'!$B$4:$M$4 = $S$2), 'ж.д.'!$B$6:$M$14)), "-")</f>
        <v>150590</v>
      </c>
      <c r="J48" s="149" cm="1">
        <f t="array" aca="1" ref="J48" ca="1">IFERROR(_xlfn.XLOOKUP(1,  ('ж.д.'!$A$6:$A$14 = $D48) * 1,  _xlfn.XLOOKUP(1,  ('ж.д.'!$B$5:$M$5 = J$2) * ('ж.д.'!$B$4:$M$4 = $S$2), 'ж.д.'!$B$6:$M$14)), "-")</f>
        <v>168355</v>
      </c>
      <c r="K48" s="149" cm="1">
        <f t="array" aca="1" ref="K48" ca="1">IFERROR(_xlfn.XLOOKUP(1,  ('ж.д.'!$A$6:$A$14 = $D48) * 1,  _xlfn.XLOOKUP(1,  ('ж.д.'!$B$5:$M$5 = K$2) * ('ж.д.'!$B$4:$M$4 = $S$2), 'ж.д.'!$B$6:$M$14)), "-")</f>
        <v>259240</v>
      </c>
      <c r="L48" s="231" cm="1">
        <f t="array" aca="1" ref="L48" ca="1">IF(ISNUMBER(SEARCH("Транс",$C48)),_xlfn.XLOOKUP(1,('Фрахт Транс'!$A$5:$A$10=$D48)*1,_xlfn.XLOOKUP(1,('Фрахт Транс'!$B$3:$M$3 = $S$2)*('Фрахт Транс'!$B$4:$M$4=L$2),'Фрахт Транс'!$B$5:$M$10)),SUM($E48, $G48, $I48, $O48))</f>
        <v>484734</v>
      </c>
      <c r="M48" s="231" cm="1">
        <f t="array" aca="1" ref="M48" ca="1">IF(ISNUMBER(SEARCH("Транс",$C48)),_xlfn.XLOOKUP(1,('Фрахт Транс'!$A$5:$A$10=$D48)*1,_xlfn.XLOOKUP(1,('Фрахт Транс'!$B$3:$M$3=$S$2)*('Фрахт Транс'!$B$4:$M$4=M$2),'Фрахт Транс'!$B$5:$M$10)),SUM($E48, $G48, $J48, $O48))</f>
        <v>502499</v>
      </c>
      <c r="N48" s="231" cm="1">
        <f t="array" aca="1" ref="N48" ca="1">IF(ISNUMBER(SEARCH("Транс",$C48)),_xlfn.XLOOKUP(1,('Фрахт Транс'!$A$5:$A$10=$D48)*1,_xlfn.XLOOKUP(1,('Фрахт Транс'!$B$3:$M$3=$S$2)*('Фрахт Транс'!$B$4:$M$4=N$2),'Фрахт Транс'!$B$5:$M$10)),SUM($F48, $H48, $K48, $P48))</f>
        <v>776791</v>
      </c>
      <c r="O48" s="231" cm="1">
        <f t="array" aca="1" ref="O48" ca="1">IFERROR(_xlfn.XLOOKUP(1,  (Охрана!$A$6:$A$14 = $D48) * 1,  _xlfn.XLOOKUP(1,  (Охрана!$B$5:$M$5 = O$2) * (Охрана!$B$4:$M$4 = $S$2), Охрана!$B$6:$M$14)), "-")</f>
        <v>4144</v>
      </c>
      <c r="P48" s="232" cm="1">
        <f t="array" aca="1" ref="P48" ca="1">IFERROR(_xlfn.XLOOKUP(1,  (Охрана!$A$6:$A$14 = $D48) * 1,  _xlfn.XLOOKUP(1,  (Охрана!$B$5:$M$5 = P$2) * (Охрана!$B$4:$M$4 = $S$2), Охрана!$B$6:$M$14)), "-")</f>
        <v>7551</v>
      </c>
      <c r="Q48" s="282"/>
      <c r="R48" s="3"/>
      <c r="S48" s="1"/>
    </row>
    <row r="49" spans="1:19" ht="15" customHeight="1" thickBot="1" x14ac:dyDescent="0.3">
      <c r="A49" s="214" t="s">
        <v>18</v>
      </c>
      <c r="B49" s="291"/>
      <c r="C49" s="41" t="s">
        <v>35</v>
      </c>
      <c r="D49" s="40" t="s">
        <v>11</v>
      </c>
      <c r="E49" s="150" cm="1">
        <f t="array" ref="E49">IFERROR(_xlfn.XLOOKUP(1, (Фрахт!$A$5:$A$80 = $A49)* (Фрахт!$B$5:$B$80 = $C49) * (Фрахт!$C$5:$C$80 =$D49),  _xlfn.XLOOKUP(1,  (Фрахт!$D$4:$E$4 = E$2) * 1, Фрахт!$D$5:$E$80)) *  $S$1, "-")</f>
        <v>346500</v>
      </c>
      <c r="F49" s="150" cm="1">
        <f t="array" ref="F49">IFERROR(_xlfn.XLOOKUP(1, (Фрахт!$A$5:$A$80 = $A49)* (Фрахт!$B$5:$B$80 = $C49) * (Фрахт!$C$5:$C$80 =$D49),  _xlfn.XLOOKUP(1,  (Фрахт!$D$4:$E$4 = F$2) * 1, Фрахт!$D$5:$E$80)) *  $S$1, "-")</f>
        <v>504000</v>
      </c>
      <c r="G49" s="150" cm="1">
        <f t="array" aca="1" ref="G49" ca="1">IFERROR(_xlfn.XLOOKUP(1,  ('Drop off'!$A$6:$A$14 = $C49) * 1,  _xlfn.XLOOKUP(1,  ('Drop off'!$B$5:$I$5 = G$2) * ('Drop off'!$B$4:$I$4 = $S$2), 'Drop off'!$B$6:$I$14)) * $S$1, "-")</f>
        <v>75600</v>
      </c>
      <c r="H49" s="150" cm="1">
        <f t="array" aca="1" ref="H49" ca="1">IFERROR(_xlfn.XLOOKUP(1,  ('Drop off'!$A$6:$A$14 = $C49) * 1,  _xlfn.XLOOKUP(1,  ('Drop off'!$B$5:$I$5 = H$2) * ('Drop off'!$B$4:$I$4 = $S$2), 'Drop off'!$B$6:$I$14)) * $S$1, "-")</f>
        <v>56700</v>
      </c>
      <c r="I49" s="150" cm="1">
        <f t="array" aca="1" ref="I49" ca="1">IFERROR(_xlfn.XLOOKUP(1,  ('ж.д.'!$A$6:$A$14 = $D49) * 1,  _xlfn.XLOOKUP(1,  ('ж.д.'!$B$5:$M$5 = I$2) * ('ж.д.'!$B$4:$M$4 = $S$2), 'ж.д.'!$B$6:$M$14)), "-")</f>
        <v>124800</v>
      </c>
      <c r="J49" s="150" cm="1">
        <f t="array" aca="1" ref="J49" ca="1">IFERROR(_xlfn.XLOOKUP(1,  ('ж.д.'!$A$6:$A$14 = $D49) * 1,  _xlfn.XLOOKUP(1,  ('ж.д.'!$B$5:$M$5 = J$2) * ('ж.д.'!$B$4:$M$4 = $S$2), 'ж.д.'!$B$6:$M$14)), "-")</f>
        <v>143000</v>
      </c>
      <c r="K49" s="150" cm="1">
        <f t="array" aca="1" ref="K49" ca="1">IFERROR(_xlfn.XLOOKUP(1,  ('ж.д.'!$A$6:$A$14 = $D49) * 1,  _xlfn.XLOOKUP(1,  ('ж.д.'!$B$5:$M$5 = K$2) * ('ж.д.'!$B$4:$M$4 = $S$2), 'ж.д.'!$B$6:$M$14)), "-")</f>
        <v>211800</v>
      </c>
      <c r="L49" s="233" cm="1">
        <f t="array" aca="1" ref="L49" ca="1">IF(ISNUMBER(SEARCH("Транс",$C49)),_xlfn.XLOOKUP(1,('Фрахт Транс'!$A$5:$A$10=$D49)*1,_xlfn.XLOOKUP(1,('Фрахт Транс'!$B$3:$M$3 = $S$2)*('Фрахт Транс'!$B$4:$M$4=L$2),'Фрахт Транс'!$B$5:$M$10)),SUM($E49, $G49, $I49, $O49))</f>
        <v>550294</v>
      </c>
      <c r="M49" s="233" cm="1">
        <f t="array" aca="1" ref="M49" ca="1">IF(ISNUMBER(SEARCH("Транс",$C49)),_xlfn.XLOOKUP(1,('Фрахт Транс'!$A$5:$A$10=$D49)*1,_xlfn.XLOOKUP(1,('Фрахт Транс'!$B$3:$M$3=$S$2)*('Фрахт Транс'!$B$4:$M$4=M$2),'Фрахт Транс'!$B$5:$M$10)),SUM($E49, $G49, $J49, $O49))</f>
        <v>568494</v>
      </c>
      <c r="N49" s="233" cm="1">
        <f t="array" aca="1" ref="N49" ca="1">IF(ISNUMBER(SEARCH("Транс",$C49)),_xlfn.XLOOKUP(1,('Фрахт Транс'!$A$5:$A$10=$D49)*1,_xlfn.XLOOKUP(1,('Фрахт Транс'!$B$3:$M$3=$S$2)*('Фрахт Транс'!$B$4:$M$4=N$2),'Фрахт Транс'!$B$5:$M$10)),SUM($F49, $H49, $K49, $P49))</f>
        <v>779301</v>
      </c>
      <c r="O49" s="233" cm="1">
        <f t="array" aca="1" ref="O49" ca="1">IFERROR(_xlfn.XLOOKUP(1,  (Охрана!$A$6:$A$14 = $D49) * 1,  _xlfn.XLOOKUP(1,  (Охрана!$B$5:$M$5 = O$2) * (Охрана!$B$4:$M$4 = $S$2), Охрана!$B$6:$M$14)), "-")</f>
        <v>3394</v>
      </c>
      <c r="P49" s="234" cm="1">
        <f t="array" aca="1" ref="P49" ca="1">IFERROR(_xlfn.XLOOKUP(1,  (Охрана!$A$6:$A$14 = $D49) * 1,  _xlfn.XLOOKUP(1,  (Охрана!$B$5:$M$5 = P$2) * (Охрана!$B$4:$M$4 = $S$2), Охрана!$B$6:$M$14)), "-")</f>
        <v>6801</v>
      </c>
      <c r="Q49" s="286"/>
      <c r="R49" s="4"/>
      <c r="S49" s="1"/>
    </row>
    <row r="50" spans="1:19" ht="15" customHeight="1" thickBot="1" x14ac:dyDescent="0.3">
      <c r="A50" s="214" t="s">
        <v>18</v>
      </c>
      <c r="B50" s="291"/>
      <c r="C50" s="41" t="s">
        <v>35</v>
      </c>
      <c r="D50" s="40" t="s">
        <v>10</v>
      </c>
      <c r="E50" s="150" cm="1">
        <f t="array" ref="E50">IFERROR(_xlfn.XLOOKUP(1, (Фрахт!$A$5:$A$80 = $A50)* (Фрахт!$B$5:$B$80 = $C50) * (Фрахт!$C$5:$C$80 =$D50),  _xlfn.XLOOKUP(1,  (Фрахт!$D$4:$E$4 = E$2) * 1, Фрахт!$D$5:$E$80)) *  $S$1, "-")</f>
        <v>346500</v>
      </c>
      <c r="F50" s="150" cm="1">
        <f t="array" ref="F50">IFERROR(_xlfn.XLOOKUP(1, (Фрахт!$A$5:$A$80 = $A50)* (Фрахт!$B$5:$B$80 = $C50) * (Фрахт!$C$5:$C$80 =$D50),  _xlfn.XLOOKUP(1,  (Фрахт!$D$4:$E$4 = F$2) * 1, Фрахт!$D$5:$E$80)) *  $S$1, "-")</f>
        <v>504000</v>
      </c>
      <c r="G50" s="150" cm="1">
        <f t="array" aca="1" ref="G50" ca="1">IFERROR(_xlfn.XLOOKUP(1,  ('Drop off'!$A$6:$A$14 = $C50) * 1,  _xlfn.XLOOKUP(1,  ('Drop off'!$B$5:$I$5 = G$2) * ('Drop off'!$B$4:$I$4 = $S$2), 'Drop off'!$B$6:$I$14)) * $S$1, "-")</f>
        <v>75600</v>
      </c>
      <c r="H50" s="150" cm="1">
        <f t="array" aca="1" ref="H50" ca="1">IFERROR(_xlfn.XLOOKUP(1,  ('Drop off'!$A$6:$A$14 = $C50) * 1,  _xlfn.XLOOKUP(1,  ('Drop off'!$B$5:$I$5 = H$2) * ('Drop off'!$B$4:$I$4 = $S$2), 'Drop off'!$B$6:$I$14)) * $S$1, "-")</f>
        <v>56700</v>
      </c>
      <c r="I50" s="150" cm="1">
        <f t="array" aca="1" ref="I50" ca="1">IFERROR(_xlfn.XLOOKUP(1,  ('ж.д.'!$A$6:$A$14 = $D50) * 1,  _xlfn.XLOOKUP(1,  ('ж.д.'!$B$5:$M$5 = I$2) * ('ж.д.'!$B$4:$M$4 = $S$2), 'ж.д.'!$B$6:$M$14)), "-")</f>
        <v>125800</v>
      </c>
      <c r="J50" s="150" cm="1">
        <f t="array" aca="1" ref="J50" ca="1">IFERROR(_xlfn.XLOOKUP(1,  ('ж.д.'!$A$6:$A$14 = $D50) * 1,  _xlfn.XLOOKUP(1,  ('ж.д.'!$B$5:$M$5 = J$2) * ('ж.д.'!$B$4:$M$4 = $S$2), 'ж.д.'!$B$6:$M$14)), "-")</f>
        <v>141805</v>
      </c>
      <c r="K50" s="150" cm="1">
        <f t="array" aca="1" ref="K50" ca="1">IFERROR(_xlfn.XLOOKUP(1,  ('ж.д.'!$A$6:$A$14 = $D50) * 1,  _xlfn.XLOOKUP(1,  ('ж.д.'!$B$5:$M$5 = K$2) * ('ж.д.'!$B$4:$M$4 = $S$2), 'ж.д.'!$B$6:$M$14)), "-")</f>
        <v>211100</v>
      </c>
      <c r="L50" s="233" cm="1">
        <f t="array" aca="1" ref="L50" ca="1">IF(ISNUMBER(SEARCH("Транс",$C50)),_xlfn.XLOOKUP(1,('Фрахт Транс'!$A$5:$A$10=$D50)*1,_xlfn.XLOOKUP(1,('Фрахт Транс'!$B$3:$M$3 = $S$2)*('Фрахт Транс'!$B$4:$M$4=L$2),'Фрахт Транс'!$B$5:$M$10)),SUM($E50, $G50, $I50, $O50))</f>
        <v>552044</v>
      </c>
      <c r="M50" s="233" cm="1">
        <f t="array" aca="1" ref="M50" ca="1">IF(ISNUMBER(SEARCH("Транс",$C50)),_xlfn.XLOOKUP(1,('Фрахт Транс'!$A$5:$A$10=$D50)*1,_xlfn.XLOOKUP(1,('Фрахт Транс'!$B$3:$M$3=$S$2)*('Фрахт Транс'!$B$4:$M$4=M$2),'Фрахт Транс'!$B$5:$M$10)),SUM($E50, $G50, $J50, $O50))</f>
        <v>568049</v>
      </c>
      <c r="N50" s="233" cm="1">
        <f t="array" aca="1" ref="N50" ca="1">IF(ISNUMBER(SEARCH("Транс",$C50)),_xlfn.XLOOKUP(1,('Фрахт Транс'!$A$5:$A$10=$D50)*1,_xlfn.XLOOKUP(1,('Фрахт Транс'!$B$3:$M$3=$S$2)*('Фрахт Транс'!$B$4:$M$4=N$2),'Фрахт Транс'!$B$5:$M$10)),SUM($F50, $H50, $K50, $P50))</f>
        <v>779351</v>
      </c>
      <c r="O50" s="233" cm="1">
        <f t="array" aca="1" ref="O50" ca="1">IFERROR(_xlfn.XLOOKUP(1,  (Охрана!$A$6:$A$14 = $D50) * 1,  _xlfn.XLOOKUP(1,  (Охрана!$B$5:$M$5 = O$2) * (Охрана!$B$4:$M$4 = $S$2), Охрана!$B$6:$M$14)), "-")</f>
        <v>4144</v>
      </c>
      <c r="P50" s="234" cm="1">
        <f t="array" aca="1" ref="P50" ca="1">IFERROR(_xlfn.XLOOKUP(1,  (Охрана!$A$6:$A$14 = $D50) * 1,  _xlfn.XLOOKUP(1,  (Охрана!$B$5:$M$5 = P$2) * (Охрана!$B$4:$M$4 = $S$2), Охрана!$B$6:$M$14)), "-")</f>
        <v>7551</v>
      </c>
      <c r="Q50" s="286"/>
      <c r="R50" s="4"/>
      <c r="S50" s="1"/>
    </row>
    <row r="51" spans="1:19" ht="15" customHeight="1" thickBot="1" x14ac:dyDescent="0.3">
      <c r="A51" s="214" t="s">
        <v>18</v>
      </c>
      <c r="B51" s="291"/>
      <c r="C51" s="41" t="s">
        <v>35</v>
      </c>
      <c r="D51" s="40" t="s">
        <v>7</v>
      </c>
      <c r="E51" s="150" cm="1">
        <f t="array" ref="E51">IFERROR(_xlfn.XLOOKUP(1, (Фрахт!$A$5:$A$80 = $A51)* (Фрахт!$B$5:$B$80 = $C51) * (Фрахт!$C$5:$C$80 =$D51),  _xlfn.XLOOKUP(1,  (Фрахт!$D$4:$E$4 = E$2) * 1, Фрахт!$D$5:$E$80)) *  $S$1, "-")</f>
        <v>346500</v>
      </c>
      <c r="F51" s="150" cm="1">
        <f t="array" ref="F51">IFERROR(_xlfn.XLOOKUP(1, (Фрахт!$A$5:$A$80 = $A51)* (Фрахт!$B$5:$B$80 = $C51) * (Фрахт!$C$5:$C$80 =$D51),  _xlfn.XLOOKUP(1,  (Фрахт!$D$4:$E$4 = F$2) * 1, Фрахт!$D$5:$E$80)) *  $S$1, "-")</f>
        <v>504000</v>
      </c>
      <c r="G51" s="150" cm="1">
        <f t="array" aca="1" ref="G51" ca="1">IFERROR(_xlfn.XLOOKUP(1,  ('Drop off'!$A$6:$A$14 = $C51) * 1,  _xlfn.XLOOKUP(1,  ('Drop off'!$B$5:$I$5 = G$2) * ('Drop off'!$B$4:$I$4 = $S$2), 'Drop off'!$B$6:$I$14)) * $S$1, "-")</f>
        <v>75600</v>
      </c>
      <c r="H51" s="150" cm="1">
        <f t="array" aca="1" ref="H51" ca="1">IFERROR(_xlfn.XLOOKUP(1,  ('Drop off'!$A$6:$A$14 = $C51) * 1,  _xlfn.XLOOKUP(1,  ('Drop off'!$B$5:$I$5 = H$2) * ('Drop off'!$B$4:$I$4 = $S$2), 'Drop off'!$B$6:$I$14)) * $S$1, "-")</f>
        <v>56700</v>
      </c>
      <c r="I51" s="150" cm="1">
        <f t="array" aca="1" ref="I51" ca="1">IFERROR(_xlfn.XLOOKUP(1,  ('ж.д.'!$A$6:$A$14 = $D51) * 1,  _xlfn.XLOOKUP(1,  ('ж.д.'!$B$5:$M$5 = I$2) * ('ж.д.'!$B$4:$M$4 = $S$2), 'ж.д.'!$B$6:$M$14)), "-")</f>
        <v>120000</v>
      </c>
      <c r="J51" s="150" cm="1">
        <f t="array" aca="1" ref="J51" ca="1">IFERROR(_xlfn.XLOOKUP(1,  ('ж.д.'!$A$6:$A$14 = $D51) * 1,  _xlfn.XLOOKUP(1,  ('ж.д.'!$B$5:$M$5 = J$2) * ('ж.д.'!$B$4:$M$4 = $S$2), 'ж.д.'!$B$6:$M$14)), "-")</f>
        <v>137000</v>
      </c>
      <c r="K51" s="150" cm="1">
        <f t="array" aca="1" ref="K51" ca="1">IFERROR(_xlfn.XLOOKUP(1,  ('ж.д.'!$A$6:$A$14 = $D51) * 1,  _xlfn.XLOOKUP(1,  ('ж.д.'!$B$5:$M$5 = K$2) * ('ж.д.'!$B$4:$M$4 = $S$2), 'ж.д.'!$B$6:$M$14)), "-")</f>
        <v>200000</v>
      </c>
      <c r="L51" s="233" cm="1">
        <f t="array" aca="1" ref="L51" ca="1">IF(ISNUMBER(SEARCH("Транс",$C51)),_xlfn.XLOOKUP(1,('Фрахт Транс'!$A$5:$A$10=$D51)*1,_xlfn.XLOOKUP(1,('Фрахт Транс'!$B$3:$M$3 = $S$2)*('Фрахт Транс'!$B$4:$M$4=L$2),'Фрахт Транс'!$B$5:$M$10)),SUM($E51, $G51, $I51, $O51))</f>
        <v>546200</v>
      </c>
      <c r="M51" s="233" cm="1">
        <f t="array" aca="1" ref="M51" ca="1">IF(ISNUMBER(SEARCH("Транс",$C51)),_xlfn.XLOOKUP(1,('Фрахт Транс'!$A$5:$A$10=$D51)*1,_xlfn.XLOOKUP(1,('Фрахт Транс'!$B$3:$M$3=$S$2)*('Фрахт Транс'!$B$4:$M$4=M$2),'Фрахт Транс'!$B$5:$M$10)),SUM($E51, $G51, $J51, $O51))</f>
        <v>563200</v>
      </c>
      <c r="N51" s="233" cm="1">
        <f t="array" aca="1" ref="N51" ca="1">IF(ISNUMBER(SEARCH("Транс",$C51)),_xlfn.XLOOKUP(1,('Фрахт Транс'!$A$5:$A$10=$D51)*1,_xlfn.XLOOKUP(1,('Фрахт Транс'!$B$3:$M$3=$S$2)*('Фрахт Транс'!$B$4:$M$4=N$2),'Фрахт Транс'!$B$5:$M$10)),SUM($F51, $H51, $K51, $P51))</f>
        <v>768900</v>
      </c>
      <c r="O51" s="233" cm="1">
        <f t="array" aca="1" ref="O51" ca="1">IFERROR(_xlfn.XLOOKUP(1,  (Охрана!$A$6:$A$14 = $D51) * 1,  _xlfn.XLOOKUP(1,  (Охрана!$B$5:$M$5 = O$2) * (Охрана!$B$4:$M$4 = $S$2), Охрана!$B$6:$M$14)), "-")</f>
        <v>4100</v>
      </c>
      <c r="P51" s="234" cm="1">
        <f t="array" aca="1" ref="P51" ca="1">IFERROR(_xlfn.XLOOKUP(1,  (Охрана!$A$6:$A$14 = $D51) * 1,  _xlfn.XLOOKUP(1,  (Охрана!$B$5:$M$5 = P$2) * (Охрана!$B$4:$M$4 = $S$2), Охрана!$B$6:$M$14)), "-")</f>
        <v>8200</v>
      </c>
      <c r="Q51" s="286"/>
      <c r="R51" s="4"/>
      <c r="S51" s="1"/>
    </row>
    <row r="52" spans="1:19" ht="16.5" thickBot="1" x14ac:dyDescent="0.3">
      <c r="A52" s="214" t="s">
        <v>18</v>
      </c>
      <c r="B52" s="291"/>
      <c r="C52" s="50" t="s">
        <v>36</v>
      </c>
      <c r="D52" s="50" t="s">
        <v>21</v>
      </c>
      <c r="E52" s="151" cm="1">
        <f t="array" ref="E52">IFERROR(_xlfn.XLOOKUP(1, (Фрахт!$A$5:$A$80 = $A52)* (Фрахт!$B$5:$B$80 = $C52) * (Фрахт!$C$5:$C$80 =$D52),  _xlfn.XLOOKUP(1,  (Фрахт!$D$4:$E$4 = E$2) * 1, Фрахт!$D$5:$E$80)) *  $S$1, "-")</f>
        <v>275160</v>
      </c>
      <c r="F52" s="151" cm="1">
        <f t="array" ref="F52">IFERROR(_xlfn.XLOOKUP(1, (Фрахт!$A$5:$A$80 = $A52)* (Фрахт!$B$5:$B$80 = $C52) * (Фрахт!$C$5:$C$80 =$D52),  _xlfn.XLOOKUP(1,  (Фрахт!$D$4:$E$4 = F$2) * 1, Фрахт!$D$5:$E$80)) *  $S$1, "-")</f>
        <v>454320</v>
      </c>
      <c r="G52" s="151" cm="1">
        <f t="array" aca="1" ref="G52" ca="1">IFERROR(_xlfn.XLOOKUP(1,  ('Drop off'!$A$6:$A$14 = $C52) * 1,  _xlfn.XLOOKUP(1,  ('Drop off'!$B$5:$I$5 = G$2) * ('Drop off'!$B$4:$I$4 = $S$2), 'Drop off'!$B$6:$I$14)) * $S$1, "-")</f>
        <v>0</v>
      </c>
      <c r="H52" s="151" cm="1">
        <f t="array" aca="1" ref="H52" ca="1">IFERROR(_xlfn.XLOOKUP(1,  ('Drop off'!$A$6:$A$14 = $C52) * 1,  _xlfn.XLOOKUP(1,  ('Drop off'!$B$5:$I$5 = H$2) * ('Drop off'!$B$4:$I$4 = $S$2), 'Drop off'!$B$6:$I$14)) * $S$1, "-")</f>
        <v>0</v>
      </c>
      <c r="I52" s="151" cm="1">
        <f t="array" aca="1" ref="I52" ca="1">IFERROR(_xlfn.XLOOKUP(1,  ('ж.д.'!$A$6:$A$14 = $D52) * 1,  _xlfn.XLOOKUP(1,  ('ж.д.'!$B$5:$M$5 = I$2) * ('ж.д.'!$B$4:$M$4 = $S$2), 'ж.д.'!$B$6:$M$14)), "-")</f>
        <v>107400</v>
      </c>
      <c r="J52" s="151" cm="1">
        <f t="array" aca="1" ref="J52" ca="1">IFERROR(_xlfn.XLOOKUP(1,  ('ж.д.'!$A$6:$A$14 = $D52) * 1,  _xlfn.XLOOKUP(1,  ('ж.д.'!$B$5:$M$5 = J$2) * ('ж.д.'!$B$4:$M$4 = $S$2), 'ж.д.'!$B$6:$M$14)), "-")</f>
        <v>123400</v>
      </c>
      <c r="K52" s="151" cm="1">
        <f t="array" aca="1" ref="K52" ca="1">IFERROR(_xlfn.XLOOKUP(1,  ('ж.д.'!$A$6:$A$14 = $D52) * 1,  _xlfn.XLOOKUP(1,  ('ж.д.'!$B$5:$M$5 = K$2) * ('ж.д.'!$B$4:$M$4 = $S$2), 'ж.д.'!$B$6:$M$14)), "-")</f>
        <v>187400</v>
      </c>
      <c r="L52" s="235" cm="1">
        <f t="array" aca="1" ref="L52" ca="1">IF(ISNUMBER(SEARCH("Транс",$C52)),_xlfn.XLOOKUP(1,('Фрахт Транс'!$A$5:$A$10=$D52)*1,_xlfn.XLOOKUP(1,('Фрахт Транс'!$B$3:$M$3 = $S$2)*('Фрахт Транс'!$B$4:$M$4=L$2),'Фрахт Транс'!$B$5:$M$10)),SUM($E52, $G52, $I52, $O52))</f>
        <v>385954</v>
      </c>
      <c r="M52" s="235" cm="1">
        <f t="array" aca="1" ref="M52" ca="1">IF(ISNUMBER(SEARCH("Транс",$C52)),_xlfn.XLOOKUP(1,('Фрахт Транс'!$A$5:$A$10=$D52)*1,_xlfn.XLOOKUP(1,('Фрахт Транс'!$B$3:$M$3=$S$2)*('Фрахт Транс'!$B$4:$M$4=M$2),'Фрахт Транс'!$B$5:$M$10)),SUM($E52, $G52, $J52, $O52))</f>
        <v>401954</v>
      </c>
      <c r="N52" s="235" cm="1">
        <f t="array" aca="1" ref="N52" ca="1">IF(ISNUMBER(SEARCH("Транс",$C52)),_xlfn.XLOOKUP(1,('Фрахт Транс'!$A$5:$A$10=$D52)*1,_xlfn.XLOOKUP(1,('Фрахт Транс'!$B$3:$M$3=$S$2)*('Фрахт Транс'!$B$4:$M$4=N$2),'Фрахт Транс'!$B$5:$M$10)),SUM($F52, $H52, $K52, $P52))</f>
        <v>648521</v>
      </c>
      <c r="O52" s="235" cm="1">
        <f t="array" aca="1" ref="O52" ca="1">IFERROR(_xlfn.XLOOKUP(1,  (Охрана!$A$6:$A$14 = $D52) * 1,  _xlfn.XLOOKUP(1,  (Охрана!$B$5:$M$5 = O$2) * (Охрана!$B$4:$M$4 = $S$2), Охрана!$B$6:$M$14)), "-")</f>
        <v>3394</v>
      </c>
      <c r="P52" s="236" cm="1">
        <f t="array" aca="1" ref="P52" ca="1">IFERROR(_xlfn.XLOOKUP(1,  (Охрана!$A$6:$A$14 = $D52) * 1,  _xlfn.XLOOKUP(1,  (Охрана!$B$5:$M$5 = P$2) * (Охрана!$B$4:$M$4 = $S$2), Охрана!$B$6:$M$14)), "-")</f>
        <v>6801</v>
      </c>
      <c r="Q52" s="38"/>
      <c r="R52" s="71"/>
      <c r="S52" s="1"/>
    </row>
    <row r="53" spans="1:19" ht="16.5" thickBot="1" x14ac:dyDescent="0.3">
      <c r="A53" s="214" t="s">
        <v>18</v>
      </c>
      <c r="B53" s="292"/>
      <c r="C53" s="56" t="s">
        <v>37</v>
      </c>
      <c r="D53" s="57" t="s">
        <v>11</v>
      </c>
      <c r="E53" s="165" t="str" cm="1">
        <f t="array" ref="E53">IFERROR(_xlfn.XLOOKUP(1, (Фрахт!$A$5:$A$80 = $A53)* (Фрахт!$B$5:$B$80 = $C53) * (Фрахт!$C$5:$C$80 =$D53),  _xlfn.XLOOKUP(1,  (Фрахт!$D$4:$E$4 = E$2) * 1, Фрахт!$D$5:$E$80)) *  $S$1, "-")</f>
        <v>-</v>
      </c>
      <c r="F53" s="165" t="str" cm="1">
        <f t="array" ref="F53">IFERROR(_xlfn.XLOOKUP(1, (Фрахт!$A$5:$A$80 = $A53)* (Фрахт!$B$5:$B$80 = $C53) * (Фрахт!$C$5:$C$80 =$D53),  _xlfn.XLOOKUP(1,  (Фрахт!$D$4:$E$4 = F$2) * 1, Фрахт!$D$5:$E$80)) *  $S$1, "-")</f>
        <v>-</v>
      </c>
      <c r="G53" s="165" cm="1">
        <f t="array" aca="1" ref="G53" ca="1">IFERROR(_xlfn.XLOOKUP(1,  ('Drop off'!$A$6:$A$14 = $C53) * 1,  _xlfn.XLOOKUP(1,  ('Drop off'!$B$5:$I$5 = G$2) * ('Drop off'!$B$4:$I$4 = $S$2), 'Drop off'!$B$6:$I$14)) * $S$1, "-")</f>
        <v>0</v>
      </c>
      <c r="H53" s="165" cm="1">
        <f t="array" aca="1" ref="H53" ca="1">IFERROR(_xlfn.XLOOKUP(1,  ('Drop off'!$A$6:$A$14 = $C53) * 1,  _xlfn.XLOOKUP(1,  ('Drop off'!$B$5:$I$5 = H$2) * ('Drop off'!$B$4:$I$4 = $S$2), 'Drop off'!$B$6:$I$14)) * $S$1, "-")</f>
        <v>0</v>
      </c>
      <c r="I53" s="165" cm="1">
        <f t="array" aca="1" ref="I53" ca="1">IFERROR(_xlfn.XLOOKUP(1,  ('ж.д.'!$A$6:$A$14 = $D53) * 1,  _xlfn.XLOOKUP(1,  ('ж.д.'!$B$5:$M$5 = I$2) * ('ж.д.'!$B$4:$M$4 = $S$2), 'ж.д.'!$B$6:$M$14)), "-")</f>
        <v>124800</v>
      </c>
      <c r="J53" s="165" cm="1">
        <f t="array" aca="1" ref="J53" ca="1">IFERROR(_xlfn.XLOOKUP(1,  ('ж.д.'!$A$6:$A$14 = $D53) * 1,  _xlfn.XLOOKUP(1,  ('ж.д.'!$B$5:$M$5 = J$2) * ('ж.д.'!$B$4:$M$4 = $S$2), 'ж.д.'!$B$6:$M$14)), "-")</f>
        <v>143000</v>
      </c>
      <c r="K53" s="165" cm="1">
        <f t="array" aca="1" ref="K53" ca="1">IFERROR(_xlfn.XLOOKUP(1,  ('ж.д.'!$A$6:$A$14 = $D53) * 1,  _xlfn.XLOOKUP(1,  ('ж.д.'!$B$5:$M$5 = K$2) * ('ж.д.'!$B$4:$M$4 = $S$2), 'ж.д.'!$B$6:$M$14)), "-")</f>
        <v>211800</v>
      </c>
      <c r="L53" s="242" cm="1">
        <f t="array" aca="1" ref="L53" ca="1">IF(ISNUMBER(SEARCH("Транс",$C53)),_xlfn.XLOOKUP(1,('Фрахт Транс'!$A$5:$A$10=$D53)*1,_xlfn.XLOOKUP(1,('Фрахт Транс'!$B$3:$M$3 = $S$2)*('Фрахт Транс'!$B$4:$M$4=L$2),'Фрахт Транс'!$B$5:$M$10)),SUM($E53, $G53, $I53, $O53))</f>
        <v>128194</v>
      </c>
      <c r="M53" s="242" cm="1">
        <f t="array" aca="1" ref="M53" ca="1">IF(ISNUMBER(SEARCH("Транс",$C53)),_xlfn.XLOOKUP(1,('Фрахт Транс'!$A$5:$A$10=$D53)*1,_xlfn.XLOOKUP(1,('Фрахт Транс'!$B$3:$M$3=$S$2)*('Фрахт Транс'!$B$4:$M$4=M$2),'Фрахт Транс'!$B$5:$M$10)),SUM($E53, $G53, $J53, $O53))</f>
        <v>146394</v>
      </c>
      <c r="N53" s="242" cm="1">
        <f t="array" aca="1" ref="N53" ca="1">IF(ISNUMBER(SEARCH("Транс",$C53)),_xlfn.XLOOKUP(1,('Фрахт Транс'!$A$5:$A$10=$D53)*1,_xlfn.XLOOKUP(1,('Фрахт Транс'!$B$3:$M$3=$S$2)*('Фрахт Транс'!$B$4:$M$4=N$2),'Фрахт Транс'!$B$5:$M$10)),SUM($F53, $H53, $K53, $P53))</f>
        <v>218601</v>
      </c>
      <c r="O53" s="242" cm="1">
        <f t="array" aca="1" ref="O53" ca="1">IFERROR(_xlfn.XLOOKUP(1,  (Охрана!$A$6:$A$14 = $D53) * 1,  _xlfn.XLOOKUP(1,  (Охрана!$B$5:$M$5 = O$2) * (Охрана!$B$4:$M$4 = $S$2), Охрана!$B$6:$M$14)), "-")</f>
        <v>3394</v>
      </c>
      <c r="P53" s="243" cm="1">
        <f t="array" aca="1" ref="P53" ca="1">IFERROR(_xlfn.XLOOKUP(1,  (Охрана!$A$6:$A$14 = $D53) * 1,  _xlfn.XLOOKUP(1,  (Охрана!$B$5:$M$5 = P$2) * (Охрана!$B$4:$M$4 = $S$2), Охрана!$B$6:$M$14)), "-")</f>
        <v>6801</v>
      </c>
      <c r="Q53" s="38"/>
      <c r="R53" s="71"/>
      <c r="S53" s="1"/>
    </row>
    <row r="54" spans="1:19" ht="15" x14ac:dyDescent="0.25">
      <c r="Q54" s="286"/>
      <c r="R54" s="3"/>
      <c r="S54" s="1"/>
    </row>
    <row r="55" spans="1:19" ht="15" x14ac:dyDescent="0.25">
      <c r="Q55" s="286"/>
      <c r="S55" s="1"/>
    </row>
    <row r="56" spans="1:19" ht="15" x14ac:dyDescent="0.25">
      <c r="Q56" s="286"/>
      <c r="R56" s="1"/>
      <c r="S56" s="1"/>
    </row>
    <row r="57" spans="1:19" ht="15" x14ac:dyDescent="0.25">
      <c r="Q57" s="286"/>
      <c r="R57" s="3"/>
      <c r="S57" s="1"/>
    </row>
  </sheetData>
  <mergeCells count="30">
    <mergeCell ref="C1:C2"/>
    <mergeCell ref="D1:D2"/>
    <mergeCell ref="E1:F1"/>
    <mergeCell ref="Q54:Q57"/>
    <mergeCell ref="L1:N1"/>
    <mergeCell ref="I1:K1"/>
    <mergeCell ref="O1:P1"/>
    <mergeCell ref="Q6:Q8"/>
    <mergeCell ref="Q15:Q17"/>
    <mergeCell ref="Q25:Q27"/>
    <mergeCell ref="Q33:Q35"/>
    <mergeCell ref="Q41:Q43"/>
    <mergeCell ref="Q49:Q51"/>
    <mergeCell ref="Q4:Q5"/>
    <mergeCell ref="A1:A2"/>
    <mergeCell ref="R19:R20"/>
    <mergeCell ref="Q19:Q20"/>
    <mergeCell ref="B46:B53"/>
    <mergeCell ref="B22:B29"/>
    <mergeCell ref="B30:B37"/>
    <mergeCell ref="B38:B45"/>
    <mergeCell ref="B12:B21"/>
    <mergeCell ref="Q13:Q14"/>
    <mergeCell ref="Q23:Q24"/>
    <mergeCell ref="Q31:Q32"/>
    <mergeCell ref="Q39:Q40"/>
    <mergeCell ref="Q47:Q48"/>
    <mergeCell ref="G1:H1"/>
    <mergeCell ref="B3:B11"/>
    <mergeCell ref="B1:B2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Лист6"/>
  <dimension ref="A1:AC64"/>
  <sheetViews>
    <sheetView zoomScaleNormal="100" workbookViewId="0">
      <selection activeCell="I22" sqref="I22"/>
    </sheetView>
  </sheetViews>
  <sheetFormatPr defaultColWidth="9.140625" defaultRowHeight="15.75" x14ac:dyDescent="0.25"/>
  <cols>
    <col min="1" max="2" width="15.42578125" style="1" customWidth="1"/>
    <col min="3" max="3" width="20.85546875" style="1" customWidth="1"/>
    <col min="4" max="4" width="23.42578125" style="1" customWidth="1"/>
    <col min="5" max="8" width="17.140625" style="16" customWidth="1"/>
    <col min="9" max="16" width="21.7109375" style="20" customWidth="1"/>
    <col min="17" max="17" width="11.85546875" style="66" customWidth="1"/>
    <col min="18" max="18" width="14.85546875" style="1" bestFit="1" customWidth="1"/>
    <col min="19" max="19" width="17.42578125" style="1" bestFit="1" customWidth="1"/>
    <col min="20" max="16384" width="9.140625" style="1"/>
  </cols>
  <sheetData>
    <row r="1" spans="1:28" ht="21" x14ac:dyDescent="0.35">
      <c r="A1" s="278" t="s">
        <v>3</v>
      </c>
      <c r="B1" s="278" t="s">
        <v>3</v>
      </c>
      <c r="C1" s="303" t="s">
        <v>0</v>
      </c>
      <c r="D1" s="303" t="s">
        <v>6</v>
      </c>
      <c r="E1" s="297" t="s">
        <v>1</v>
      </c>
      <c r="F1" s="297"/>
      <c r="G1" s="297" t="s">
        <v>2</v>
      </c>
      <c r="H1" s="297"/>
      <c r="I1" s="306" t="s">
        <v>4</v>
      </c>
      <c r="J1" s="306"/>
      <c r="K1" s="306"/>
      <c r="L1" s="306" t="s">
        <v>5</v>
      </c>
      <c r="M1" s="306"/>
      <c r="N1" s="306"/>
      <c r="O1" s="298" t="s">
        <v>20</v>
      </c>
      <c r="P1" s="299"/>
      <c r="R1" s="244" t="s">
        <v>66</v>
      </c>
      <c r="S1" s="245">
        <v>60</v>
      </c>
    </row>
    <row r="2" spans="1:28" ht="15.75" customHeight="1" thickBot="1" x14ac:dyDescent="0.4">
      <c r="A2" s="279"/>
      <c r="B2" s="279"/>
      <c r="C2" s="304"/>
      <c r="D2" s="304"/>
      <c r="E2" s="34">
        <v>20</v>
      </c>
      <c r="F2" s="34">
        <v>40</v>
      </c>
      <c r="G2" s="34">
        <v>20</v>
      </c>
      <c r="H2" s="34">
        <v>40</v>
      </c>
      <c r="I2" s="34" t="s">
        <v>9</v>
      </c>
      <c r="J2" s="34" t="s">
        <v>8</v>
      </c>
      <c r="K2" s="34">
        <v>40</v>
      </c>
      <c r="L2" s="34" t="s">
        <v>9</v>
      </c>
      <c r="M2" s="34" t="s">
        <v>8</v>
      </c>
      <c r="N2" s="34">
        <v>40</v>
      </c>
      <c r="O2" s="34">
        <v>20</v>
      </c>
      <c r="P2" s="35">
        <v>40</v>
      </c>
      <c r="R2" s="244" t="s">
        <v>65</v>
      </c>
      <c r="S2" s="244" t="str" cm="1">
        <f t="array" aca="1" ref="S2" ca="1">_xlfn.TEXTAFTER(CELL("filename", A1), "]")</f>
        <v>Новосибирск</v>
      </c>
    </row>
    <row r="3" spans="1:28" ht="30.75" thickBot="1" x14ac:dyDescent="0.3">
      <c r="A3" s="213" t="s">
        <v>13</v>
      </c>
      <c r="B3" s="287" t="s">
        <v>13</v>
      </c>
      <c r="C3" s="63" t="s">
        <v>43</v>
      </c>
      <c r="D3" s="64" t="s">
        <v>44</v>
      </c>
      <c r="E3" s="168" t="str" cm="1">
        <f t="array" ref="E3">IFERROR(_xlfn.XLOOKUP(1, (Фрахт!$A$5:$A$80 = $A3)* (Фрахт!$B$5:$B$80 = $C3) * (Фрахт!$C$5:$C$80 =$D3),  _xlfn.XLOOKUP(1,  (Фрахт!$D$4:$E$4 = E$2) * 1, Фрахт!$D$5:$E$80)) *  $S$1, "-")</f>
        <v>-</v>
      </c>
      <c r="F3" s="168" t="str" cm="1">
        <f t="array" ref="F3">IFERROR(_xlfn.XLOOKUP(1, (Фрахт!$A$5:$A$80 = $A3)* (Фрахт!$B$5:$B$80 = $C3) * (Фрахт!$C$5:$C$80 =$D3),  _xlfn.XLOOKUP(1,  (Фрахт!$D$4:$E$4 = F$2) * 1, Фрахт!$D$5:$E$80)) *  $S$1, "-")</f>
        <v>-</v>
      </c>
      <c r="G3" s="168" cm="1">
        <f t="array" aca="1" ref="G3" ca="1">IFERROR(_xlfn.XLOOKUP(1,  ('Drop off'!$A$6:$A$14 = $C3) * 1,  _xlfn.XLOOKUP(1,  ('Drop off'!$B$5:$I$5 = G$2) * ('Drop off'!$B$4:$I$4 = $S$2), 'Drop off'!$B$6:$I$14)) * $S$1, "-")</f>
        <v>0</v>
      </c>
      <c r="H3" s="168" cm="1">
        <f t="array" aca="1" ref="H3" ca="1">IFERROR(_xlfn.XLOOKUP(1,  ('Drop off'!$A$6:$A$14 = $C3) * 1,  _xlfn.XLOOKUP(1,  ('Drop off'!$B$5:$I$5 = H$2) * ('Drop off'!$B$4:$I$4 = $S$2), 'Drop off'!$B$6:$I$14)) * $S$1, "-")</f>
        <v>0</v>
      </c>
      <c r="I3" s="168" t="str" cm="1">
        <f t="array" aca="1" ref="I3" ca="1">IFERROR(_xlfn.XLOOKUP(1,  ('ж.д.'!$A$6:$A$14 = $D3) * 1,  _xlfn.XLOOKUP(1,  ('ж.д.'!$B$5:$M$5 = I$2) * ('ж.д.'!$B$4:$M$4 = $S$2), 'ж.д.'!$B$6:$M$14)), "-")</f>
        <v>-</v>
      </c>
      <c r="J3" s="168" t="str" cm="1">
        <f t="array" aca="1" ref="J3" ca="1">IFERROR(_xlfn.XLOOKUP(1,  ('ж.д.'!$A$6:$A$14 = $D3) * 1,  _xlfn.XLOOKUP(1,  ('ж.д.'!$B$5:$M$5 = J$2) * ('ж.д.'!$B$4:$M$4 = $S$2), 'ж.д.'!$B$6:$M$14)), "-")</f>
        <v>-</v>
      </c>
      <c r="K3" s="168" t="str" cm="1">
        <f t="array" aca="1" ref="K3" ca="1">IFERROR(_xlfn.XLOOKUP(1,  ('ж.д.'!$A$6:$A$14 = $D3) * 1,  _xlfn.XLOOKUP(1,  ('ж.д.'!$B$5:$M$5 = K$2) * ('ж.д.'!$B$4:$M$4 = $S$2), 'ж.д.'!$B$6:$M$14)), "-")</f>
        <v>-</v>
      </c>
      <c r="L3" s="191" cm="1">
        <f t="array" aca="1" ref="L3" ca="1">IF(ISNUMBER(SEARCH("Транс",$C3)),_xlfn.XLOOKUP(1,('Фрахт Транс'!$A$5:$A$10=$D3)*1,_xlfn.XLOOKUP(1,('Фрахт Транс'!$B$3:$M$3 = $S$2)*('Фрахт Транс'!$B$4:$M$4=L$2),'Фрахт Транс'!$B$5:$M$10)),SUM($E3, $G3, $I3, $O3))</f>
        <v>330537</v>
      </c>
      <c r="M3" s="191" cm="1">
        <f t="array" aca="1" ref="M3" ca="1">IF(ISNUMBER(SEARCH("Транс",$C3)),_xlfn.XLOOKUP(1,('Фрахт Транс'!$A$5:$A$10=$D3)*1,_xlfn.XLOOKUP(1,('Фрахт Транс'!$B$3:$M$3=$S$2)*('Фрахт Транс'!$B$4:$M$4=M$2),'Фрахт Транс'!$B$5:$M$10)),SUM($E3, $G3, $J3, $O3))</f>
        <v>344442</v>
      </c>
      <c r="N3" s="191" cm="1">
        <f t="array" aca="1" ref="N3" ca="1">IF(ISNUMBER(SEARCH("Транс",$C3)),_xlfn.XLOOKUP(1,('Фрахт Транс'!$A$5:$A$10=$D3)*1,_xlfn.XLOOKUP(1,('Фрахт Транс'!$B$3:$M$3=$S$2)*('Фрахт Транс'!$B$4:$M$4=N$2),'Фрахт Транс'!$B$5:$M$10)),SUM($F3, $H3, $K3, $P3))</f>
        <v>524386</v>
      </c>
      <c r="O3" s="192" t="str" cm="1">
        <f t="array" aca="1" ref="O3" ca="1">IFERROR(_xlfn.XLOOKUP(1,  (Охрана!$A$6:$A$14 = $D3) * 1,  _xlfn.XLOOKUP(1,  (Охрана!$B$5:$M$5 = O$2) * (Охрана!$B$4:$M$4 = $S$2), Охрана!$B$6:$M$14)), "-")</f>
        <v>-</v>
      </c>
      <c r="P3" s="192" t="str" cm="1">
        <f t="array" aca="1" ref="P3" ca="1">IFERROR(_xlfn.XLOOKUP(1,  (Охрана!$A$6:$A$14 = $D3) * 1,  _xlfn.XLOOKUP(1,  (Охрана!$B$5:$M$5 = P$2) * (Охрана!$B$4:$M$4 = $S$2), Охрана!$B$6:$M$14)), "-")</f>
        <v>-</v>
      </c>
      <c r="Q3" s="38"/>
      <c r="R3" s="6"/>
      <c r="AB3" s="5"/>
    </row>
    <row r="4" spans="1:28" ht="15.75" customHeight="1" thickBot="1" x14ac:dyDescent="0.3">
      <c r="A4" s="213" t="s">
        <v>13</v>
      </c>
      <c r="B4" s="288"/>
      <c r="C4" s="42" t="s">
        <v>12</v>
      </c>
      <c r="D4" s="32" t="s">
        <v>30</v>
      </c>
      <c r="E4" s="149" cm="1">
        <f t="array" ref="E4">IFERROR(_xlfn.XLOOKUP(1, (Фрахт!$A$5:$A$80 = $A4)* (Фрахт!$B$5:$B$80 = $C4) * (Фрахт!$C$5:$C$80 =$D4),  _xlfn.XLOOKUP(1,  (Фрахт!$D$4:$E$4 = E$2) * 1, Фрахт!$D$5:$E$80)) *  $S$1, "-")</f>
        <v>330000</v>
      </c>
      <c r="F4" s="149" cm="1">
        <f t="array" ref="F4">IFERROR(_xlfn.XLOOKUP(1, (Фрахт!$A$5:$A$80 = $A4)* (Фрахт!$B$5:$B$80 = $C4) * (Фрахт!$C$5:$C$80 =$D4),  _xlfn.XLOOKUP(1,  (Фрахт!$D$4:$E$4 = F$2) * 1, Фрахт!$D$5:$E$80)) *  $S$1, "-")</f>
        <v>450000</v>
      </c>
      <c r="G4" s="149" cm="1">
        <f t="array" aca="1" ref="G4" ca="1">IFERROR(_xlfn.XLOOKUP(1,  ('Drop off'!$A$6:$A$14 = $C4) * 1,  _xlfn.XLOOKUP(1,  ('Drop off'!$B$5:$I$5 = G$2) * ('Drop off'!$B$4:$I$4 = $S$2), 'Drop off'!$B$6:$I$14)) * $S$1, "-")</f>
        <v>0</v>
      </c>
      <c r="H4" s="149" cm="1">
        <f t="array" aca="1" ref="H4" ca="1">IFERROR(_xlfn.XLOOKUP(1,  ('Drop off'!$A$6:$A$14 = $C4) * 1,  _xlfn.XLOOKUP(1,  ('Drop off'!$B$5:$I$5 = H$2) * ('Drop off'!$B$4:$I$4 = $S$2), 'Drop off'!$B$6:$I$14)) * $S$1, "-")</f>
        <v>0</v>
      </c>
      <c r="I4" s="149" cm="1">
        <f t="array" aca="1" ref="I4" ca="1">IFERROR(_xlfn.XLOOKUP(1,  ('ж.д.'!$A$6:$A$14 = $D4) * 1,  _xlfn.XLOOKUP(1,  ('ж.д.'!$B$5:$M$5 = I$2) * ('ж.д.'!$B$4:$M$4 = $S$2), 'ж.д.'!$B$6:$M$14)), "-")</f>
        <v>93100</v>
      </c>
      <c r="J4" s="149" cm="1">
        <f t="array" aca="1" ref="J4" ca="1">IFERROR(_xlfn.XLOOKUP(1,  ('ж.д.'!$A$6:$A$14 = $D4) * 1,  _xlfn.XLOOKUP(1,  ('ж.д.'!$B$5:$M$5 = J$2) * ('ж.д.'!$B$4:$M$4 = $S$2), 'ж.д.'!$B$6:$M$14)), "-")</f>
        <v>104115</v>
      </c>
      <c r="K4" s="149" cm="1">
        <f t="array" aca="1" ref="K4" ca="1">IFERROR(_xlfn.XLOOKUP(1,  ('ж.д.'!$A$6:$A$14 = $D4) * 1,  _xlfn.XLOOKUP(1,  ('ж.д.'!$B$5:$M$5 = K$2) * ('ж.д.'!$B$4:$M$4 = $S$2), 'ж.д.'!$B$6:$M$14)), "-")</f>
        <v>168000</v>
      </c>
      <c r="L4" s="149" cm="1">
        <f t="array" aca="1" ref="L4" ca="1">IF(ISNUMBER(SEARCH("Транс",$C4)),_xlfn.XLOOKUP(1,('Фрахт Транс'!$A$5:$A$10=$D4)*1,_xlfn.XLOOKUP(1,('Фрахт Транс'!$B$3:$M$3 = $S$2)*('Фрахт Транс'!$B$4:$M$4=L$2),'Фрахт Транс'!$B$5:$M$10)),SUM($E4, $G4, $I4, $O4))</f>
        <v>425840</v>
      </c>
      <c r="M4" s="149" cm="1">
        <f t="array" aca="1" ref="M4" ca="1">IF(ISNUMBER(SEARCH("Транс",$C4)),_xlfn.XLOOKUP(1,('Фрахт Транс'!$A$5:$A$10=$D4)*1,_xlfn.XLOOKUP(1,('Фрахт Транс'!$B$3:$M$3=$S$2)*('Фрахт Транс'!$B$4:$M$4=M$2),'Фрахт Транс'!$B$5:$M$10)),SUM($E4, $G4, $J4, $O4))</f>
        <v>436855</v>
      </c>
      <c r="N4" s="149" cm="1">
        <f t="array" aca="1" ref="N4" ca="1">IF(ISNUMBER(SEARCH("Транс",$C4)),_xlfn.XLOOKUP(1,('Фрахт Транс'!$A$5:$A$10=$D4)*1,_xlfn.XLOOKUP(1,('Фрахт Транс'!$B$3:$M$3=$S$2)*('Фрахт Транс'!$B$4:$M$4=N$2),'Фрахт Транс'!$B$5:$M$10)),SUM($F4, $H4, $K4, $P4))</f>
        <v>622829</v>
      </c>
      <c r="O4" s="149" cm="1">
        <f t="array" aca="1" ref="O4" ca="1">IFERROR(_xlfn.XLOOKUP(1,  (Охрана!$A$6:$A$14 = $D4) * 1,  _xlfn.XLOOKUP(1,  (Охрана!$B$5:$M$5 = O$2) * (Охрана!$B$4:$M$4 = $S$2), Охрана!$B$6:$M$14)), "-")</f>
        <v>2740</v>
      </c>
      <c r="P4" s="194" cm="1">
        <f t="array" aca="1" ref="P4" ca="1">IFERROR(_xlfn.XLOOKUP(1,  (Охрана!$A$6:$A$14 = $D4) * 1,  _xlfn.XLOOKUP(1,  (Охрана!$B$5:$M$5 = P$2) * (Охрана!$B$4:$M$4 = $S$2), Охрана!$B$6:$M$14)), "-")</f>
        <v>4829</v>
      </c>
      <c r="Q4" s="282"/>
      <c r="R4" s="91"/>
      <c r="AB4" s="5"/>
    </row>
    <row r="5" spans="1:28" ht="15.75" customHeight="1" thickBot="1" x14ac:dyDescent="0.3">
      <c r="A5" s="213" t="s">
        <v>13</v>
      </c>
      <c r="B5" s="288"/>
      <c r="C5" s="42" t="s">
        <v>12</v>
      </c>
      <c r="D5" s="32" t="s">
        <v>55</v>
      </c>
      <c r="E5" s="149" cm="1">
        <f t="array" ref="E5">IFERROR(_xlfn.XLOOKUP(1, (Фрахт!$A$5:$A$80 = $A5)* (Фрахт!$B$5:$B$80 = $C5) * (Фрахт!$C$5:$C$80 =$D5),  _xlfn.XLOOKUP(1,  (Фрахт!$D$4:$E$4 = E$2) * 1, Фрахт!$D$5:$E$80)) *  $S$1, "-")</f>
        <v>330000</v>
      </c>
      <c r="F5" s="149" cm="1">
        <f t="array" ref="F5">IFERROR(_xlfn.XLOOKUP(1, (Фрахт!$A$5:$A$80 = $A5)* (Фрахт!$B$5:$B$80 = $C5) * (Фрахт!$C$5:$C$80 =$D5),  _xlfn.XLOOKUP(1,  (Фрахт!$D$4:$E$4 = F$2) * 1, Фрахт!$D$5:$E$80)) *  $S$1, "-")</f>
        <v>450000</v>
      </c>
      <c r="G5" s="149" cm="1">
        <f t="array" aca="1" ref="G5" ca="1">IFERROR(_xlfn.XLOOKUP(1,  ('Drop off'!$A$6:$A$14 = $C5) * 1,  _xlfn.XLOOKUP(1,  ('Drop off'!$B$5:$I$5 = G$2) * ('Drop off'!$B$4:$I$4 = $S$2), 'Drop off'!$B$6:$I$14)) * $S$1, "-")</f>
        <v>0</v>
      </c>
      <c r="H5" s="149" cm="1">
        <f t="array" aca="1" ref="H5" ca="1">IFERROR(_xlfn.XLOOKUP(1,  ('Drop off'!$A$6:$A$14 = $C5) * 1,  _xlfn.XLOOKUP(1,  ('Drop off'!$B$5:$I$5 = H$2) * ('Drop off'!$B$4:$I$4 = $S$2), 'Drop off'!$B$6:$I$14)) * $S$1, "-")</f>
        <v>0</v>
      </c>
      <c r="I5" s="149" cm="1">
        <f t="array" aca="1" ref="I5" ca="1">IFERROR(_xlfn.XLOOKUP(1,  ('ж.д.'!$A$6:$A$14 = $D5) * 1,  _xlfn.XLOOKUP(1,  ('ж.д.'!$B$5:$M$5 = I$2) * ('ж.д.'!$B$4:$M$4 = $S$2), 'ж.д.'!$B$6:$M$14)), "-")</f>
        <v>97945</v>
      </c>
      <c r="J5" s="149" cm="1">
        <f t="array" aca="1" ref="J5" ca="1">IFERROR(_xlfn.XLOOKUP(1,  ('ж.д.'!$A$6:$A$14 = $D5) * 1,  _xlfn.XLOOKUP(1,  ('ж.д.'!$B$5:$M$5 = J$2) * ('ж.д.'!$B$4:$M$4 = $S$2), 'ж.д.'!$B$6:$M$14)), "-")</f>
        <v>111625</v>
      </c>
      <c r="K5" s="149" cm="1">
        <f t="array" aca="1" ref="K5" ca="1">IFERROR(_xlfn.XLOOKUP(1,  ('ж.д.'!$A$6:$A$14 = $D5) * 1,  _xlfn.XLOOKUP(1,  ('ж.д.'!$B$5:$M$5 = K$2) * ('ж.д.'!$B$4:$M$4 = $S$2), 'ж.д.'!$B$6:$M$14)), "-")</f>
        <v>177245</v>
      </c>
      <c r="L5" s="149" cm="1">
        <f t="array" aca="1" ref="L5" ca="1">IF(ISNUMBER(SEARCH("Транс",$C5)),_xlfn.XLOOKUP(1,('Фрахт Транс'!$A$5:$A$10=$D5)*1,_xlfn.XLOOKUP(1,('Фрахт Транс'!$B$3:$M$3 = $S$2)*('Фрахт Транс'!$B$4:$M$4=L$2),'Фрахт Транс'!$B$5:$M$10)),SUM($E5, $G5, $I5, $O5))</f>
        <v>430685</v>
      </c>
      <c r="M5" s="149" cm="1">
        <f t="array" aca="1" ref="M5" ca="1">IF(ISNUMBER(SEARCH("Транс",$C5)),_xlfn.XLOOKUP(1,('Фрахт Транс'!$A$5:$A$10=$D5)*1,_xlfn.XLOOKUP(1,('Фрахт Транс'!$B$3:$M$3=$S$2)*('Фрахт Транс'!$B$4:$M$4=M$2),'Фрахт Транс'!$B$5:$M$10)),SUM($E5, $G5, $J5, $O5))</f>
        <v>444365</v>
      </c>
      <c r="N5" s="149" cm="1">
        <f t="array" aca="1" ref="N5" ca="1">IF(ISNUMBER(SEARCH("Транс",$C5)),_xlfn.XLOOKUP(1,('Фрахт Транс'!$A$5:$A$10=$D5)*1,_xlfn.XLOOKUP(1,('Фрахт Транс'!$B$3:$M$3=$S$2)*('Фрахт Транс'!$B$4:$M$4=N$2),'Фрахт Транс'!$B$5:$M$10)),SUM($F5, $H5, $K5, $P5))</f>
        <v>632074</v>
      </c>
      <c r="O5" s="149" cm="1">
        <f t="array" aca="1" ref="O5" ca="1">IFERROR(_xlfn.XLOOKUP(1,  (Охрана!$A$6:$A$14 = $D5) * 1,  _xlfn.XLOOKUP(1,  (Охрана!$B$5:$M$5 = O$2) * (Охрана!$B$4:$M$4 = $S$2), Охрана!$B$6:$M$14)), "-")</f>
        <v>2740</v>
      </c>
      <c r="P5" s="194" cm="1">
        <f t="array" aca="1" ref="P5" ca="1">IFERROR(_xlfn.XLOOKUP(1,  (Охрана!$A$6:$A$14 = $D5) * 1,  _xlfn.XLOOKUP(1,  (Охрана!$B$5:$M$5 = P$2) * (Охрана!$B$4:$M$4 = $S$2), Охрана!$B$6:$M$14)), "-")</f>
        <v>4829</v>
      </c>
      <c r="Q5" s="282"/>
      <c r="R5" s="3"/>
      <c r="AB5" s="5"/>
    </row>
    <row r="6" spans="1:28" ht="15.75" customHeight="1" thickBot="1" x14ac:dyDescent="0.3">
      <c r="A6" s="213" t="s">
        <v>13</v>
      </c>
      <c r="B6" s="288"/>
      <c r="C6" s="41" t="s">
        <v>35</v>
      </c>
      <c r="D6" s="40" t="s">
        <v>11</v>
      </c>
      <c r="E6" s="150" cm="1">
        <f t="array" ref="E6">IFERROR(_xlfn.XLOOKUP(1, (Фрахт!$A$5:$A$80 = $A6)* (Фрахт!$B$5:$B$80 = $C6) * (Фрахт!$C$5:$C$80 =$D6),  _xlfn.XLOOKUP(1,  (Фрахт!$D$4:$E$4 = E$2) * 1, Фрахт!$D$5:$E$80)) *  $S$1, "-")</f>
        <v>283500</v>
      </c>
      <c r="F6" s="150" cm="1">
        <f t="array" ref="F6">IFERROR(_xlfn.XLOOKUP(1, (Фрахт!$A$5:$A$80 = $A6)* (Фрахт!$B$5:$B$80 = $C6) * (Фрахт!$C$5:$C$80 =$D6),  _xlfn.XLOOKUP(1,  (Фрахт!$D$4:$E$4 = F$2) * 1, Фрахт!$D$5:$E$80)) *  $S$1, "-")</f>
        <v>472500</v>
      </c>
      <c r="G6" s="150" cm="1">
        <f t="array" aca="1" ref="G6" ca="1">IFERROR(_xlfn.XLOOKUP(1,  ('Drop off'!$A$6:$A$14 = $C6) * 1,  _xlfn.XLOOKUP(1,  ('Drop off'!$B$5:$I$5 = G$2) * ('Drop off'!$B$4:$I$4 = $S$2), 'Drop off'!$B$6:$I$14)) * $S$1, "-")</f>
        <v>56700</v>
      </c>
      <c r="H6" s="150" cm="1">
        <f t="array" aca="1" ref="H6" ca="1">IFERROR(_xlfn.XLOOKUP(1,  ('Drop off'!$A$6:$A$14 = $C6) * 1,  _xlfn.XLOOKUP(1,  ('Drop off'!$B$5:$I$5 = H$2) * ('Drop off'!$B$4:$I$4 = $S$2), 'Drop off'!$B$6:$I$14)) * $S$1, "-")</f>
        <v>37800</v>
      </c>
      <c r="I6" s="150" cm="1">
        <f t="array" aca="1" ref="I6" ca="1">IFERROR(_xlfn.XLOOKUP(1,  ('ж.д.'!$A$6:$A$14 = $D6) * 1,  _xlfn.XLOOKUP(1,  ('ж.д.'!$B$5:$M$5 = I$2) * ('ж.д.'!$B$4:$M$4 = $S$2), 'ж.д.'!$B$6:$M$14)), "-")</f>
        <v>99200</v>
      </c>
      <c r="J6" s="150" cm="1">
        <f t="array" aca="1" ref="J6" ca="1">IFERROR(_xlfn.XLOOKUP(1,  ('ж.д.'!$A$6:$A$14 = $D6) * 1,  _xlfn.XLOOKUP(1,  ('ж.д.'!$B$5:$M$5 = J$2) * ('ж.д.'!$B$4:$M$4 = $S$2), 'ж.д.'!$B$6:$M$14)), "-")</f>
        <v>113100</v>
      </c>
      <c r="K6" s="150" cm="1">
        <f t="array" aca="1" ref="K6" ca="1">IFERROR(_xlfn.XLOOKUP(1,  ('ж.д.'!$A$6:$A$14 = $D6) * 1,  _xlfn.XLOOKUP(1,  ('ж.д.'!$B$5:$M$5 = K$2) * ('ж.д.'!$B$4:$M$4 = $S$2), 'ж.д.'!$B$6:$M$14)), "-")</f>
        <v>176500</v>
      </c>
      <c r="L6" s="150" cm="1">
        <f t="array" aca="1" ref="L6" ca="1">IF(ISNUMBER(SEARCH("Транс",$C6)),_xlfn.XLOOKUP(1,('Фрахт Транс'!$A$5:$A$10=$D6)*1,_xlfn.XLOOKUP(1,('Фрахт Транс'!$B$3:$M$3 = $S$2)*('Фрахт Транс'!$B$4:$M$4=L$2),'Фрахт Транс'!$B$5:$M$10)),SUM($E6, $G6, $I6, $O6))</f>
        <v>441540</v>
      </c>
      <c r="M6" s="150" cm="1">
        <f t="array" aca="1" ref="M6" ca="1">IF(ISNUMBER(SEARCH("Транс",$C6)),_xlfn.XLOOKUP(1,('Фрахт Транс'!$A$5:$A$10=$D6)*1,_xlfn.XLOOKUP(1,('Фрахт Транс'!$B$3:$M$3=$S$2)*('Фрахт Транс'!$B$4:$M$4=M$2),'Фрахт Транс'!$B$5:$M$10)),SUM($E6, $G6, $J6, $O6))</f>
        <v>455440</v>
      </c>
      <c r="N6" s="150" cm="1">
        <f t="array" aca="1" ref="N6" ca="1">IF(ISNUMBER(SEARCH("Транс",$C6)),_xlfn.XLOOKUP(1,('Фрахт Транс'!$A$5:$A$10=$D6)*1,_xlfn.XLOOKUP(1,('Фрахт Транс'!$B$3:$M$3=$S$2)*('Фрахт Транс'!$B$4:$M$4=N$2),'Фрахт Транс'!$B$5:$M$10)),SUM($F6, $H6, $K6, $P6))</f>
        <v>691227</v>
      </c>
      <c r="O6" s="150" cm="1">
        <f t="array" aca="1" ref="O6" ca="1">IFERROR(_xlfn.XLOOKUP(1,  (Охрана!$A$6:$A$14 = $D6) * 1,  _xlfn.XLOOKUP(1,  (Охрана!$B$5:$M$5 = O$2) * (Охрана!$B$4:$M$4 = $S$2), Охрана!$B$6:$M$14)), "-")</f>
        <v>2140</v>
      </c>
      <c r="P6" s="195" cm="1">
        <f t="array" aca="1" ref="P6" ca="1">IFERROR(_xlfn.XLOOKUP(1,  (Охрана!$A$6:$A$14 = $D6) * 1,  _xlfn.XLOOKUP(1,  (Охрана!$B$5:$M$5 = P$2) * (Охрана!$B$4:$M$4 = $S$2), Охрана!$B$6:$M$14)), "-")</f>
        <v>4427</v>
      </c>
      <c r="Q6" s="286"/>
      <c r="R6" s="4"/>
      <c r="AB6" s="5"/>
    </row>
    <row r="7" spans="1:28" ht="15.75" customHeight="1" thickBot="1" x14ac:dyDescent="0.3">
      <c r="A7" s="213" t="s">
        <v>13</v>
      </c>
      <c r="B7" s="288"/>
      <c r="C7" s="41" t="s">
        <v>35</v>
      </c>
      <c r="D7" s="40" t="s">
        <v>34</v>
      </c>
      <c r="E7" s="150" cm="1">
        <f t="array" ref="E7">IFERROR(_xlfn.XLOOKUP(1, (Фрахт!$A$5:$A$80 = $A7)* (Фрахт!$B$5:$B$80 = $C7) * (Фрахт!$C$5:$C$80 =$D7),  _xlfn.XLOOKUP(1,  (Фрахт!$D$4:$E$4 = E$2) * 1, Фрахт!$D$5:$E$80)) *  $S$1, "-")</f>
        <v>283500</v>
      </c>
      <c r="F7" s="150" cm="1">
        <f t="array" ref="F7">IFERROR(_xlfn.XLOOKUP(1, (Фрахт!$A$5:$A$80 = $A7)* (Фрахт!$B$5:$B$80 = $C7) * (Фрахт!$C$5:$C$80 =$D7),  _xlfn.XLOOKUP(1,  (Фрахт!$D$4:$E$4 = F$2) * 1, Фрахт!$D$5:$E$80)) *  $S$1, "-")</f>
        <v>472500</v>
      </c>
      <c r="G7" s="150" cm="1">
        <f t="array" aca="1" ref="G7" ca="1">IFERROR(_xlfn.XLOOKUP(1,  ('Drop off'!$A$6:$A$14 = $C7) * 1,  _xlfn.XLOOKUP(1,  ('Drop off'!$B$5:$I$5 = G$2) * ('Drop off'!$B$4:$I$4 = $S$2), 'Drop off'!$B$6:$I$14)) * $S$1, "-")</f>
        <v>56700</v>
      </c>
      <c r="H7" s="150" cm="1">
        <f t="array" aca="1" ref="H7" ca="1">IFERROR(_xlfn.XLOOKUP(1,  ('Drop off'!$A$6:$A$14 = $C7) * 1,  _xlfn.XLOOKUP(1,  ('Drop off'!$B$5:$I$5 = H$2) * ('Drop off'!$B$4:$I$4 = $S$2), 'Drop off'!$B$6:$I$14)) * $S$1, "-")</f>
        <v>37800</v>
      </c>
      <c r="I7" s="150" cm="1">
        <f t="array" aca="1" ref="I7" ca="1">IFERROR(_xlfn.XLOOKUP(1,  ('ж.д.'!$A$6:$A$14 = $D7) * 1,  _xlfn.XLOOKUP(1,  ('ж.д.'!$B$5:$M$5 = I$2) * ('ж.д.'!$B$4:$M$4 = $S$2), 'ж.д.'!$B$6:$M$14)), "-")</f>
        <v>103900</v>
      </c>
      <c r="J7" s="150" cm="1">
        <f t="array" aca="1" ref="J7" ca="1">IFERROR(_xlfn.XLOOKUP(1,  ('ж.д.'!$A$6:$A$14 = $D7) * 1,  _xlfn.XLOOKUP(1,  ('ж.д.'!$B$5:$M$5 = J$2) * ('ж.д.'!$B$4:$M$4 = $S$2), 'ж.д.'!$B$6:$M$14)), "-")</f>
        <v>114900</v>
      </c>
      <c r="K7" s="150" cm="1">
        <f t="array" aca="1" ref="K7" ca="1">IFERROR(_xlfn.XLOOKUP(1,  ('ж.д.'!$A$6:$A$14 = $D7) * 1,  _xlfn.XLOOKUP(1,  ('ж.д.'!$B$5:$M$5 = K$2) * ('ж.д.'!$B$4:$M$4 = $S$2), 'ж.д.'!$B$6:$M$14)), "-")</f>
        <v>182400</v>
      </c>
      <c r="L7" s="150" cm="1">
        <f t="array" aca="1" ref="L7" ca="1">IF(ISNUMBER(SEARCH("Транс",$C7)),_xlfn.XLOOKUP(1,('Фрахт Транс'!$A$5:$A$10=$D7)*1,_xlfn.XLOOKUP(1,('Фрахт Транс'!$B$3:$M$3 = $S$2)*('Фрахт Транс'!$B$4:$M$4=L$2),'Фрахт Транс'!$B$5:$M$10)),SUM($E7, $G7, $I7, $O7))</f>
        <v>446090</v>
      </c>
      <c r="M7" s="150" cm="1">
        <f t="array" aca="1" ref="M7" ca="1">IF(ISNUMBER(SEARCH("Транс",$C7)),_xlfn.XLOOKUP(1,('Фрахт Транс'!$A$5:$A$10=$D7)*1,_xlfn.XLOOKUP(1,('Фрахт Транс'!$B$3:$M$3=$S$2)*('Фрахт Транс'!$B$4:$M$4=M$2),'Фрахт Транс'!$B$5:$M$10)),SUM($E7, $G7, $J7, $O7))</f>
        <v>457090</v>
      </c>
      <c r="N7" s="150" cm="1">
        <f t="array" aca="1" ref="N7" ca="1">IF(ISNUMBER(SEARCH("Транс",$C7)),_xlfn.XLOOKUP(1,('Фрахт Транс'!$A$5:$A$10=$D7)*1,_xlfn.XLOOKUP(1,('Фрахт Транс'!$B$3:$M$3=$S$2)*('Фрахт Транс'!$B$4:$M$4=N$2),'Фрахт Транс'!$B$5:$M$10)),SUM($F7, $H7, $K7, $P7))</f>
        <v>696779</v>
      </c>
      <c r="O7" s="150" cm="1">
        <f t="array" aca="1" ref="O7" ca="1">IFERROR(_xlfn.XLOOKUP(1,  (Охрана!$A$6:$A$14 = $D7) * 1,  _xlfn.XLOOKUP(1,  (Охрана!$B$5:$M$5 = O$2) * (Охрана!$B$4:$M$4 = $S$2), Охрана!$B$6:$M$14)), "-")</f>
        <v>1990</v>
      </c>
      <c r="P7" s="195" cm="1">
        <f t="array" aca="1" ref="P7" ca="1">IFERROR(_xlfn.XLOOKUP(1,  (Охрана!$A$6:$A$14 = $D7) * 1,  _xlfn.XLOOKUP(1,  (Охрана!$B$5:$M$5 = P$2) * (Охрана!$B$4:$M$4 = $S$2), Охрана!$B$6:$M$14)), "-")</f>
        <v>4079</v>
      </c>
      <c r="Q7" s="286"/>
      <c r="R7" s="4"/>
      <c r="AB7" s="5"/>
    </row>
    <row r="8" spans="1:28" ht="15.75" customHeight="1" thickBot="1" x14ac:dyDescent="0.3">
      <c r="A8" s="213" t="s">
        <v>13</v>
      </c>
      <c r="B8" s="288"/>
      <c r="C8" s="41" t="s">
        <v>35</v>
      </c>
      <c r="D8" s="40" t="s">
        <v>10</v>
      </c>
      <c r="E8" s="150" cm="1">
        <f t="array" ref="E8">IFERROR(_xlfn.XLOOKUP(1, (Фрахт!$A$5:$A$80 = $A8)* (Фрахт!$B$5:$B$80 = $C8) * (Фрахт!$C$5:$C$80 =$D8),  _xlfn.XLOOKUP(1,  (Фрахт!$D$4:$E$4 = E$2) * 1, Фрахт!$D$5:$E$80)) *  $S$1, "-")</f>
        <v>283500</v>
      </c>
      <c r="F8" s="150" cm="1">
        <f t="array" ref="F8">IFERROR(_xlfn.XLOOKUP(1, (Фрахт!$A$5:$A$80 = $A8)* (Фрахт!$B$5:$B$80 = $C8) * (Фрахт!$C$5:$C$80 =$D8),  _xlfn.XLOOKUP(1,  (Фрахт!$D$4:$E$4 = F$2) * 1, Фрахт!$D$5:$E$80)) *  $S$1, "-")</f>
        <v>472500</v>
      </c>
      <c r="G8" s="150" cm="1">
        <f t="array" aca="1" ref="G8" ca="1">IFERROR(_xlfn.XLOOKUP(1,  ('Drop off'!$A$6:$A$14 = $C8) * 1,  _xlfn.XLOOKUP(1,  ('Drop off'!$B$5:$I$5 = G$2) * ('Drop off'!$B$4:$I$4 = $S$2), 'Drop off'!$B$6:$I$14)) * $S$1, "-")</f>
        <v>56700</v>
      </c>
      <c r="H8" s="150" cm="1">
        <f t="array" aca="1" ref="H8" ca="1">IFERROR(_xlfn.XLOOKUP(1,  ('Drop off'!$A$6:$A$14 = $C8) * 1,  _xlfn.XLOOKUP(1,  ('Drop off'!$B$5:$I$5 = H$2) * ('Drop off'!$B$4:$I$4 = $S$2), 'Drop off'!$B$6:$I$14)) * $S$1, "-")</f>
        <v>37800</v>
      </c>
      <c r="I8" s="150" cm="1">
        <f t="array" aca="1" ref="I8" ca="1">IFERROR(_xlfn.XLOOKUP(1,  ('ж.д.'!$A$6:$A$14 = $D8) * 1,  _xlfn.XLOOKUP(1,  ('ж.д.'!$B$5:$M$5 = I$2) * ('ж.д.'!$B$4:$M$4 = $S$2), 'ж.д.'!$B$6:$M$14)), "-")</f>
        <v>103000</v>
      </c>
      <c r="J8" s="150" cm="1">
        <f t="array" aca="1" ref="J8" ca="1">IFERROR(_xlfn.XLOOKUP(1,  ('ж.д.'!$A$6:$A$14 = $D8) * 1,  _xlfn.XLOOKUP(1,  ('ж.д.'!$B$5:$M$5 = J$2) * ('ж.д.'!$B$4:$M$4 = $S$2), 'ж.д.'!$B$6:$M$14)), "-")</f>
        <v>115325</v>
      </c>
      <c r="K8" s="150" cm="1">
        <f t="array" aca="1" ref="K8" ca="1">IFERROR(_xlfn.XLOOKUP(1,  ('ж.д.'!$A$6:$A$14 = $D8) * 1,  _xlfn.XLOOKUP(1,  ('ж.д.'!$B$5:$M$5 = K$2) * ('ж.д.'!$B$4:$M$4 = $S$2), 'ж.д.'!$B$6:$M$14)), "-")</f>
        <v>184000</v>
      </c>
      <c r="L8" s="150" cm="1">
        <f t="array" aca="1" ref="L8" ca="1">IF(ISNUMBER(SEARCH("Транс",$C8)),_xlfn.XLOOKUP(1,('Фрахт Транс'!$A$5:$A$10=$D8)*1,_xlfn.XLOOKUP(1,('Фрахт Транс'!$B$3:$M$3 = $S$2)*('Фрахт Транс'!$B$4:$M$4=L$2),'Фрахт Транс'!$B$5:$M$10)),SUM($E8, $G8, $I8, $O8))</f>
        <v>445940</v>
      </c>
      <c r="M8" s="150" cm="1">
        <f t="array" aca="1" ref="M8" ca="1">IF(ISNUMBER(SEARCH("Транс",$C8)),_xlfn.XLOOKUP(1,('Фрахт Транс'!$A$5:$A$10=$D8)*1,_xlfn.XLOOKUP(1,('Фрахт Транс'!$B$3:$M$3=$S$2)*('Фрахт Транс'!$B$4:$M$4=M$2),'Фрахт Транс'!$B$5:$M$10)),SUM($E8, $G8, $J8, $O8))</f>
        <v>458265</v>
      </c>
      <c r="N8" s="150" cm="1">
        <f t="array" aca="1" ref="N8" ca="1">IF(ISNUMBER(SEARCH("Транс",$C8)),_xlfn.XLOOKUP(1,('Фрахт Транс'!$A$5:$A$10=$D8)*1,_xlfn.XLOOKUP(1,('Фрахт Транс'!$B$3:$M$3=$S$2)*('Фрахт Транс'!$B$4:$M$4=N$2),'Фрахт Транс'!$B$5:$M$10)),SUM($F8, $H8, $K8, $P8))</f>
        <v>699129</v>
      </c>
      <c r="O8" s="150" cm="1">
        <f t="array" aca="1" ref="O8" ca="1">IFERROR(_xlfn.XLOOKUP(1,  (Охрана!$A$6:$A$14 = $D8) * 1,  _xlfn.XLOOKUP(1,  (Охрана!$B$5:$M$5 = O$2) * (Охрана!$B$4:$M$4 = $S$2), Охрана!$B$6:$M$14)), "-")</f>
        <v>2740</v>
      </c>
      <c r="P8" s="195" cm="1">
        <f t="array" aca="1" ref="P8" ca="1">IFERROR(_xlfn.XLOOKUP(1,  (Охрана!$A$6:$A$14 = $D8) * 1,  _xlfn.XLOOKUP(1,  (Охрана!$B$5:$M$5 = P$2) * (Охрана!$B$4:$M$4 = $S$2), Охрана!$B$6:$M$14)), "-")</f>
        <v>4829</v>
      </c>
      <c r="Q8" s="286"/>
      <c r="AB8" s="5"/>
    </row>
    <row r="9" spans="1:28" ht="15.75" customHeight="1" thickBot="1" x14ac:dyDescent="0.3">
      <c r="A9" s="213" t="s">
        <v>13</v>
      </c>
      <c r="B9" s="288"/>
      <c r="C9" s="41" t="s">
        <v>35</v>
      </c>
      <c r="D9" s="40" t="s">
        <v>7</v>
      </c>
      <c r="E9" s="150" cm="1">
        <f t="array" ref="E9">IFERROR(_xlfn.XLOOKUP(1, (Фрахт!$A$5:$A$80 = $A9)* (Фрахт!$B$5:$B$80 = $C9) * (Фрахт!$C$5:$C$80 =$D9),  _xlfn.XLOOKUP(1,  (Фрахт!$D$4:$E$4 = E$2) * 1, Фрахт!$D$5:$E$80)) *  $S$1, "-")</f>
        <v>283500</v>
      </c>
      <c r="F9" s="150" cm="1">
        <f t="array" ref="F9">IFERROR(_xlfn.XLOOKUP(1, (Фрахт!$A$5:$A$80 = $A9)* (Фрахт!$B$5:$B$80 = $C9) * (Фрахт!$C$5:$C$80 =$D9),  _xlfn.XLOOKUP(1,  (Фрахт!$D$4:$E$4 = F$2) * 1, Фрахт!$D$5:$E$80)) *  $S$1, "-")</f>
        <v>472500</v>
      </c>
      <c r="G9" s="150" cm="1">
        <f t="array" aca="1" ref="G9" ca="1">IFERROR(_xlfn.XLOOKUP(1,  ('Drop off'!$A$6:$A$14 = $C9) * 1,  _xlfn.XLOOKUP(1,  ('Drop off'!$B$5:$I$5 = G$2) * ('Drop off'!$B$4:$I$4 = $S$2), 'Drop off'!$B$6:$I$14)) * $S$1, "-")</f>
        <v>56700</v>
      </c>
      <c r="H9" s="150" cm="1">
        <f t="array" aca="1" ref="H9" ca="1">IFERROR(_xlfn.XLOOKUP(1,  ('Drop off'!$A$6:$A$14 = $C9) * 1,  _xlfn.XLOOKUP(1,  ('Drop off'!$B$5:$I$5 = H$2) * ('Drop off'!$B$4:$I$4 = $S$2), 'Drop off'!$B$6:$I$14)) * $S$1, "-")</f>
        <v>37800</v>
      </c>
      <c r="I9" s="150" cm="1">
        <f t="array" aca="1" ref="I9" ca="1">IFERROR(_xlfn.XLOOKUP(1,  ('ж.д.'!$A$6:$A$14 = $D9) * 1,  _xlfn.XLOOKUP(1,  ('ж.д.'!$B$5:$M$5 = I$2) * ('ж.д.'!$B$4:$M$4 = $S$2), 'ж.д.'!$B$6:$M$14)), "-")</f>
        <v>101000</v>
      </c>
      <c r="J9" s="150" cm="1">
        <f t="array" aca="1" ref="J9" ca="1">IFERROR(_xlfn.XLOOKUP(1,  ('ж.д.'!$A$6:$A$14 = $D9) * 1,  _xlfn.XLOOKUP(1,  ('ж.д.'!$B$5:$M$5 = J$2) * ('ж.д.'!$B$4:$M$4 = $S$2), 'ж.д.'!$B$6:$M$14)), "-")</f>
        <v>115000</v>
      </c>
      <c r="K9" s="150" cm="1">
        <f t="array" aca="1" ref="K9" ca="1">IFERROR(_xlfn.XLOOKUP(1,  ('ж.д.'!$A$6:$A$14 = $D9) * 1,  _xlfn.XLOOKUP(1,  ('ж.д.'!$B$5:$M$5 = K$2) * ('ж.д.'!$B$4:$M$4 = $S$2), 'ж.д.'!$B$6:$M$14)), "-")</f>
        <v>175000</v>
      </c>
      <c r="L9" s="150" cm="1">
        <f t="array" aca="1" ref="L9" ca="1">IF(ISNUMBER(SEARCH("Транс",$C9)),_xlfn.XLOOKUP(1,('Фрахт Транс'!$A$5:$A$10=$D9)*1,_xlfn.XLOOKUP(1,('Фрахт Транс'!$B$3:$M$3 = $S$2)*('Фрахт Транс'!$B$4:$M$4=L$2),'Фрахт Транс'!$B$5:$M$10)),SUM($E9, $G9, $I9, $O9))</f>
        <v>443600</v>
      </c>
      <c r="M9" s="150" cm="1">
        <f t="array" aca="1" ref="M9" ca="1">IF(ISNUMBER(SEARCH("Транс",$C9)),_xlfn.XLOOKUP(1,('Фрахт Транс'!$A$5:$A$10=$D9)*1,_xlfn.XLOOKUP(1,('Фрахт Транс'!$B$3:$M$3=$S$2)*('Фрахт Транс'!$B$4:$M$4=M$2),'Фрахт Транс'!$B$5:$M$10)),SUM($E9, $G9, $J9, $O9))</f>
        <v>457600</v>
      </c>
      <c r="N9" s="150" cm="1">
        <f t="array" aca="1" ref="N9" ca="1">IF(ISNUMBER(SEARCH("Транс",$C9)),_xlfn.XLOOKUP(1,('Фрахт Транс'!$A$5:$A$10=$D9)*1,_xlfn.XLOOKUP(1,('Фрахт Транс'!$B$3:$M$3=$S$2)*('Фрахт Транс'!$B$4:$M$4=N$2),'Фрахт Транс'!$B$5:$M$10)),SUM($F9, $H9, $K9, $P9))</f>
        <v>690200</v>
      </c>
      <c r="O9" s="150" cm="1">
        <f t="array" aca="1" ref="O9" ca="1">IFERROR(_xlfn.XLOOKUP(1,  (Охрана!$A$6:$A$14 = $D9) * 1,  _xlfn.XLOOKUP(1,  (Охрана!$B$5:$M$5 = O$2) * (Охрана!$B$4:$M$4 = $S$2), Охрана!$B$6:$M$14)), "-")</f>
        <v>2400</v>
      </c>
      <c r="P9" s="195" cm="1">
        <f t="array" aca="1" ref="P9" ca="1">IFERROR(_xlfn.XLOOKUP(1,  (Охрана!$A$6:$A$14 = $D9) * 1,  _xlfn.XLOOKUP(1,  (Охрана!$B$5:$M$5 = P$2) * (Охрана!$B$4:$M$4 = $S$2), Охрана!$B$6:$M$14)), "-")</f>
        <v>4900</v>
      </c>
      <c r="Q9" s="286"/>
      <c r="R9" s="4"/>
      <c r="AB9" s="5"/>
    </row>
    <row r="10" spans="1:28" ht="15.75" customHeight="1" thickBot="1" x14ac:dyDescent="0.3">
      <c r="A10" s="213" t="s">
        <v>13</v>
      </c>
      <c r="B10" s="288"/>
      <c r="C10" s="50" t="s">
        <v>36</v>
      </c>
      <c r="D10" s="50" t="s">
        <v>21</v>
      </c>
      <c r="E10" s="151" cm="1">
        <f t="array" ref="E10">IFERROR(_xlfn.XLOOKUP(1, (Фрахт!$A$5:$A$80 = $A10)* (Фрахт!$B$5:$B$80 = $C10) * (Фрахт!$C$5:$C$80 =$D10),  _xlfn.XLOOKUP(1,  (Фрахт!$D$4:$E$4 = E$2) * 1, Фрахт!$D$5:$E$80)) *  $S$1, "-")</f>
        <v>260160</v>
      </c>
      <c r="F10" s="151" cm="1">
        <f t="array" ref="F10">IFERROR(_xlfn.XLOOKUP(1, (Фрахт!$A$5:$A$80 = $A10)* (Фрахт!$B$5:$B$80 = $C10) * (Фрахт!$C$5:$C$80 =$D10),  _xlfn.XLOOKUP(1,  (Фрахт!$D$4:$E$4 = F$2) * 1, Фрахт!$D$5:$E$80)) *  $S$1, "-")</f>
        <v>436320</v>
      </c>
      <c r="G10" s="151" cm="1">
        <f t="array" aca="1" ref="G10" ca="1">IFERROR(_xlfn.XLOOKUP(1,  ('Drop off'!$A$6:$A$14 = $C10) * 1,  _xlfn.XLOOKUP(1,  ('Drop off'!$B$5:$I$5 = G$2) * ('Drop off'!$B$4:$I$4 = $S$2), 'Drop off'!$B$6:$I$14)) * $S$1, "-")</f>
        <v>9000</v>
      </c>
      <c r="H10" s="151" cm="1">
        <f t="array" aca="1" ref="H10" ca="1">IFERROR(_xlfn.XLOOKUP(1,  ('Drop off'!$A$6:$A$14 = $C10) * 1,  _xlfn.XLOOKUP(1,  ('Drop off'!$B$5:$I$5 = H$2) * ('Drop off'!$B$4:$I$4 = $S$2), 'Drop off'!$B$6:$I$14)) * $S$1, "-")</f>
        <v>9000</v>
      </c>
      <c r="I10" s="151" cm="1">
        <f t="array" aca="1" ref="I10" ca="1">IFERROR(_xlfn.XLOOKUP(1,  ('ж.д.'!$A$6:$A$14 = $D10) * 1,  _xlfn.XLOOKUP(1,  ('ж.д.'!$B$5:$M$5 = I$2) * ('ж.д.'!$B$4:$M$4 = $S$2), 'ж.д.'!$B$6:$M$14)), "-")</f>
        <v>103900</v>
      </c>
      <c r="J10" s="151" cm="1">
        <f t="array" aca="1" ref="J10" ca="1">IFERROR(_xlfn.XLOOKUP(1,  ('ж.д.'!$A$6:$A$14 = $D10) * 1,  _xlfn.XLOOKUP(1,  ('ж.д.'!$B$5:$M$5 = J$2) * ('ж.д.'!$B$4:$M$4 = $S$2), 'ж.д.'!$B$6:$M$14)), "-")</f>
        <v>114900</v>
      </c>
      <c r="K10" s="151" cm="1">
        <f t="array" aca="1" ref="K10" ca="1">IFERROR(_xlfn.XLOOKUP(1,  ('ж.д.'!$A$6:$A$14 = $D10) * 1,  _xlfn.XLOOKUP(1,  ('ж.д.'!$B$5:$M$5 = K$2) * ('ж.д.'!$B$4:$M$4 = $S$2), 'ж.д.'!$B$6:$M$14)), "-")</f>
        <v>182400</v>
      </c>
      <c r="L10" s="151" cm="1">
        <f t="array" aca="1" ref="L10" ca="1">IF(ISNUMBER(SEARCH("Транс",$C10)),_xlfn.XLOOKUP(1,('Фрахт Транс'!$A$5:$A$10=$D10)*1,_xlfn.XLOOKUP(1,('Фрахт Транс'!$B$3:$M$3 = $S$2)*('Фрахт Транс'!$B$4:$M$4=L$2),'Фрахт Транс'!$B$5:$M$10)),SUM($E10, $G10, $I10, $O10))</f>
        <v>375050</v>
      </c>
      <c r="M10" s="151" cm="1">
        <f t="array" aca="1" ref="M10" ca="1">IF(ISNUMBER(SEARCH("Транс",$C10)),_xlfn.XLOOKUP(1,('Фрахт Транс'!$A$5:$A$10=$D10)*1,_xlfn.XLOOKUP(1,('Фрахт Транс'!$B$3:$M$3=$S$2)*('Фрахт Транс'!$B$4:$M$4=M$2),'Фрахт Транс'!$B$5:$M$10)),SUM($E10, $G10, $J10, $O10))</f>
        <v>386050</v>
      </c>
      <c r="N10" s="151" cm="1">
        <f t="array" aca="1" ref="N10" ca="1">IF(ISNUMBER(SEARCH("Транс",$C10)),_xlfn.XLOOKUP(1,('Фрахт Транс'!$A$5:$A$10=$D10)*1,_xlfn.XLOOKUP(1,('Фрахт Транс'!$B$3:$M$3=$S$2)*('Фрахт Транс'!$B$4:$M$4=N$2),'Фрахт Транс'!$B$5:$M$10)),SUM($F10, $H10, $K10, $P10))</f>
        <v>631799</v>
      </c>
      <c r="O10" s="151" cm="1">
        <f t="array" aca="1" ref="O10" ca="1">IFERROR(_xlfn.XLOOKUP(1,  (Охрана!$A$6:$A$14 = $D10) * 1,  _xlfn.XLOOKUP(1,  (Охрана!$B$5:$M$5 = O$2) * (Охрана!$B$4:$M$4 = $S$2), Охрана!$B$6:$M$14)), "-")</f>
        <v>1990</v>
      </c>
      <c r="P10" s="196" cm="1">
        <f t="array" aca="1" ref="P10" ca="1">IFERROR(_xlfn.XLOOKUP(1,  (Охрана!$A$6:$A$14 = $D10) * 1,  _xlfn.XLOOKUP(1,  (Охрана!$B$5:$M$5 = P$2) * (Охрана!$B$4:$M$4 = $S$2), Охрана!$B$6:$M$14)), "-")</f>
        <v>4079</v>
      </c>
      <c r="Q10" s="38"/>
      <c r="R10" s="71"/>
      <c r="AB10" s="5"/>
    </row>
    <row r="11" spans="1:28" ht="17.25" customHeight="1" thickBot="1" x14ac:dyDescent="0.3">
      <c r="A11" s="213" t="s">
        <v>13</v>
      </c>
      <c r="B11" s="288"/>
      <c r="C11" s="67" t="s">
        <v>37</v>
      </c>
      <c r="D11" s="55" t="s">
        <v>11</v>
      </c>
      <c r="E11" s="228" cm="1">
        <f t="array" ref="E11">IFERROR(_xlfn.XLOOKUP(1, (Фрахт!$A$5:$A$80 = $A11)* (Фрахт!$B$5:$B$80 = $C11) * (Фрахт!$C$5:$C$80 =$D11),  _xlfn.XLOOKUP(1,  (Фрахт!$D$4:$E$4 = E$2) * 1, Фрахт!$D$5:$E$80)) *  $S$1, "-")</f>
        <v>216000</v>
      </c>
      <c r="F11" s="228" cm="1">
        <f t="array" ref="F11">IFERROR(_xlfn.XLOOKUP(1, (Фрахт!$A$5:$A$80 = $A11)* (Фрахт!$B$5:$B$80 = $C11) * (Фрахт!$C$5:$C$80 =$D11),  _xlfn.XLOOKUP(1,  (Фрахт!$D$4:$E$4 = F$2) * 1, Фрахт!$D$5:$E$80)) *  $S$1, "-")</f>
        <v>384000</v>
      </c>
      <c r="G11" s="228" cm="1">
        <f t="array" aca="1" ref="G11" ca="1">IFERROR(_xlfn.XLOOKUP(1,  ('Drop off'!$A$6:$A$14 = $C11) * 1,  _xlfn.XLOOKUP(1,  ('Drop off'!$B$5:$I$5 = G$2) * ('Drop off'!$B$4:$I$4 = $S$2), 'Drop off'!$B$6:$I$14)) * $S$1, "-")</f>
        <v>0</v>
      </c>
      <c r="H11" s="228" cm="1">
        <f t="array" aca="1" ref="H11" ca="1">IFERROR(_xlfn.XLOOKUP(1,  ('Drop off'!$A$6:$A$14 = $C11) * 1,  _xlfn.XLOOKUP(1,  ('Drop off'!$B$5:$I$5 = H$2) * ('Drop off'!$B$4:$I$4 = $S$2), 'Drop off'!$B$6:$I$14)) * $S$1, "-")</f>
        <v>0</v>
      </c>
      <c r="I11" s="228" cm="1">
        <f t="array" aca="1" ref="I11" ca="1">IFERROR(_xlfn.XLOOKUP(1,  ('ж.д.'!$A$6:$A$14 = $D11) * 1,  _xlfn.XLOOKUP(1,  ('ж.д.'!$B$5:$M$5 = I$2) * ('ж.д.'!$B$4:$M$4 = $S$2), 'ж.д.'!$B$6:$M$14)), "-")</f>
        <v>99200</v>
      </c>
      <c r="J11" s="228" cm="1">
        <f t="array" aca="1" ref="J11" ca="1">IFERROR(_xlfn.XLOOKUP(1,  ('ж.д.'!$A$6:$A$14 = $D11) * 1,  _xlfn.XLOOKUP(1,  ('ж.д.'!$B$5:$M$5 = J$2) * ('ж.д.'!$B$4:$M$4 = $S$2), 'ж.д.'!$B$6:$M$14)), "-")</f>
        <v>113100</v>
      </c>
      <c r="K11" s="228" cm="1">
        <f t="array" aca="1" ref="K11" ca="1">IFERROR(_xlfn.XLOOKUP(1,  ('ж.д.'!$A$6:$A$14 = $D11) * 1,  _xlfn.XLOOKUP(1,  ('ж.д.'!$B$5:$M$5 = K$2) * ('ж.д.'!$B$4:$M$4 = $S$2), 'ж.д.'!$B$6:$M$14)), "-")</f>
        <v>176500</v>
      </c>
      <c r="L11" s="228" cm="1">
        <f t="array" aca="1" ref="L11" ca="1">IF(ISNUMBER(SEARCH("Транс",$C11)),_xlfn.XLOOKUP(1,('Фрахт Транс'!$A$5:$A$10=$D11)*1,_xlfn.XLOOKUP(1,('Фрахт Транс'!$B$3:$M$3 = $S$2)*('Фрахт Транс'!$B$4:$M$4=L$2),'Фрахт Транс'!$B$5:$M$10)),SUM($E11, $G11, $I11, $O11))</f>
        <v>317340</v>
      </c>
      <c r="M11" s="228" cm="1">
        <f t="array" aca="1" ref="M11" ca="1">IF(ISNUMBER(SEARCH("Транс",$C11)),_xlfn.XLOOKUP(1,('Фрахт Транс'!$A$5:$A$10=$D11)*1,_xlfn.XLOOKUP(1,('Фрахт Транс'!$B$3:$M$3=$S$2)*('Фрахт Транс'!$B$4:$M$4=M$2),'Фрахт Транс'!$B$5:$M$10)),SUM($E11, $G11, $J11, $O11))</f>
        <v>331240</v>
      </c>
      <c r="N11" s="228" cm="1">
        <f t="array" aca="1" ref="N11" ca="1">IF(ISNUMBER(SEARCH("Транс",$C11)),_xlfn.XLOOKUP(1,('Фрахт Транс'!$A$5:$A$10=$D11)*1,_xlfn.XLOOKUP(1,('Фрахт Транс'!$B$3:$M$3=$S$2)*('Фрахт Транс'!$B$4:$M$4=N$2),'Фрахт Транс'!$B$5:$M$10)),SUM($F11, $H11, $K11, $P11))</f>
        <v>564927</v>
      </c>
      <c r="O11" s="228" cm="1">
        <f t="array" aca="1" ref="O11" ca="1">IFERROR(_xlfn.XLOOKUP(1,  (Охрана!$A$6:$A$14 = $D11) * 1,  _xlfn.XLOOKUP(1,  (Охрана!$B$5:$M$5 = O$2) * (Охрана!$B$4:$M$4 = $S$2), Охрана!$B$6:$M$14)), "-")</f>
        <v>2140</v>
      </c>
      <c r="P11" s="229" cm="1">
        <f t="array" aca="1" ref="P11" ca="1">IFERROR(_xlfn.XLOOKUP(1,  (Охрана!$A$6:$A$14 = $D11) * 1,  _xlfn.XLOOKUP(1,  (Охрана!$B$5:$M$5 = P$2) * (Охрана!$B$4:$M$4 = $S$2), Охрана!$B$6:$M$14)), "-")</f>
        <v>4427</v>
      </c>
      <c r="Q11" s="38"/>
      <c r="R11" s="71"/>
      <c r="AB11" s="5"/>
    </row>
    <row r="12" spans="1:28" ht="17.25" customHeight="1" thickBot="1" x14ac:dyDescent="0.3">
      <c r="A12" s="213" t="s">
        <v>13</v>
      </c>
      <c r="B12" s="288"/>
      <c r="C12" s="84" t="s">
        <v>54</v>
      </c>
      <c r="D12" s="85" t="s">
        <v>34</v>
      </c>
      <c r="E12" s="155" t="str" cm="1">
        <f t="array" ref="E12">IFERROR(_xlfn.XLOOKUP(1, (Фрахт!$A$5:$A$80 = $A12)* (Фрахт!$B$5:$B$80 = $C12) * (Фрахт!$C$5:$C$80 =$D12),  _xlfn.XLOOKUP(1,  (Фрахт!$D$4:$E$4 = E$2) * 1, Фрахт!$D$5:$E$80)) *  $S$1, "-")</f>
        <v>-</v>
      </c>
      <c r="F12" s="155" t="str" cm="1">
        <f t="array" ref="F12">IFERROR(_xlfn.XLOOKUP(1, (Фрахт!$A$5:$A$80 = $A12)* (Фрахт!$B$5:$B$80 = $C12) * (Фрахт!$C$5:$C$80 =$D12),  _xlfn.XLOOKUP(1,  (Фрахт!$D$4:$E$4 = F$2) * 1, Фрахт!$D$5:$E$80)) *  $S$1, "-")</f>
        <v>-</v>
      </c>
      <c r="G12" s="155" cm="1">
        <f t="array" aca="1" ref="G12" ca="1">IFERROR(_xlfn.XLOOKUP(1,  ('Drop off'!$A$6:$A$14 = $C12) * 1,  _xlfn.XLOOKUP(1,  ('Drop off'!$B$5:$I$5 = G$2) * ('Drop off'!$B$4:$I$4 = $S$2), 'Drop off'!$B$6:$I$14)) * $S$1, "-")</f>
        <v>27000</v>
      </c>
      <c r="H12" s="155" cm="1">
        <f t="array" aca="1" ref="H12" ca="1">IFERROR(_xlfn.XLOOKUP(1,  ('Drop off'!$A$6:$A$14 = $C12) * 1,  _xlfn.XLOOKUP(1,  ('Drop off'!$B$5:$I$5 = H$2) * ('Drop off'!$B$4:$I$4 = $S$2), 'Drop off'!$B$6:$I$14)) * $S$1, "-")</f>
        <v>27000</v>
      </c>
      <c r="I12" s="155" cm="1">
        <f t="array" aca="1" ref="I12" ca="1">IFERROR(_xlfn.XLOOKUP(1,  ('ж.д.'!$A$6:$A$14 = $D12) * 1,  _xlfn.XLOOKUP(1,  ('ж.д.'!$B$5:$M$5 = I$2) * ('ж.д.'!$B$4:$M$4 = $S$2), 'ж.д.'!$B$6:$M$14)), "-")</f>
        <v>103900</v>
      </c>
      <c r="J12" s="155" cm="1">
        <f t="array" aca="1" ref="J12" ca="1">IFERROR(_xlfn.XLOOKUP(1,  ('ж.д.'!$A$6:$A$14 = $D12) * 1,  _xlfn.XLOOKUP(1,  ('ж.д.'!$B$5:$M$5 = J$2) * ('ж.д.'!$B$4:$M$4 = $S$2), 'ж.д.'!$B$6:$M$14)), "-")</f>
        <v>114900</v>
      </c>
      <c r="K12" s="155" cm="1">
        <f t="array" aca="1" ref="K12" ca="1">IFERROR(_xlfn.XLOOKUP(1,  ('ж.д.'!$A$6:$A$14 = $D12) * 1,  _xlfn.XLOOKUP(1,  ('ж.д.'!$B$5:$M$5 = K$2) * ('ж.д.'!$B$4:$M$4 = $S$2), 'ж.д.'!$B$6:$M$14)), "-")</f>
        <v>182400</v>
      </c>
      <c r="L12" s="155" cm="1">
        <f t="array" aca="1" ref="L12" ca="1">IF(ISNUMBER(SEARCH("Транс",$C12)),_xlfn.XLOOKUP(1,('Фрахт Транс'!$A$5:$A$10=$D12)*1,_xlfn.XLOOKUP(1,('Фрахт Транс'!$B$3:$M$3 = $S$2)*('Фрахт Транс'!$B$4:$M$4=L$2),'Фрахт Транс'!$B$5:$M$10)),SUM($E12, $G12, $I12, $O12))</f>
        <v>132890</v>
      </c>
      <c r="M12" s="155" cm="1">
        <f t="array" aca="1" ref="M12" ca="1">IF(ISNUMBER(SEARCH("Транс",$C12)),_xlfn.XLOOKUP(1,('Фрахт Транс'!$A$5:$A$10=$D12)*1,_xlfn.XLOOKUP(1,('Фрахт Транс'!$B$3:$M$3=$S$2)*('Фрахт Транс'!$B$4:$M$4=M$2),'Фрахт Транс'!$B$5:$M$10)),SUM($E12, $G12, $J12, $O12))</f>
        <v>143890</v>
      </c>
      <c r="N12" s="155" cm="1">
        <f t="array" aca="1" ref="N12" ca="1">IF(ISNUMBER(SEARCH("Транс",$C12)),_xlfn.XLOOKUP(1,('Фрахт Транс'!$A$5:$A$10=$D12)*1,_xlfn.XLOOKUP(1,('Фрахт Транс'!$B$3:$M$3=$S$2)*('Фрахт Транс'!$B$4:$M$4=N$2),'Фрахт Транс'!$B$5:$M$10)),SUM($F12, $H12, $K12, $P12))</f>
        <v>213479</v>
      </c>
      <c r="O12" s="155" cm="1">
        <f t="array" aca="1" ref="O12" ca="1">IFERROR(_xlfn.XLOOKUP(1,  (Охрана!$A$6:$A$14 = $D12) * 1,  _xlfn.XLOOKUP(1,  (Охрана!$B$5:$M$5 = O$2) * (Охрана!$B$4:$M$4 = $S$2), Охрана!$B$6:$M$14)), "-")</f>
        <v>1990</v>
      </c>
      <c r="P12" s="200" cm="1">
        <f t="array" aca="1" ref="P12" ca="1">IFERROR(_xlfn.XLOOKUP(1,  (Охрана!$A$6:$A$14 = $D12) * 1,  _xlfn.XLOOKUP(1,  (Охрана!$B$5:$M$5 = P$2) * (Охрана!$B$4:$M$4 = $S$2), Охрана!$B$6:$M$14)), "-")</f>
        <v>4079</v>
      </c>
      <c r="Q12" s="38"/>
      <c r="R12" s="3"/>
      <c r="AB12" s="5"/>
    </row>
    <row r="13" spans="1:28" ht="15.75" customHeight="1" thickBot="1" x14ac:dyDescent="0.3">
      <c r="A13" s="213" t="s">
        <v>13</v>
      </c>
      <c r="B13" s="289"/>
      <c r="C13" s="76" t="s">
        <v>53</v>
      </c>
      <c r="D13" s="77" t="s">
        <v>7</v>
      </c>
      <c r="E13" s="156" cm="1">
        <f t="array" ref="E13">IFERROR(_xlfn.XLOOKUP(1, (Фрахт!$A$5:$A$80 = $A13)* (Фрахт!$B$5:$B$80 = $C13) * (Фрахт!$C$5:$C$80 =$D13),  _xlfn.XLOOKUP(1,  (Фрахт!$D$4:$E$4 = E$2) * 1, Фрахт!$D$5:$E$80)) *  $S$1, "-")</f>
        <v>315000</v>
      </c>
      <c r="F13" s="156" cm="1">
        <f t="array" ref="F13">IFERROR(_xlfn.XLOOKUP(1, (Фрахт!$A$5:$A$80 = $A13)* (Фрахт!$B$5:$B$80 = $C13) * (Фрахт!$C$5:$C$80 =$D13),  _xlfn.XLOOKUP(1,  (Фрахт!$D$4:$E$4 = F$2) * 1, Фрахт!$D$5:$E$80)) *  $S$1, "-")</f>
        <v>420000</v>
      </c>
      <c r="G13" s="156" cm="1">
        <f t="array" aca="1" ref="G13" ca="1">IFERROR(_xlfn.XLOOKUP(1,  ('Drop off'!$A$6:$A$14 = $C13) * 1,  _xlfn.XLOOKUP(1,  ('Drop off'!$B$5:$I$5 = G$2) * ('Drop off'!$B$4:$I$4 = $S$2), 'Drop off'!$B$6:$I$14)) * $S$1, "-")</f>
        <v>0</v>
      </c>
      <c r="H13" s="156" cm="1">
        <f t="array" aca="1" ref="H13" ca="1">IFERROR(_xlfn.XLOOKUP(1,  ('Drop off'!$A$6:$A$14 = $C13) * 1,  _xlfn.XLOOKUP(1,  ('Drop off'!$B$5:$I$5 = H$2) * ('Drop off'!$B$4:$I$4 = $S$2), 'Drop off'!$B$6:$I$14)) * $S$1, "-")</f>
        <v>0</v>
      </c>
      <c r="I13" s="156" cm="1">
        <f t="array" aca="1" ref="I13" ca="1">IFERROR(_xlfn.XLOOKUP(1,  ('ж.д.'!$A$6:$A$14 = $D13) * 1,  _xlfn.XLOOKUP(1,  ('ж.д.'!$B$5:$M$5 = I$2) * ('ж.д.'!$B$4:$M$4 = $S$2), 'ж.д.'!$B$6:$M$14)), "-")</f>
        <v>101000</v>
      </c>
      <c r="J13" s="156" cm="1">
        <f t="array" aca="1" ref="J13" ca="1">IFERROR(_xlfn.XLOOKUP(1,  ('ж.д.'!$A$6:$A$14 = $D13) * 1,  _xlfn.XLOOKUP(1,  ('ж.д.'!$B$5:$M$5 = J$2) * ('ж.д.'!$B$4:$M$4 = $S$2), 'ж.д.'!$B$6:$M$14)), "-")</f>
        <v>115000</v>
      </c>
      <c r="K13" s="156" cm="1">
        <f t="array" aca="1" ref="K13" ca="1">IFERROR(_xlfn.XLOOKUP(1,  ('ж.д.'!$A$6:$A$14 = $D13) * 1,  _xlfn.XLOOKUP(1,  ('ж.д.'!$B$5:$M$5 = K$2) * ('ж.д.'!$B$4:$M$4 = $S$2), 'ж.д.'!$B$6:$M$14)), "-")</f>
        <v>175000</v>
      </c>
      <c r="L13" s="156" cm="1">
        <f t="array" aca="1" ref="L13" ca="1">IF(ISNUMBER(SEARCH("Транс",$C13)),_xlfn.XLOOKUP(1,('Фрахт Транс'!$A$5:$A$10=$D13)*1,_xlfn.XLOOKUP(1,('Фрахт Транс'!$B$3:$M$3 = $S$2)*('Фрахт Транс'!$B$4:$M$4=L$2),'Фрахт Транс'!$B$5:$M$10)),SUM($E13, $G13, $I13, $O13))</f>
        <v>418400</v>
      </c>
      <c r="M13" s="156" cm="1">
        <f t="array" aca="1" ref="M13" ca="1">IF(ISNUMBER(SEARCH("Транс",$C13)),_xlfn.XLOOKUP(1,('Фрахт Транс'!$A$5:$A$10=$D13)*1,_xlfn.XLOOKUP(1,('Фрахт Транс'!$B$3:$M$3=$S$2)*('Фрахт Транс'!$B$4:$M$4=M$2),'Фрахт Транс'!$B$5:$M$10)),SUM($E13, $G13, $J13, $O13))</f>
        <v>432400</v>
      </c>
      <c r="N13" s="156" cm="1">
        <f t="array" aca="1" ref="N13" ca="1">IF(ISNUMBER(SEARCH("Транс",$C13)),_xlfn.XLOOKUP(1,('Фрахт Транс'!$A$5:$A$10=$D13)*1,_xlfn.XLOOKUP(1,('Фрахт Транс'!$B$3:$M$3=$S$2)*('Фрахт Транс'!$B$4:$M$4=N$2),'Фрахт Транс'!$B$5:$M$10)),SUM($F13, $H13, $K13, $P13))</f>
        <v>599900</v>
      </c>
      <c r="O13" s="156" cm="1">
        <f t="array" aca="1" ref="O13" ca="1">IFERROR(_xlfn.XLOOKUP(1,  (Охрана!$A$6:$A$14 = $D13) * 1,  _xlfn.XLOOKUP(1,  (Охрана!$B$5:$M$5 = O$2) * (Охрана!$B$4:$M$4 = $S$2), Охрана!$B$6:$M$14)), "-")</f>
        <v>2400</v>
      </c>
      <c r="P13" s="201" cm="1">
        <f t="array" aca="1" ref="P13" ca="1">IFERROR(_xlfn.XLOOKUP(1,  (Охрана!$A$6:$A$14 = $D13) * 1,  _xlfn.XLOOKUP(1,  (Охрана!$B$5:$M$5 = P$2) * (Охрана!$B$4:$M$4 = $S$2), Охрана!$B$6:$M$14)), "-")</f>
        <v>4900</v>
      </c>
      <c r="Q13" s="38"/>
      <c r="R13" s="71"/>
      <c r="AB13" s="5"/>
    </row>
    <row r="14" spans="1:28" ht="30.75" thickBot="1" x14ac:dyDescent="0.3">
      <c r="A14" s="214" t="s">
        <v>14</v>
      </c>
      <c r="B14" s="290" t="s">
        <v>14</v>
      </c>
      <c r="C14" s="63" t="s">
        <v>43</v>
      </c>
      <c r="D14" s="64" t="s">
        <v>45</v>
      </c>
      <c r="E14" s="148" t="str" cm="1">
        <f t="array" ref="E14">IFERROR(_xlfn.XLOOKUP(1, (Фрахт!$A$5:$A$80 = $A14)* (Фрахт!$B$5:$B$80 = $C14) * (Фрахт!$C$5:$C$80 =$D14),  _xlfn.XLOOKUP(1,  (Фрахт!$D$4:$E$4 = E$2) * 1, Фрахт!$D$5:$E$80)) *  $S$1, "-")</f>
        <v>-</v>
      </c>
      <c r="F14" s="148" t="str" cm="1">
        <f t="array" ref="F14">IFERROR(_xlfn.XLOOKUP(1, (Фрахт!$A$5:$A$80 = $A14)* (Фрахт!$B$5:$B$80 = $C14) * (Фрахт!$C$5:$C$80 =$D14),  _xlfn.XLOOKUP(1,  (Фрахт!$D$4:$E$4 = F$2) * 1, Фрахт!$D$5:$E$80)) *  $S$1, "-")</f>
        <v>-</v>
      </c>
      <c r="G14" s="148" cm="1">
        <f t="array" aca="1" ref="G14" ca="1">IFERROR(_xlfn.XLOOKUP(1,  ('Drop off'!$A$6:$A$14 = $C14) * 1,  _xlfn.XLOOKUP(1,  ('Drop off'!$B$5:$I$5 = G$2) * ('Drop off'!$B$4:$I$4 = $S$2), 'Drop off'!$B$6:$I$14)) * $S$1, "-")</f>
        <v>0</v>
      </c>
      <c r="H14" s="148" cm="1">
        <f t="array" aca="1" ref="H14" ca="1">IFERROR(_xlfn.XLOOKUP(1,  ('Drop off'!$A$6:$A$14 = $C14) * 1,  _xlfn.XLOOKUP(1,  ('Drop off'!$B$5:$I$5 = H$2) * ('Drop off'!$B$4:$I$4 = $S$2), 'Drop off'!$B$6:$I$14)) * $S$1, "-")</f>
        <v>0</v>
      </c>
      <c r="I14" s="148" t="str" cm="1">
        <f t="array" aca="1" ref="I14" ca="1">IFERROR(_xlfn.XLOOKUP(1,  ('ж.д.'!$A$6:$A$14 = $D14) * 1,  _xlfn.XLOOKUP(1,  ('ж.д.'!$B$5:$M$5 = I$2) * ('ж.д.'!$B$4:$M$4 = $S$2), 'ж.д.'!$B$6:$M$14)), "-")</f>
        <v>-</v>
      </c>
      <c r="J14" s="148" t="str" cm="1">
        <f t="array" aca="1" ref="J14" ca="1">IFERROR(_xlfn.XLOOKUP(1,  ('ж.д.'!$A$6:$A$14 = $D14) * 1,  _xlfn.XLOOKUP(1,  ('ж.д.'!$B$5:$M$5 = J$2) * ('ж.д.'!$B$4:$M$4 = $S$2), 'ж.д.'!$B$6:$M$14)), "-")</f>
        <v>-</v>
      </c>
      <c r="K14" s="148" t="str" cm="1">
        <f t="array" aca="1" ref="K14" ca="1">IFERROR(_xlfn.XLOOKUP(1,  ('ж.д.'!$A$6:$A$14 = $D14) * 1,  _xlfn.XLOOKUP(1,  ('ж.д.'!$B$5:$M$5 = K$2) * ('ж.д.'!$B$4:$M$4 = $S$2), 'ж.д.'!$B$6:$M$14)), "-")</f>
        <v>-</v>
      </c>
      <c r="L14" s="148" cm="1">
        <f t="array" aca="1" ref="L14" ca="1">IF(ISNUMBER(SEARCH("Транс",$C14)),_xlfn.XLOOKUP(1,('Фрахт Транс'!$A$5:$A$10=$D14)*1,_xlfn.XLOOKUP(1,('Фрахт Транс'!$B$3:$M$3 = $S$2)*('Фрахт Транс'!$B$4:$M$4=L$2),'Фрахт Транс'!$B$5:$M$10)),SUM($E14, $G14, $I14, $O14))</f>
        <v>332367</v>
      </c>
      <c r="M14" s="148" cm="1">
        <f t="array" aca="1" ref="M14" ca="1">IF(ISNUMBER(SEARCH("Транс",$C14)),_xlfn.XLOOKUP(1,('Фрахт Транс'!$A$5:$A$10=$D14)*1,_xlfn.XLOOKUP(1,('Фрахт Транс'!$B$3:$M$3=$S$2)*('Фрахт Транс'!$B$4:$M$4=M$2),'Фрахт Транс'!$B$5:$M$10)),SUM($E14, $G14, $J14, $O14))</f>
        <v>346272</v>
      </c>
      <c r="N14" s="148" cm="1">
        <f t="array" aca="1" ref="N14" ca="1">IF(ISNUMBER(SEARCH("Транс",$C14)),_xlfn.XLOOKUP(1,('Фрахт Транс'!$A$5:$A$10=$D14)*1,_xlfn.XLOOKUP(1,('Фрахт Транс'!$B$3:$M$3=$S$2)*('Фрахт Транс'!$B$4:$M$4=N$2),'Фрахт Транс'!$B$5:$M$10)),SUM($F14, $H14, $K14, $P14))</f>
        <v>478026</v>
      </c>
      <c r="O14" s="148" t="str" cm="1">
        <f t="array" aca="1" ref="O14" ca="1">IFERROR(_xlfn.XLOOKUP(1,  (Охрана!$A$6:$A$14 = $D14) * 1,  _xlfn.XLOOKUP(1,  (Охрана!$B$5:$M$5 = O$2) * (Охрана!$B$4:$M$4 = $S$2), Охрана!$B$6:$M$14)), "-")</f>
        <v>-</v>
      </c>
      <c r="P14" s="230" t="str" cm="1">
        <f t="array" aca="1" ref="P14" ca="1">IFERROR(_xlfn.XLOOKUP(1,  (Охрана!$A$6:$A$14 = $D14) * 1,  _xlfn.XLOOKUP(1,  (Охрана!$B$5:$M$5 = P$2) * (Охрана!$B$4:$M$4 = $S$2), Охрана!$B$6:$M$14)), "-")</f>
        <v>-</v>
      </c>
      <c r="Q14" s="38"/>
      <c r="R14" s="6"/>
      <c r="AB14" s="5"/>
    </row>
    <row r="15" spans="1:28" ht="15.75" customHeight="1" thickBot="1" x14ac:dyDescent="0.3">
      <c r="A15" s="214" t="s">
        <v>14</v>
      </c>
      <c r="B15" s="291"/>
      <c r="C15" s="42" t="s">
        <v>12</v>
      </c>
      <c r="D15" s="32" t="s">
        <v>30</v>
      </c>
      <c r="E15" s="149" cm="1">
        <f t="array" ref="E15">IFERROR(_xlfn.XLOOKUP(1, (Фрахт!$A$5:$A$80 = $A15)* (Фрахт!$B$5:$B$80 = $C15) * (Фрахт!$C$5:$C$80 =$D15),  _xlfn.XLOOKUP(1,  (Фрахт!$D$4:$E$4 = E$2) * 1, Фрахт!$D$5:$E$80)) *  $S$1, "-")</f>
        <v>330000</v>
      </c>
      <c r="F15" s="149" cm="1">
        <f t="array" ref="F15">IFERROR(_xlfn.XLOOKUP(1, (Фрахт!$A$5:$A$80 = $A15)* (Фрахт!$B$5:$B$80 = $C15) * (Фрахт!$C$5:$C$80 =$D15),  _xlfn.XLOOKUP(1,  (Фрахт!$D$4:$E$4 = F$2) * 1, Фрахт!$D$5:$E$80)) *  $S$1, "-")</f>
        <v>450000</v>
      </c>
      <c r="G15" s="149" cm="1">
        <f t="array" aca="1" ref="G15" ca="1">IFERROR(_xlfn.XLOOKUP(1,  ('Drop off'!$A$6:$A$14 = $C15) * 1,  _xlfn.XLOOKUP(1,  ('Drop off'!$B$5:$I$5 = G$2) * ('Drop off'!$B$4:$I$4 = $S$2), 'Drop off'!$B$6:$I$14)) * $S$1, "-")</f>
        <v>0</v>
      </c>
      <c r="H15" s="149" cm="1">
        <f t="array" aca="1" ref="H15" ca="1">IFERROR(_xlfn.XLOOKUP(1,  ('Drop off'!$A$6:$A$14 = $C15) * 1,  _xlfn.XLOOKUP(1,  ('Drop off'!$B$5:$I$5 = H$2) * ('Drop off'!$B$4:$I$4 = $S$2), 'Drop off'!$B$6:$I$14)) * $S$1, "-")</f>
        <v>0</v>
      </c>
      <c r="I15" s="149" cm="1">
        <f t="array" aca="1" ref="I15" ca="1">IFERROR(_xlfn.XLOOKUP(1,  ('ж.д.'!$A$6:$A$14 = $D15) * 1,  _xlfn.XLOOKUP(1,  ('ж.д.'!$B$5:$M$5 = I$2) * ('ж.д.'!$B$4:$M$4 = $S$2), 'ж.д.'!$B$6:$M$14)), "-")</f>
        <v>93100</v>
      </c>
      <c r="J15" s="149" cm="1">
        <f t="array" aca="1" ref="J15" ca="1">IFERROR(_xlfn.XLOOKUP(1,  ('ж.д.'!$A$6:$A$14 = $D15) * 1,  _xlfn.XLOOKUP(1,  ('ж.д.'!$B$5:$M$5 = J$2) * ('ж.д.'!$B$4:$M$4 = $S$2), 'ж.д.'!$B$6:$M$14)), "-")</f>
        <v>104115</v>
      </c>
      <c r="K15" s="149" cm="1">
        <f t="array" aca="1" ref="K15" ca="1">IFERROR(_xlfn.XLOOKUP(1,  ('ж.д.'!$A$6:$A$14 = $D15) * 1,  _xlfn.XLOOKUP(1,  ('ж.д.'!$B$5:$M$5 = K$2) * ('ж.д.'!$B$4:$M$4 = $S$2), 'ж.д.'!$B$6:$M$14)), "-")</f>
        <v>168000</v>
      </c>
      <c r="L15" s="149" cm="1">
        <f t="array" aca="1" ref="L15" ca="1">IF(ISNUMBER(SEARCH("Транс",$C15)),_xlfn.XLOOKUP(1,('Фрахт Транс'!$A$5:$A$10=$D15)*1,_xlfn.XLOOKUP(1,('Фрахт Транс'!$B$3:$M$3 = $S$2)*('Фрахт Транс'!$B$4:$M$4=L$2),'Фрахт Транс'!$B$5:$M$10)),SUM($E15, $G15, $I15, $O15))</f>
        <v>425840</v>
      </c>
      <c r="M15" s="149" cm="1">
        <f t="array" aca="1" ref="M15" ca="1">IF(ISNUMBER(SEARCH("Транс",$C15)),_xlfn.XLOOKUP(1,('Фрахт Транс'!$A$5:$A$10=$D15)*1,_xlfn.XLOOKUP(1,('Фрахт Транс'!$B$3:$M$3=$S$2)*('Фрахт Транс'!$B$4:$M$4=M$2),'Фрахт Транс'!$B$5:$M$10)),SUM($E15, $G15, $J15, $O15))</f>
        <v>436855</v>
      </c>
      <c r="N15" s="149" cm="1">
        <f t="array" aca="1" ref="N15" ca="1">IF(ISNUMBER(SEARCH("Транс",$C15)),_xlfn.XLOOKUP(1,('Фрахт Транс'!$A$5:$A$10=$D15)*1,_xlfn.XLOOKUP(1,('Фрахт Транс'!$B$3:$M$3=$S$2)*('Фрахт Транс'!$B$4:$M$4=N$2),'Фрахт Транс'!$B$5:$M$10)),SUM($F15, $H15, $K15, $P15))</f>
        <v>622829</v>
      </c>
      <c r="O15" s="149" cm="1">
        <f t="array" aca="1" ref="O15" ca="1">IFERROR(_xlfn.XLOOKUP(1,  (Охрана!$A$6:$A$14 = $D15) * 1,  _xlfn.XLOOKUP(1,  (Охрана!$B$5:$M$5 = O$2) * (Охрана!$B$4:$M$4 = $S$2), Охрана!$B$6:$M$14)), "-")</f>
        <v>2740</v>
      </c>
      <c r="P15" s="194" cm="1">
        <f t="array" aca="1" ref="P15" ca="1">IFERROR(_xlfn.XLOOKUP(1,  (Охрана!$A$6:$A$14 = $D15) * 1,  _xlfn.XLOOKUP(1,  (Охрана!$B$5:$M$5 = P$2) * (Охрана!$B$4:$M$4 = $S$2), Охрана!$B$6:$M$14)), "-")</f>
        <v>4829</v>
      </c>
      <c r="Q15" s="282"/>
      <c r="R15" s="91"/>
      <c r="AB15" s="5"/>
    </row>
    <row r="16" spans="1:28" ht="15.75" customHeight="1" thickBot="1" x14ac:dyDescent="0.3">
      <c r="A16" s="214" t="s">
        <v>14</v>
      </c>
      <c r="B16" s="291"/>
      <c r="C16" s="42" t="s">
        <v>12</v>
      </c>
      <c r="D16" s="32" t="s">
        <v>55</v>
      </c>
      <c r="E16" s="149" cm="1">
        <f t="array" ref="E16">IFERROR(_xlfn.XLOOKUP(1, (Фрахт!$A$5:$A$80 = $A16)* (Фрахт!$B$5:$B$80 = $C16) * (Фрахт!$C$5:$C$80 =$D16),  _xlfn.XLOOKUP(1,  (Фрахт!$D$4:$E$4 = E$2) * 1, Фрахт!$D$5:$E$80)) *  $S$1, "-")</f>
        <v>330000</v>
      </c>
      <c r="F16" s="149" cm="1">
        <f t="array" ref="F16">IFERROR(_xlfn.XLOOKUP(1, (Фрахт!$A$5:$A$80 = $A16)* (Фрахт!$B$5:$B$80 = $C16) * (Фрахт!$C$5:$C$80 =$D16),  _xlfn.XLOOKUP(1,  (Фрахт!$D$4:$E$4 = F$2) * 1, Фрахт!$D$5:$E$80)) *  $S$1, "-")</f>
        <v>450000</v>
      </c>
      <c r="G16" s="149" cm="1">
        <f t="array" aca="1" ref="G16" ca="1">IFERROR(_xlfn.XLOOKUP(1,  ('Drop off'!$A$6:$A$14 = $C16) * 1,  _xlfn.XLOOKUP(1,  ('Drop off'!$B$5:$I$5 = G$2) * ('Drop off'!$B$4:$I$4 = $S$2), 'Drop off'!$B$6:$I$14)) * $S$1, "-")</f>
        <v>0</v>
      </c>
      <c r="H16" s="149" cm="1">
        <f t="array" aca="1" ref="H16" ca="1">IFERROR(_xlfn.XLOOKUP(1,  ('Drop off'!$A$6:$A$14 = $C16) * 1,  _xlfn.XLOOKUP(1,  ('Drop off'!$B$5:$I$5 = H$2) * ('Drop off'!$B$4:$I$4 = $S$2), 'Drop off'!$B$6:$I$14)) * $S$1, "-")</f>
        <v>0</v>
      </c>
      <c r="I16" s="149" cm="1">
        <f t="array" aca="1" ref="I16" ca="1">IFERROR(_xlfn.XLOOKUP(1,  ('ж.д.'!$A$6:$A$14 = $D16) * 1,  _xlfn.XLOOKUP(1,  ('ж.д.'!$B$5:$M$5 = I$2) * ('ж.д.'!$B$4:$M$4 = $S$2), 'ж.д.'!$B$6:$M$14)), "-")</f>
        <v>97945</v>
      </c>
      <c r="J16" s="149" cm="1">
        <f t="array" aca="1" ref="J16" ca="1">IFERROR(_xlfn.XLOOKUP(1,  ('ж.д.'!$A$6:$A$14 = $D16) * 1,  _xlfn.XLOOKUP(1,  ('ж.д.'!$B$5:$M$5 = J$2) * ('ж.д.'!$B$4:$M$4 = $S$2), 'ж.д.'!$B$6:$M$14)), "-")</f>
        <v>111625</v>
      </c>
      <c r="K16" s="149" cm="1">
        <f t="array" aca="1" ref="K16" ca="1">IFERROR(_xlfn.XLOOKUP(1,  ('ж.д.'!$A$6:$A$14 = $D16) * 1,  _xlfn.XLOOKUP(1,  ('ж.д.'!$B$5:$M$5 = K$2) * ('ж.д.'!$B$4:$M$4 = $S$2), 'ж.д.'!$B$6:$M$14)), "-")</f>
        <v>177245</v>
      </c>
      <c r="L16" s="149" cm="1">
        <f t="array" aca="1" ref="L16" ca="1">IF(ISNUMBER(SEARCH("Транс",$C16)),_xlfn.XLOOKUP(1,('Фрахт Транс'!$A$5:$A$10=$D16)*1,_xlfn.XLOOKUP(1,('Фрахт Транс'!$B$3:$M$3 = $S$2)*('Фрахт Транс'!$B$4:$M$4=L$2),'Фрахт Транс'!$B$5:$M$10)),SUM($E16, $G16, $I16, $O16))</f>
        <v>430685</v>
      </c>
      <c r="M16" s="149" cm="1">
        <f t="array" aca="1" ref="M16" ca="1">IF(ISNUMBER(SEARCH("Транс",$C16)),_xlfn.XLOOKUP(1,('Фрахт Транс'!$A$5:$A$10=$D16)*1,_xlfn.XLOOKUP(1,('Фрахт Транс'!$B$3:$M$3=$S$2)*('Фрахт Транс'!$B$4:$M$4=M$2),'Фрахт Транс'!$B$5:$M$10)),SUM($E16, $G16, $J16, $O16))</f>
        <v>444365</v>
      </c>
      <c r="N16" s="149" cm="1">
        <f t="array" aca="1" ref="N16" ca="1">IF(ISNUMBER(SEARCH("Транс",$C16)),_xlfn.XLOOKUP(1,('Фрахт Транс'!$A$5:$A$10=$D16)*1,_xlfn.XLOOKUP(1,('Фрахт Транс'!$B$3:$M$3=$S$2)*('Фрахт Транс'!$B$4:$M$4=N$2),'Фрахт Транс'!$B$5:$M$10)),SUM($F16, $H16, $K16, $P16))</f>
        <v>632074</v>
      </c>
      <c r="O16" s="149" cm="1">
        <f t="array" aca="1" ref="O16" ca="1">IFERROR(_xlfn.XLOOKUP(1,  (Охрана!$A$6:$A$14 = $D16) * 1,  _xlfn.XLOOKUP(1,  (Охрана!$B$5:$M$5 = O$2) * (Охрана!$B$4:$M$4 = $S$2), Охрана!$B$6:$M$14)), "-")</f>
        <v>2740</v>
      </c>
      <c r="P16" s="194" cm="1">
        <f t="array" aca="1" ref="P16" ca="1">IFERROR(_xlfn.XLOOKUP(1,  (Охрана!$A$6:$A$14 = $D16) * 1,  _xlfn.XLOOKUP(1,  (Охрана!$B$5:$M$5 = P$2) * (Охрана!$B$4:$M$4 = $S$2), Охрана!$B$6:$M$14)), "-")</f>
        <v>4829</v>
      </c>
      <c r="Q16" s="282"/>
      <c r="R16" s="3"/>
      <c r="AB16" s="5"/>
    </row>
    <row r="17" spans="1:28" ht="15.75" customHeight="1" thickBot="1" x14ac:dyDescent="0.3">
      <c r="A17" s="214" t="s">
        <v>14</v>
      </c>
      <c r="B17" s="291"/>
      <c r="C17" s="41" t="s">
        <v>35</v>
      </c>
      <c r="D17" s="40" t="s">
        <v>11</v>
      </c>
      <c r="E17" s="150" cm="1">
        <f t="array" ref="E17">IFERROR(_xlfn.XLOOKUP(1, (Фрахт!$A$5:$A$80 = $A17)* (Фрахт!$B$5:$B$80 = $C17) * (Фрахт!$C$5:$C$80 =$D17),  _xlfn.XLOOKUP(1,  (Фрахт!$D$4:$E$4 = E$2) * 1, Фрахт!$D$5:$E$80)) *  $S$1, "-")</f>
        <v>283500</v>
      </c>
      <c r="F17" s="150" cm="1">
        <f t="array" ref="F17">IFERROR(_xlfn.XLOOKUP(1, (Фрахт!$A$5:$A$80 = $A17)* (Фрахт!$B$5:$B$80 = $C17) * (Фрахт!$C$5:$C$80 =$D17),  _xlfn.XLOOKUP(1,  (Фрахт!$D$4:$E$4 = F$2) * 1, Фрахт!$D$5:$E$80)) *  $S$1, "-")</f>
        <v>472500</v>
      </c>
      <c r="G17" s="150" cm="1">
        <f t="array" aca="1" ref="G17" ca="1">IFERROR(_xlfn.XLOOKUP(1,  ('Drop off'!$A$6:$A$14 = $C17) * 1,  _xlfn.XLOOKUP(1,  ('Drop off'!$B$5:$I$5 = G$2) * ('Drop off'!$B$4:$I$4 = $S$2), 'Drop off'!$B$6:$I$14)) * $S$1, "-")</f>
        <v>56700</v>
      </c>
      <c r="H17" s="150" cm="1">
        <f t="array" aca="1" ref="H17" ca="1">IFERROR(_xlfn.XLOOKUP(1,  ('Drop off'!$A$6:$A$14 = $C17) * 1,  _xlfn.XLOOKUP(1,  ('Drop off'!$B$5:$I$5 = H$2) * ('Drop off'!$B$4:$I$4 = $S$2), 'Drop off'!$B$6:$I$14)) * $S$1, "-")</f>
        <v>37800</v>
      </c>
      <c r="I17" s="150" cm="1">
        <f t="array" aca="1" ref="I17" ca="1">IFERROR(_xlfn.XLOOKUP(1,  ('ж.д.'!$A$6:$A$14 = $D17) * 1,  _xlfn.XLOOKUP(1,  ('ж.д.'!$B$5:$M$5 = I$2) * ('ж.д.'!$B$4:$M$4 = $S$2), 'ж.д.'!$B$6:$M$14)), "-")</f>
        <v>99200</v>
      </c>
      <c r="J17" s="150" cm="1">
        <f t="array" aca="1" ref="J17" ca="1">IFERROR(_xlfn.XLOOKUP(1,  ('ж.д.'!$A$6:$A$14 = $D17) * 1,  _xlfn.XLOOKUP(1,  ('ж.д.'!$B$5:$M$5 = J$2) * ('ж.д.'!$B$4:$M$4 = $S$2), 'ж.д.'!$B$6:$M$14)), "-")</f>
        <v>113100</v>
      </c>
      <c r="K17" s="150" cm="1">
        <f t="array" aca="1" ref="K17" ca="1">IFERROR(_xlfn.XLOOKUP(1,  ('ж.д.'!$A$6:$A$14 = $D17) * 1,  _xlfn.XLOOKUP(1,  ('ж.д.'!$B$5:$M$5 = K$2) * ('ж.д.'!$B$4:$M$4 = $S$2), 'ж.д.'!$B$6:$M$14)), "-")</f>
        <v>176500</v>
      </c>
      <c r="L17" s="150" cm="1">
        <f t="array" aca="1" ref="L17" ca="1">IF(ISNUMBER(SEARCH("Транс",$C17)),_xlfn.XLOOKUP(1,('Фрахт Транс'!$A$5:$A$10=$D17)*1,_xlfn.XLOOKUP(1,('Фрахт Транс'!$B$3:$M$3 = $S$2)*('Фрахт Транс'!$B$4:$M$4=L$2),'Фрахт Транс'!$B$5:$M$10)),SUM($E17, $G17, $I17, $O17))</f>
        <v>441540</v>
      </c>
      <c r="M17" s="150" cm="1">
        <f t="array" aca="1" ref="M17" ca="1">IF(ISNUMBER(SEARCH("Транс",$C17)),_xlfn.XLOOKUP(1,('Фрахт Транс'!$A$5:$A$10=$D17)*1,_xlfn.XLOOKUP(1,('Фрахт Транс'!$B$3:$M$3=$S$2)*('Фрахт Транс'!$B$4:$M$4=M$2),'Фрахт Транс'!$B$5:$M$10)),SUM($E17, $G17, $J17, $O17))</f>
        <v>455440</v>
      </c>
      <c r="N17" s="150" cm="1">
        <f t="array" aca="1" ref="N17" ca="1">IF(ISNUMBER(SEARCH("Транс",$C17)),_xlfn.XLOOKUP(1,('Фрахт Транс'!$A$5:$A$10=$D17)*1,_xlfn.XLOOKUP(1,('Фрахт Транс'!$B$3:$M$3=$S$2)*('Фрахт Транс'!$B$4:$M$4=N$2),'Фрахт Транс'!$B$5:$M$10)),SUM($F17, $H17, $K17, $P17))</f>
        <v>691227</v>
      </c>
      <c r="O17" s="150" cm="1">
        <f t="array" aca="1" ref="O17" ca="1">IFERROR(_xlfn.XLOOKUP(1,  (Охрана!$A$6:$A$14 = $D17) * 1,  _xlfn.XLOOKUP(1,  (Охрана!$B$5:$M$5 = O$2) * (Охрана!$B$4:$M$4 = $S$2), Охрана!$B$6:$M$14)), "-")</f>
        <v>2140</v>
      </c>
      <c r="P17" s="195" cm="1">
        <f t="array" aca="1" ref="P17" ca="1">IFERROR(_xlfn.XLOOKUP(1,  (Охрана!$A$6:$A$14 = $D17) * 1,  _xlfn.XLOOKUP(1,  (Охрана!$B$5:$M$5 = P$2) * (Охрана!$B$4:$M$4 = $S$2), Охрана!$B$6:$M$14)), "-")</f>
        <v>4427</v>
      </c>
      <c r="Q17" s="286"/>
      <c r="R17" s="4"/>
      <c r="AB17" s="5"/>
    </row>
    <row r="18" spans="1:28" ht="15.75" customHeight="1" thickBot="1" x14ac:dyDescent="0.3">
      <c r="A18" s="214" t="s">
        <v>14</v>
      </c>
      <c r="B18" s="291"/>
      <c r="C18" s="41" t="s">
        <v>35</v>
      </c>
      <c r="D18" s="40" t="s">
        <v>34</v>
      </c>
      <c r="E18" s="150" cm="1">
        <f t="array" ref="E18">IFERROR(_xlfn.XLOOKUP(1, (Фрахт!$A$5:$A$80 = $A18)* (Фрахт!$B$5:$B$80 = $C18) * (Фрахт!$C$5:$C$80 =$D18),  _xlfn.XLOOKUP(1,  (Фрахт!$D$4:$E$4 = E$2) * 1, Фрахт!$D$5:$E$80)) *  $S$1, "-")</f>
        <v>283500</v>
      </c>
      <c r="F18" s="150" cm="1">
        <f t="array" ref="F18">IFERROR(_xlfn.XLOOKUP(1, (Фрахт!$A$5:$A$80 = $A18)* (Фрахт!$B$5:$B$80 = $C18) * (Фрахт!$C$5:$C$80 =$D18),  _xlfn.XLOOKUP(1,  (Фрахт!$D$4:$E$4 = F$2) * 1, Фрахт!$D$5:$E$80)) *  $S$1, "-")</f>
        <v>472500</v>
      </c>
      <c r="G18" s="150" cm="1">
        <f t="array" aca="1" ref="G18" ca="1">IFERROR(_xlfn.XLOOKUP(1,  ('Drop off'!$A$6:$A$14 = $C18) * 1,  _xlfn.XLOOKUP(1,  ('Drop off'!$B$5:$I$5 = G$2) * ('Drop off'!$B$4:$I$4 = $S$2), 'Drop off'!$B$6:$I$14)) * $S$1, "-")</f>
        <v>56700</v>
      </c>
      <c r="H18" s="150" cm="1">
        <f t="array" aca="1" ref="H18" ca="1">IFERROR(_xlfn.XLOOKUP(1,  ('Drop off'!$A$6:$A$14 = $C18) * 1,  _xlfn.XLOOKUP(1,  ('Drop off'!$B$5:$I$5 = H$2) * ('Drop off'!$B$4:$I$4 = $S$2), 'Drop off'!$B$6:$I$14)) * $S$1, "-")</f>
        <v>37800</v>
      </c>
      <c r="I18" s="150" cm="1">
        <f t="array" aca="1" ref="I18" ca="1">IFERROR(_xlfn.XLOOKUP(1,  ('ж.д.'!$A$6:$A$14 = $D18) * 1,  _xlfn.XLOOKUP(1,  ('ж.д.'!$B$5:$M$5 = I$2) * ('ж.д.'!$B$4:$M$4 = $S$2), 'ж.д.'!$B$6:$M$14)), "-")</f>
        <v>103900</v>
      </c>
      <c r="J18" s="150" cm="1">
        <f t="array" aca="1" ref="J18" ca="1">IFERROR(_xlfn.XLOOKUP(1,  ('ж.д.'!$A$6:$A$14 = $D18) * 1,  _xlfn.XLOOKUP(1,  ('ж.д.'!$B$5:$M$5 = J$2) * ('ж.д.'!$B$4:$M$4 = $S$2), 'ж.д.'!$B$6:$M$14)), "-")</f>
        <v>114900</v>
      </c>
      <c r="K18" s="150" cm="1">
        <f t="array" aca="1" ref="K18" ca="1">IFERROR(_xlfn.XLOOKUP(1,  ('ж.д.'!$A$6:$A$14 = $D18) * 1,  _xlfn.XLOOKUP(1,  ('ж.д.'!$B$5:$M$5 = K$2) * ('ж.д.'!$B$4:$M$4 = $S$2), 'ж.д.'!$B$6:$M$14)), "-")</f>
        <v>182400</v>
      </c>
      <c r="L18" s="150" cm="1">
        <f t="array" aca="1" ref="L18" ca="1">IF(ISNUMBER(SEARCH("Транс",$C18)),_xlfn.XLOOKUP(1,('Фрахт Транс'!$A$5:$A$10=$D18)*1,_xlfn.XLOOKUP(1,('Фрахт Транс'!$B$3:$M$3 = $S$2)*('Фрахт Транс'!$B$4:$M$4=L$2),'Фрахт Транс'!$B$5:$M$10)),SUM($E18, $G18, $I18, $O18))</f>
        <v>446090</v>
      </c>
      <c r="M18" s="150" cm="1">
        <f t="array" aca="1" ref="M18" ca="1">IF(ISNUMBER(SEARCH("Транс",$C18)),_xlfn.XLOOKUP(1,('Фрахт Транс'!$A$5:$A$10=$D18)*1,_xlfn.XLOOKUP(1,('Фрахт Транс'!$B$3:$M$3=$S$2)*('Фрахт Транс'!$B$4:$M$4=M$2),'Фрахт Транс'!$B$5:$M$10)),SUM($E18, $G18, $J18, $O18))</f>
        <v>457090</v>
      </c>
      <c r="N18" s="150" cm="1">
        <f t="array" aca="1" ref="N18" ca="1">IF(ISNUMBER(SEARCH("Транс",$C18)),_xlfn.XLOOKUP(1,('Фрахт Транс'!$A$5:$A$10=$D18)*1,_xlfn.XLOOKUP(1,('Фрахт Транс'!$B$3:$M$3=$S$2)*('Фрахт Транс'!$B$4:$M$4=N$2),'Фрахт Транс'!$B$5:$M$10)),SUM($F18, $H18, $K18, $P18))</f>
        <v>696779</v>
      </c>
      <c r="O18" s="150" cm="1">
        <f t="array" aca="1" ref="O18" ca="1">IFERROR(_xlfn.XLOOKUP(1,  (Охрана!$A$6:$A$14 = $D18) * 1,  _xlfn.XLOOKUP(1,  (Охрана!$B$5:$M$5 = O$2) * (Охрана!$B$4:$M$4 = $S$2), Охрана!$B$6:$M$14)), "-")</f>
        <v>1990</v>
      </c>
      <c r="P18" s="195" cm="1">
        <f t="array" aca="1" ref="P18" ca="1">IFERROR(_xlfn.XLOOKUP(1,  (Охрана!$A$6:$A$14 = $D18) * 1,  _xlfn.XLOOKUP(1,  (Охрана!$B$5:$M$5 = P$2) * (Охрана!$B$4:$M$4 = $S$2), Охрана!$B$6:$M$14)), "-")</f>
        <v>4079</v>
      </c>
      <c r="Q18" s="286"/>
      <c r="R18" s="4"/>
      <c r="AB18" s="5"/>
    </row>
    <row r="19" spans="1:28" ht="15.75" customHeight="1" thickBot="1" x14ac:dyDescent="0.3">
      <c r="A19" s="214" t="s">
        <v>14</v>
      </c>
      <c r="B19" s="291"/>
      <c r="C19" s="41" t="s">
        <v>35</v>
      </c>
      <c r="D19" s="40" t="s">
        <v>10</v>
      </c>
      <c r="E19" s="150" cm="1">
        <f t="array" ref="E19">IFERROR(_xlfn.XLOOKUP(1, (Фрахт!$A$5:$A$80 = $A19)* (Фрахт!$B$5:$B$80 = $C19) * (Фрахт!$C$5:$C$80 =$D19),  _xlfn.XLOOKUP(1,  (Фрахт!$D$4:$E$4 = E$2) * 1, Фрахт!$D$5:$E$80)) *  $S$1, "-")</f>
        <v>283500</v>
      </c>
      <c r="F19" s="150" cm="1">
        <f t="array" ref="F19">IFERROR(_xlfn.XLOOKUP(1, (Фрахт!$A$5:$A$80 = $A19)* (Фрахт!$B$5:$B$80 = $C19) * (Фрахт!$C$5:$C$80 =$D19),  _xlfn.XLOOKUP(1,  (Фрахт!$D$4:$E$4 = F$2) * 1, Фрахт!$D$5:$E$80)) *  $S$1, "-")</f>
        <v>472500</v>
      </c>
      <c r="G19" s="150" cm="1">
        <f t="array" aca="1" ref="G19" ca="1">IFERROR(_xlfn.XLOOKUP(1,  ('Drop off'!$A$6:$A$14 = $C19) * 1,  _xlfn.XLOOKUP(1,  ('Drop off'!$B$5:$I$5 = G$2) * ('Drop off'!$B$4:$I$4 = $S$2), 'Drop off'!$B$6:$I$14)) * $S$1, "-")</f>
        <v>56700</v>
      </c>
      <c r="H19" s="150" cm="1">
        <f t="array" aca="1" ref="H19" ca="1">IFERROR(_xlfn.XLOOKUP(1,  ('Drop off'!$A$6:$A$14 = $C19) * 1,  _xlfn.XLOOKUP(1,  ('Drop off'!$B$5:$I$5 = H$2) * ('Drop off'!$B$4:$I$4 = $S$2), 'Drop off'!$B$6:$I$14)) * $S$1, "-")</f>
        <v>37800</v>
      </c>
      <c r="I19" s="150" cm="1">
        <f t="array" aca="1" ref="I19" ca="1">IFERROR(_xlfn.XLOOKUP(1,  ('ж.д.'!$A$6:$A$14 = $D19) * 1,  _xlfn.XLOOKUP(1,  ('ж.д.'!$B$5:$M$5 = I$2) * ('ж.д.'!$B$4:$M$4 = $S$2), 'ж.д.'!$B$6:$M$14)), "-")</f>
        <v>103000</v>
      </c>
      <c r="J19" s="150" cm="1">
        <f t="array" aca="1" ref="J19" ca="1">IFERROR(_xlfn.XLOOKUP(1,  ('ж.д.'!$A$6:$A$14 = $D19) * 1,  _xlfn.XLOOKUP(1,  ('ж.д.'!$B$5:$M$5 = J$2) * ('ж.д.'!$B$4:$M$4 = $S$2), 'ж.д.'!$B$6:$M$14)), "-")</f>
        <v>115325</v>
      </c>
      <c r="K19" s="150" cm="1">
        <f t="array" aca="1" ref="K19" ca="1">IFERROR(_xlfn.XLOOKUP(1,  ('ж.д.'!$A$6:$A$14 = $D19) * 1,  _xlfn.XLOOKUP(1,  ('ж.д.'!$B$5:$M$5 = K$2) * ('ж.д.'!$B$4:$M$4 = $S$2), 'ж.д.'!$B$6:$M$14)), "-")</f>
        <v>184000</v>
      </c>
      <c r="L19" s="150" cm="1">
        <f t="array" aca="1" ref="L19" ca="1">IF(ISNUMBER(SEARCH("Транс",$C19)),_xlfn.XLOOKUP(1,('Фрахт Транс'!$A$5:$A$10=$D19)*1,_xlfn.XLOOKUP(1,('Фрахт Транс'!$B$3:$M$3 = $S$2)*('Фрахт Транс'!$B$4:$M$4=L$2),'Фрахт Транс'!$B$5:$M$10)),SUM($E19, $G19, $I19, $O19))</f>
        <v>445940</v>
      </c>
      <c r="M19" s="150" cm="1">
        <f t="array" aca="1" ref="M19" ca="1">IF(ISNUMBER(SEARCH("Транс",$C19)),_xlfn.XLOOKUP(1,('Фрахт Транс'!$A$5:$A$10=$D19)*1,_xlfn.XLOOKUP(1,('Фрахт Транс'!$B$3:$M$3=$S$2)*('Фрахт Транс'!$B$4:$M$4=M$2),'Фрахт Транс'!$B$5:$M$10)),SUM($E19, $G19, $J19, $O19))</f>
        <v>458265</v>
      </c>
      <c r="N19" s="150" cm="1">
        <f t="array" aca="1" ref="N19" ca="1">IF(ISNUMBER(SEARCH("Транс",$C19)),_xlfn.XLOOKUP(1,('Фрахт Транс'!$A$5:$A$10=$D19)*1,_xlfn.XLOOKUP(1,('Фрахт Транс'!$B$3:$M$3=$S$2)*('Фрахт Транс'!$B$4:$M$4=N$2),'Фрахт Транс'!$B$5:$M$10)),SUM($F19, $H19, $K19, $P19))</f>
        <v>699129</v>
      </c>
      <c r="O19" s="150" cm="1">
        <f t="array" aca="1" ref="O19" ca="1">IFERROR(_xlfn.XLOOKUP(1,  (Охрана!$A$6:$A$14 = $D19) * 1,  _xlfn.XLOOKUP(1,  (Охрана!$B$5:$M$5 = O$2) * (Охрана!$B$4:$M$4 = $S$2), Охрана!$B$6:$M$14)), "-")</f>
        <v>2740</v>
      </c>
      <c r="P19" s="195" cm="1">
        <f t="array" aca="1" ref="P19" ca="1">IFERROR(_xlfn.XLOOKUP(1,  (Охрана!$A$6:$A$14 = $D19) * 1,  _xlfn.XLOOKUP(1,  (Охрана!$B$5:$M$5 = P$2) * (Охрана!$B$4:$M$4 = $S$2), Охрана!$B$6:$M$14)), "-")</f>
        <v>4829</v>
      </c>
      <c r="Q19" s="286"/>
      <c r="AB19" s="5"/>
    </row>
    <row r="20" spans="1:28" ht="15.75" customHeight="1" thickBot="1" x14ac:dyDescent="0.3">
      <c r="A20" s="214" t="s">
        <v>14</v>
      </c>
      <c r="B20" s="291"/>
      <c r="C20" s="41" t="s">
        <v>35</v>
      </c>
      <c r="D20" s="40" t="s">
        <v>7</v>
      </c>
      <c r="E20" s="150" cm="1">
        <f t="array" ref="E20">IFERROR(_xlfn.XLOOKUP(1, (Фрахт!$A$5:$A$80 = $A20)* (Фрахт!$B$5:$B$80 = $C20) * (Фрахт!$C$5:$C$80 =$D20),  _xlfn.XLOOKUP(1,  (Фрахт!$D$4:$E$4 = E$2) * 1, Фрахт!$D$5:$E$80)) *  $S$1, "-")</f>
        <v>283500</v>
      </c>
      <c r="F20" s="150" cm="1">
        <f t="array" ref="F20">IFERROR(_xlfn.XLOOKUP(1, (Фрахт!$A$5:$A$80 = $A20)* (Фрахт!$B$5:$B$80 = $C20) * (Фрахт!$C$5:$C$80 =$D20),  _xlfn.XLOOKUP(1,  (Фрахт!$D$4:$E$4 = F$2) * 1, Фрахт!$D$5:$E$80)) *  $S$1, "-")</f>
        <v>472500</v>
      </c>
      <c r="G20" s="150" cm="1">
        <f t="array" aca="1" ref="G20" ca="1">IFERROR(_xlfn.XLOOKUP(1,  ('Drop off'!$A$6:$A$14 = $C20) * 1,  _xlfn.XLOOKUP(1,  ('Drop off'!$B$5:$I$5 = G$2) * ('Drop off'!$B$4:$I$4 = $S$2), 'Drop off'!$B$6:$I$14)) * $S$1, "-")</f>
        <v>56700</v>
      </c>
      <c r="H20" s="150" cm="1">
        <f t="array" aca="1" ref="H20" ca="1">IFERROR(_xlfn.XLOOKUP(1,  ('Drop off'!$A$6:$A$14 = $C20) * 1,  _xlfn.XLOOKUP(1,  ('Drop off'!$B$5:$I$5 = H$2) * ('Drop off'!$B$4:$I$4 = $S$2), 'Drop off'!$B$6:$I$14)) * $S$1, "-")</f>
        <v>37800</v>
      </c>
      <c r="I20" s="150" cm="1">
        <f t="array" aca="1" ref="I20" ca="1">IFERROR(_xlfn.XLOOKUP(1,  ('ж.д.'!$A$6:$A$14 = $D20) * 1,  _xlfn.XLOOKUP(1,  ('ж.д.'!$B$5:$M$5 = I$2) * ('ж.д.'!$B$4:$M$4 = $S$2), 'ж.д.'!$B$6:$M$14)), "-")</f>
        <v>101000</v>
      </c>
      <c r="J20" s="150" cm="1">
        <f t="array" aca="1" ref="J20" ca="1">IFERROR(_xlfn.XLOOKUP(1,  ('ж.д.'!$A$6:$A$14 = $D20) * 1,  _xlfn.XLOOKUP(1,  ('ж.д.'!$B$5:$M$5 = J$2) * ('ж.д.'!$B$4:$M$4 = $S$2), 'ж.д.'!$B$6:$M$14)), "-")</f>
        <v>115000</v>
      </c>
      <c r="K20" s="150" cm="1">
        <f t="array" aca="1" ref="K20" ca="1">IFERROR(_xlfn.XLOOKUP(1,  ('ж.д.'!$A$6:$A$14 = $D20) * 1,  _xlfn.XLOOKUP(1,  ('ж.д.'!$B$5:$M$5 = K$2) * ('ж.д.'!$B$4:$M$4 = $S$2), 'ж.д.'!$B$6:$M$14)), "-")</f>
        <v>175000</v>
      </c>
      <c r="L20" s="150" cm="1">
        <f t="array" aca="1" ref="L20" ca="1">IF(ISNUMBER(SEARCH("Транс",$C20)),_xlfn.XLOOKUP(1,('Фрахт Транс'!$A$5:$A$10=$D20)*1,_xlfn.XLOOKUP(1,('Фрахт Транс'!$B$3:$M$3 = $S$2)*('Фрахт Транс'!$B$4:$M$4=L$2),'Фрахт Транс'!$B$5:$M$10)),SUM($E20, $G20, $I20, $O20))</f>
        <v>443600</v>
      </c>
      <c r="M20" s="150" cm="1">
        <f t="array" aca="1" ref="M20" ca="1">IF(ISNUMBER(SEARCH("Транс",$C20)),_xlfn.XLOOKUP(1,('Фрахт Транс'!$A$5:$A$10=$D20)*1,_xlfn.XLOOKUP(1,('Фрахт Транс'!$B$3:$M$3=$S$2)*('Фрахт Транс'!$B$4:$M$4=M$2),'Фрахт Транс'!$B$5:$M$10)),SUM($E20, $G20, $J20, $O20))</f>
        <v>457600</v>
      </c>
      <c r="N20" s="150" cm="1">
        <f t="array" aca="1" ref="N20" ca="1">IF(ISNUMBER(SEARCH("Транс",$C20)),_xlfn.XLOOKUP(1,('Фрахт Транс'!$A$5:$A$10=$D20)*1,_xlfn.XLOOKUP(1,('Фрахт Транс'!$B$3:$M$3=$S$2)*('Фрахт Транс'!$B$4:$M$4=N$2),'Фрахт Транс'!$B$5:$M$10)),SUM($F20, $H20, $K20, $P20))</f>
        <v>690200</v>
      </c>
      <c r="O20" s="150" cm="1">
        <f t="array" aca="1" ref="O20" ca="1">IFERROR(_xlfn.XLOOKUP(1,  (Охрана!$A$6:$A$14 = $D20) * 1,  _xlfn.XLOOKUP(1,  (Охрана!$B$5:$M$5 = O$2) * (Охрана!$B$4:$M$4 = $S$2), Охрана!$B$6:$M$14)), "-")</f>
        <v>2400</v>
      </c>
      <c r="P20" s="195" cm="1">
        <f t="array" aca="1" ref="P20" ca="1">IFERROR(_xlfn.XLOOKUP(1,  (Охрана!$A$6:$A$14 = $D20) * 1,  _xlfn.XLOOKUP(1,  (Охрана!$B$5:$M$5 = P$2) * (Охрана!$B$4:$M$4 = $S$2), Охрана!$B$6:$M$14)), "-")</f>
        <v>4900</v>
      </c>
      <c r="Q20" s="286"/>
      <c r="R20" s="4"/>
      <c r="AB20" s="5"/>
    </row>
    <row r="21" spans="1:28" ht="15.75" customHeight="1" thickBot="1" x14ac:dyDescent="0.3">
      <c r="A21" s="214" t="s">
        <v>14</v>
      </c>
      <c r="B21" s="291"/>
      <c r="C21" s="50" t="s">
        <v>40</v>
      </c>
      <c r="D21" s="50" t="s">
        <v>21</v>
      </c>
      <c r="E21" s="151" cm="1">
        <f t="array" ref="E21">IFERROR(_xlfn.XLOOKUP(1, (Фрахт!$A$5:$A$80 = $A21)* (Фрахт!$B$5:$B$80 = $C21) * (Фрахт!$C$5:$C$80 =$D21),  _xlfn.XLOOKUP(1,  (Фрахт!$D$4:$E$4 = E$2) * 1, Фрахт!$D$5:$E$80)) *  $S$1, "-")</f>
        <v>245160</v>
      </c>
      <c r="F21" s="151" cm="1">
        <f t="array" ref="F21">IFERROR(_xlfn.XLOOKUP(1, (Фрахт!$A$5:$A$80 = $A21)* (Фрахт!$B$5:$B$80 = $C21) * (Фрахт!$C$5:$C$80 =$D21),  _xlfn.XLOOKUP(1,  (Фрахт!$D$4:$E$4 = F$2) * 1, Фрахт!$D$5:$E$80)) *  $S$1, "-")</f>
        <v>412320</v>
      </c>
      <c r="G21" s="151" t="str" cm="1">
        <f t="array" aca="1" ref="G21" ca="1">IFERROR(_xlfn.XLOOKUP(1,  ('Drop off'!$A$6:$A$14 = $C21) * 1,  _xlfn.XLOOKUP(1,  ('Drop off'!$B$5:$I$5 = G$2) * ('Drop off'!$B$4:$I$4 = $S$2), 'Drop off'!$B$6:$I$14)) * $S$1, "-")</f>
        <v>-</v>
      </c>
      <c r="H21" s="151" t="str" cm="1">
        <f t="array" aca="1" ref="H21" ca="1">IFERROR(_xlfn.XLOOKUP(1,  ('Drop off'!$A$6:$A$14 = $C21) * 1,  _xlfn.XLOOKUP(1,  ('Drop off'!$B$5:$I$5 = H$2) * ('Drop off'!$B$4:$I$4 = $S$2), 'Drop off'!$B$6:$I$14)) * $S$1, "-")</f>
        <v>-</v>
      </c>
      <c r="I21" s="151" cm="1">
        <f t="array" aca="1" ref="I21" ca="1">IFERROR(_xlfn.XLOOKUP(1,  ('ж.д.'!$A$6:$A$14 = $D21) * 1,  _xlfn.XLOOKUP(1,  ('ж.д.'!$B$5:$M$5 = I$2) * ('ж.д.'!$B$4:$M$4 = $S$2), 'ж.д.'!$B$6:$M$14)), "-")</f>
        <v>103900</v>
      </c>
      <c r="J21" s="151" cm="1">
        <f t="array" aca="1" ref="J21" ca="1">IFERROR(_xlfn.XLOOKUP(1,  ('ж.д.'!$A$6:$A$14 = $D21) * 1,  _xlfn.XLOOKUP(1,  ('ж.д.'!$B$5:$M$5 = J$2) * ('ж.д.'!$B$4:$M$4 = $S$2), 'ж.д.'!$B$6:$M$14)), "-")</f>
        <v>114900</v>
      </c>
      <c r="K21" s="151" cm="1">
        <f t="array" aca="1" ref="K21" ca="1">IFERROR(_xlfn.XLOOKUP(1,  ('ж.д.'!$A$6:$A$14 = $D21) * 1,  _xlfn.XLOOKUP(1,  ('ж.д.'!$B$5:$M$5 = K$2) * ('ж.д.'!$B$4:$M$4 = $S$2), 'ж.д.'!$B$6:$M$14)), "-")</f>
        <v>182400</v>
      </c>
      <c r="L21" s="151" cm="1">
        <f t="array" aca="1" ref="L21" ca="1">IF(ISNUMBER(SEARCH("Транс",$C21)),_xlfn.XLOOKUP(1,('Фрахт Транс'!$A$5:$A$10=$D21)*1,_xlfn.XLOOKUP(1,('Фрахт Транс'!$B$3:$M$3 = $S$2)*('Фрахт Транс'!$B$4:$M$4=L$2),'Фрахт Транс'!$B$5:$M$10)),SUM($E21, $G21, $I21, $O21))</f>
        <v>351050</v>
      </c>
      <c r="M21" s="151" cm="1">
        <f t="array" aca="1" ref="M21" ca="1">IF(ISNUMBER(SEARCH("Транс",$C21)),_xlfn.XLOOKUP(1,('Фрахт Транс'!$A$5:$A$10=$D21)*1,_xlfn.XLOOKUP(1,('Фрахт Транс'!$B$3:$M$3=$S$2)*('Фрахт Транс'!$B$4:$M$4=M$2),'Фрахт Транс'!$B$5:$M$10)),SUM($E21, $G21, $J21, $O21))</f>
        <v>362050</v>
      </c>
      <c r="N21" s="151" cm="1">
        <f t="array" aca="1" ref="N21" ca="1">IF(ISNUMBER(SEARCH("Транс",$C21)),_xlfn.XLOOKUP(1,('Фрахт Транс'!$A$5:$A$10=$D21)*1,_xlfn.XLOOKUP(1,('Фрахт Транс'!$B$3:$M$3=$S$2)*('Фрахт Транс'!$B$4:$M$4=N$2),'Фрахт Транс'!$B$5:$M$10)),SUM($F21, $H21, $K21, $P21))</f>
        <v>598799</v>
      </c>
      <c r="O21" s="151" cm="1">
        <f t="array" aca="1" ref="O21" ca="1">IFERROR(_xlfn.XLOOKUP(1,  (Охрана!$A$6:$A$14 = $D21) * 1,  _xlfn.XLOOKUP(1,  (Охрана!$B$5:$M$5 = O$2) * (Охрана!$B$4:$M$4 = $S$2), Охрана!$B$6:$M$14)), "-")</f>
        <v>1990</v>
      </c>
      <c r="P21" s="196" cm="1">
        <f t="array" aca="1" ref="P21" ca="1">IFERROR(_xlfn.XLOOKUP(1,  (Охрана!$A$6:$A$14 = $D21) * 1,  _xlfn.XLOOKUP(1,  (Охрана!$B$5:$M$5 = P$2) * (Охрана!$B$4:$M$4 = $S$2), Охрана!$B$6:$M$14)), "-")</f>
        <v>4079</v>
      </c>
      <c r="Q21" s="38"/>
      <c r="R21" s="71"/>
      <c r="AB21" s="5"/>
    </row>
    <row r="22" spans="1:28" ht="15.75" customHeight="1" thickBot="1" x14ac:dyDescent="0.3">
      <c r="A22" s="214" t="s">
        <v>14</v>
      </c>
      <c r="B22" s="291"/>
      <c r="C22" s="69" t="s">
        <v>51</v>
      </c>
      <c r="D22" s="70" t="s">
        <v>11</v>
      </c>
      <c r="E22" s="166" t="str" cm="1">
        <f t="array" ref="E22">IFERROR(_xlfn.XLOOKUP(1, (Фрахт!$A$5:$A$80 = $A22)* (Фрахт!$B$5:$B$80 = $C22) * (Фрахт!$C$5:$C$80 =$D22),  _xlfn.XLOOKUP(1,  (Фрахт!$D$4:$E$4 = E$2) * 1, Фрахт!$D$5:$E$80)) *  $S$1, "-")</f>
        <v>-</v>
      </c>
      <c r="F22" s="166" t="str" cm="1">
        <f t="array" ref="F22">IFERROR(_xlfn.XLOOKUP(1, (Фрахт!$A$5:$A$80 = $A22)* (Фрахт!$B$5:$B$80 = $C22) * (Фрахт!$C$5:$C$80 =$D22),  _xlfn.XLOOKUP(1,  (Фрахт!$D$4:$E$4 = F$2) * 1, Фрахт!$D$5:$E$80)) *  $S$1, "-")</f>
        <v>-</v>
      </c>
      <c r="G22" s="166" t="str" cm="1">
        <f t="array" aca="1" ref="G22" ca="1">IFERROR(_xlfn.XLOOKUP(1,  ('Drop off'!$A$6:$A$14 = $C22) * 1,  _xlfn.XLOOKUP(1,  ('Drop off'!$B$5:$I$5 = G$2) * ('Drop off'!$B$4:$I$4 = $S$2), 'Drop off'!$B$6:$I$14)) * $S$1, "-")</f>
        <v>-</v>
      </c>
      <c r="H22" s="166" t="str" cm="1">
        <f t="array" aca="1" ref="H22" ca="1">IFERROR(_xlfn.XLOOKUP(1,  ('Drop off'!$A$6:$A$14 = $C22) * 1,  _xlfn.XLOOKUP(1,  ('Drop off'!$B$5:$I$5 = H$2) * ('Drop off'!$B$4:$I$4 = $S$2), 'Drop off'!$B$6:$I$14)) * $S$1, "-")</f>
        <v>-</v>
      </c>
      <c r="I22" s="166" cm="1">
        <f t="array" aca="1" ref="I22" ca="1">IFERROR(_xlfn.XLOOKUP(1,  ('ж.д.'!$A$6:$A$14 = $D22) * 1,  _xlfn.XLOOKUP(1,  ('ж.д.'!$B$5:$M$5 = I$2) * ('ж.д.'!$B$4:$M$4 = $S$2), 'ж.д.'!$B$6:$M$14)), "-")</f>
        <v>99200</v>
      </c>
      <c r="J22" s="166" cm="1">
        <f t="array" aca="1" ref="J22" ca="1">IFERROR(_xlfn.XLOOKUP(1,  ('ж.д.'!$A$6:$A$14 = $D22) * 1,  _xlfn.XLOOKUP(1,  ('ж.д.'!$B$5:$M$5 = J$2) * ('ж.д.'!$B$4:$M$4 = $S$2), 'ж.д.'!$B$6:$M$14)), "-")</f>
        <v>113100</v>
      </c>
      <c r="K22" s="166" cm="1">
        <f t="array" aca="1" ref="K22" ca="1">IFERROR(_xlfn.XLOOKUP(1,  ('ж.д.'!$A$6:$A$14 = $D22) * 1,  _xlfn.XLOOKUP(1,  ('ж.д.'!$B$5:$M$5 = K$2) * ('ж.д.'!$B$4:$M$4 = $S$2), 'ж.д.'!$B$6:$M$14)), "-")</f>
        <v>176500</v>
      </c>
      <c r="L22" s="166" cm="1">
        <f t="array" aca="1" ref="L22" ca="1">IF(ISNUMBER(SEARCH("Транс",$C22)),_xlfn.XLOOKUP(1,('Фрахт Транс'!$A$5:$A$10=$D22)*1,_xlfn.XLOOKUP(1,('Фрахт Транс'!$B$3:$M$3 = $S$2)*('Фрахт Транс'!$B$4:$M$4=L$2),'Фрахт Транс'!$B$5:$M$10)),SUM($E22, $G22, $I22, $O22))</f>
        <v>101340</v>
      </c>
      <c r="M22" s="166" cm="1">
        <f t="array" aca="1" ref="M22" ca="1">IF(ISNUMBER(SEARCH("Транс",$C22)),_xlfn.XLOOKUP(1,('Фрахт Транс'!$A$5:$A$10=$D22)*1,_xlfn.XLOOKUP(1,('Фрахт Транс'!$B$3:$M$3=$S$2)*('Фрахт Транс'!$B$4:$M$4=M$2),'Фрахт Транс'!$B$5:$M$10)),SUM($E22, $G22, $J22, $O22))</f>
        <v>115240</v>
      </c>
      <c r="N22" s="166" cm="1">
        <f t="array" aca="1" ref="N22" ca="1">IF(ISNUMBER(SEARCH("Транс",$C22)),_xlfn.XLOOKUP(1,('Фрахт Транс'!$A$5:$A$10=$D22)*1,_xlfn.XLOOKUP(1,('Фрахт Транс'!$B$3:$M$3=$S$2)*('Фрахт Транс'!$B$4:$M$4=N$2),'Фрахт Транс'!$B$5:$M$10)),SUM($F22, $H22, $K22, $P22))</f>
        <v>180927</v>
      </c>
      <c r="O22" s="166" cm="1">
        <f t="array" aca="1" ref="O22" ca="1">IFERROR(_xlfn.XLOOKUP(1,  (Охрана!$A$6:$A$14 = $D22) * 1,  _xlfn.XLOOKUP(1,  (Охрана!$B$5:$M$5 = O$2) * (Охрана!$B$4:$M$4 = $S$2), Охрана!$B$6:$M$14)), "-")</f>
        <v>2140</v>
      </c>
      <c r="P22" s="207" cm="1">
        <f t="array" aca="1" ref="P22" ca="1">IFERROR(_xlfn.XLOOKUP(1,  (Охрана!$A$6:$A$14 = $D22) * 1,  _xlfn.XLOOKUP(1,  (Охрана!$B$5:$M$5 = P$2) * (Охрана!$B$4:$M$4 = $S$2), Охрана!$B$6:$M$14)), "-")</f>
        <v>4427</v>
      </c>
      <c r="Q22" s="38"/>
      <c r="R22" s="71"/>
      <c r="AB22" s="5"/>
    </row>
    <row r="23" spans="1:28" ht="15.75" customHeight="1" thickBot="1" x14ac:dyDescent="0.3">
      <c r="A23" s="214" t="s">
        <v>14</v>
      </c>
      <c r="B23" s="291"/>
      <c r="C23" s="58" t="s">
        <v>52</v>
      </c>
      <c r="D23" s="55" t="s">
        <v>11</v>
      </c>
      <c r="E23" s="228" t="str" cm="1">
        <f t="array" ref="E23">IFERROR(_xlfn.XLOOKUP(1, (Фрахт!$A$5:$A$80 = $A23)* (Фрахт!$B$5:$B$80 = $C23) * (Фрахт!$C$5:$C$80 =$D23),  _xlfn.XLOOKUP(1,  (Фрахт!$D$4:$E$4 = E$2) * 1, Фрахт!$D$5:$E$80)) *  $S$1, "-")</f>
        <v>-</v>
      </c>
      <c r="F23" s="228" t="str" cm="1">
        <f t="array" ref="F23">IFERROR(_xlfn.XLOOKUP(1, (Фрахт!$A$5:$A$80 = $A23)* (Фрахт!$B$5:$B$80 = $C23) * (Фрахт!$C$5:$C$80 =$D23),  _xlfn.XLOOKUP(1,  (Фрахт!$D$4:$E$4 = F$2) * 1, Фрахт!$D$5:$E$80)) *  $S$1, "-")</f>
        <v>-</v>
      </c>
      <c r="G23" s="228" cm="1">
        <f t="array" aca="1" ref="G23" ca="1">IFERROR(_xlfn.XLOOKUP(1,  ('Drop off'!$A$6:$A$14 = $C23) * 1,  _xlfn.XLOOKUP(1,  ('Drop off'!$B$5:$I$5 = G$2) * ('Drop off'!$B$4:$I$4 = $S$2), 'Drop off'!$B$6:$I$14)) * $S$1, "-")</f>
        <v>0</v>
      </c>
      <c r="H23" s="228" cm="1">
        <f t="array" aca="1" ref="H23" ca="1">IFERROR(_xlfn.XLOOKUP(1,  ('Drop off'!$A$6:$A$14 = $C23) * 1,  _xlfn.XLOOKUP(1,  ('Drop off'!$B$5:$I$5 = H$2) * ('Drop off'!$B$4:$I$4 = $S$2), 'Drop off'!$B$6:$I$14)) * $S$1, "-")</f>
        <v>0</v>
      </c>
      <c r="I23" s="228" cm="1">
        <f t="array" aca="1" ref="I23" ca="1">IFERROR(_xlfn.XLOOKUP(1,  ('ж.д.'!$A$6:$A$14 = $D23) * 1,  _xlfn.XLOOKUP(1,  ('ж.д.'!$B$5:$M$5 = I$2) * ('ж.д.'!$B$4:$M$4 = $S$2), 'ж.д.'!$B$6:$M$14)), "-")</f>
        <v>99200</v>
      </c>
      <c r="J23" s="228" cm="1">
        <f t="array" aca="1" ref="J23" ca="1">IFERROR(_xlfn.XLOOKUP(1,  ('ж.д.'!$A$6:$A$14 = $D23) * 1,  _xlfn.XLOOKUP(1,  ('ж.д.'!$B$5:$M$5 = J$2) * ('ж.д.'!$B$4:$M$4 = $S$2), 'ж.д.'!$B$6:$M$14)), "-")</f>
        <v>113100</v>
      </c>
      <c r="K23" s="228" cm="1">
        <f t="array" aca="1" ref="K23" ca="1">IFERROR(_xlfn.XLOOKUP(1,  ('ж.д.'!$A$6:$A$14 = $D23) * 1,  _xlfn.XLOOKUP(1,  ('ж.д.'!$B$5:$M$5 = K$2) * ('ж.д.'!$B$4:$M$4 = $S$2), 'ж.д.'!$B$6:$M$14)), "-")</f>
        <v>176500</v>
      </c>
      <c r="L23" s="228" cm="1">
        <f t="array" aca="1" ref="L23" ca="1">IF(ISNUMBER(SEARCH("Транс",$C23)),_xlfn.XLOOKUP(1,('Фрахт Транс'!$A$5:$A$10=$D23)*1,_xlfn.XLOOKUP(1,('Фрахт Транс'!$B$3:$M$3 = $S$2)*('Фрахт Транс'!$B$4:$M$4=L$2),'Фрахт Транс'!$B$5:$M$10)),SUM($E23, $G23, $I23, $O23))</f>
        <v>101340</v>
      </c>
      <c r="M23" s="228" cm="1">
        <f t="array" aca="1" ref="M23" ca="1">IF(ISNUMBER(SEARCH("Транс",$C23)),_xlfn.XLOOKUP(1,('Фрахт Транс'!$A$5:$A$10=$D23)*1,_xlfn.XLOOKUP(1,('Фрахт Транс'!$B$3:$M$3=$S$2)*('Фрахт Транс'!$B$4:$M$4=M$2),'Фрахт Транс'!$B$5:$M$10)),SUM($E23, $G23, $J23, $O23))</f>
        <v>115240</v>
      </c>
      <c r="N23" s="228" cm="1">
        <f t="array" aca="1" ref="N23" ca="1">IF(ISNUMBER(SEARCH("Транс",$C23)),_xlfn.XLOOKUP(1,('Фрахт Транс'!$A$5:$A$10=$D23)*1,_xlfn.XLOOKUP(1,('Фрахт Транс'!$B$3:$M$3=$S$2)*('Фрахт Транс'!$B$4:$M$4=N$2),'Фрахт Транс'!$B$5:$M$10)),SUM($F23, $H23, $K23, $P23))</f>
        <v>180927</v>
      </c>
      <c r="O23" s="228" cm="1">
        <f t="array" aca="1" ref="O23" ca="1">IFERROR(_xlfn.XLOOKUP(1,  (Охрана!$A$6:$A$14 = $D23) * 1,  _xlfn.XLOOKUP(1,  (Охрана!$B$5:$M$5 = O$2) * (Охрана!$B$4:$M$4 = $S$2), Охрана!$B$6:$M$14)), "-")</f>
        <v>2140</v>
      </c>
      <c r="P23" s="229" cm="1">
        <f t="array" aca="1" ref="P23" ca="1">IFERROR(_xlfn.XLOOKUP(1,  (Охрана!$A$6:$A$14 = $D23) * 1,  _xlfn.XLOOKUP(1,  (Охрана!$B$5:$M$5 = P$2) * (Охрана!$B$4:$M$4 = $S$2), Охрана!$B$6:$M$14)), "-")</f>
        <v>4427</v>
      </c>
      <c r="Q23" s="282"/>
      <c r="R23" s="283"/>
      <c r="AB23" s="5"/>
    </row>
    <row r="24" spans="1:28" ht="15.75" customHeight="1" thickBot="1" x14ac:dyDescent="0.3">
      <c r="A24" s="214" t="s">
        <v>14</v>
      </c>
      <c r="B24" s="291"/>
      <c r="C24" s="58" t="s">
        <v>37</v>
      </c>
      <c r="D24" s="55" t="s">
        <v>11</v>
      </c>
      <c r="E24" s="228" cm="1">
        <f t="array" ref="E24">IFERROR(_xlfn.XLOOKUP(1, (Фрахт!$A$5:$A$80 = $A24)* (Фрахт!$B$5:$B$80 = $C24) * (Фрахт!$C$5:$C$80 =$D24),  _xlfn.XLOOKUP(1,  (Фрахт!$D$4:$E$4 = E$2) * 1, Фрахт!$D$5:$E$80)) *  $S$1, "-")</f>
        <v>216000</v>
      </c>
      <c r="F24" s="228" cm="1">
        <f t="array" ref="F24">IFERROR(_xlfn.XLOOKUP(1, (Фрахт!$A$5:$A$80 = $A24)* (Фрахт!$B$5:$B$80 = $C24) * (Фрахт!$C$5:$C$80 =$D24),  _xlfn.XLOOKUP(1,  (Фрахт!$D$4:$E$4 = F$2) * 1, Фрахт!$D$5:$E$80)) *  $S$1, "-")</f>
        <v>360000</v>
      </c>
      <c r="G24" s="228" cm="1">
        <f t="array" aca="1" ref="G24" ca="1">IFERROR(_xlfn.XLOOKUP(1,  ('Drop off'!$A$6:$A$14 = $C24) * 1,  _xlfn.XLOOKUP(1,  ('Drop off'!$B$5:$I$5 = G$2) * ('Drop off'!$B$4:$I$4 = $S$2), 'Drop off'!$B$6:$I$14)) * $S$1, "-")</f>
        <v>0</v>
      </c>
      <c r="H24" s="228" cm="1">
        <f t="array" aca="1" ref="H24" ca="1">IFERROR(_xlfn.XLOOKUP(1,  ('Drop off'!$A$6:$A$14 = $C24) * 1,  _xlfn.XLOOKUP(1,  ('Drop off'!$B$5:$I$5 = H$2) * ('Drop off'!$B$4:$I$4 = $S$2), 'Drop off'!$B$6:$I$14)) * $S$1, "-")</f>
        <v>0</v>
      </c>
      <c r="I24" s="228" cm="1">
        <f t="array" aca="1" ref="I24" ca="1">IFERROR(_xlfn.XLOOKUP(1,  ('ж.д.'!$A$6:$A$14 = $D24) * 1,  _xlfn.XLOOKUP(1,  ('ж.д.'!$B$5:$M$5 = I$2) * ('ж.д.'!$B$4:$M$4 = $S$2), 'ж.д.'!$B$6:$M$14)), "-")</f>
        <v>99200</v>
      </c>
      <c r="J24" s="228" cm="1">
        <f t="array" aca="1" ref="J24" ca="1">IFERROR(_xlfn.XLOOKUP(1,  ('ж.д.'!$A$6:$A$14 = $D24) * 1,  _xlfn.XLOOKUP(1,  ('ж.д.'!$B$5:$M$5 = J$2) * ('ж.д.'!$B$4:$M$4 = $S$2), 'ж.д.'!$B$6:$M$14)), "-")</f>
        <v>113100</v>
      </c>
      <c r="K24" s="228" cm="1">
        <f t="array" aca="1" ref="K24" ca="1">IFERROR(_xlfn.XLOOKUP(1,  ('ж.д.'!$A$6:$A$14 = $D24) * 1,  _xlfn.XLOOKUP(1,  ('ж.д.'!$B$5:$M$5 = K$2) * ('ж.д.'!$B$4:$M$4 = $S$2), 'ж.д.'!$B$6:$M$14)), "-")</f>
        <v>176500</v>
      </c>
      <c r="L24" s="228" cm="1">
        <f t="array" aca="1" ref="L24" ca="1">IF(ISNUMBER(SEARCH("Транс",$C24)),_xlfn.XLOOKUP(1,('Фрахт Транс'!$A$5:$A$10=$D24)*1,_xlfn.XLOOKUP(1,('Фрахт Транс'!$B$3:$M$3 = $S$2)*('Фрахт Транс'!$B$4:$M$4=L$2),'Фрахт Транс'!$B$5:$M$10)),SUM($E24, $G24, $I24, $O24))</f>
        <v>317340</v>
      </c>
      <c r="M24" s="228" cm="1">
        <f t="array" aca="1" ref="M24" ca="1">IF(ISNUMBER(SEARCH("Транс",$C24)),_xlfn.XLOOKUP(1,('Фрахт Транс'!$A$5:$A$10=$D24)*1,_xlfn.XLOOKUP(1,('Фрахт Транс'!$B$3:$M$3=$S$2)*('Фрахт Транс'!$B$4:$M$4=M$2),'Фрахт Транс'!$B$5:$M$10)),SUM($E24, $G24, $J24, $O24))</f>
        <v>331240</v>
      </c>
      <c r="N24" s="228" cm="1">
        <f t="array" aca="1" ref="N24" ca="1">IF(ISNUMBER(SEARCH("Транс",$C24)),_xlfn.XLOOKUP(1,('Фрахт Транс'!$A$5:$A$10=$D24)*1,_xlfn.XLOOKUP(1,('Фрахт Транс'!$B$3:$M$3=$S$2)*('Фрахт Транс'!$B$4:$M$4=N$2),'Фрахт Транс'!$B$5:$M$10)),SUM($F24, $H24, $K24, $P24))</f>
        <v>540927</v>
      </c>
      <c r="O24" s="228" cm="1">
        <f t="array" aca="1" ref="O24" ca="1">IFERROR(_xlfn.XLOOKUP(1,  (Охрана!$A$6:$A$14 = $D24) * 1,  _xlfn.XLOOKUP(1,  (Охрана!$B$5:$M$5 = O$2) * (Охрана!$B$4:$M$4 = $S$2), Охрана!$B$6:$M$14)), "-")</f>
        <v>2140</v>
      </c>
      <c r="P24" s="229" cm="1">
        <f t="array" aca="1" ref="P24" ca="1">IFERROR(_xlfn.XLOOKUP(1,  (Охрана!$A$6:$A$14 = $D24) * 1,  _xlfn.XLOOKUP(1,  (Охрана!$B$5:$M$5 = P$2) * (Охрана!$B$4:$M$4 = $S$2), Охрана!$B$6:$M$14)), "-")</f>
        <v>4427</v>
      </c>
      <c r="Q24" s="282"/>
      <c r="R24" s="283"/>
      <c r="AB24" s="5"/>
    </row>
    <row r="25" spans="1:28" ht="15.75" customHeight="1" thickBot="1" x14ac:dyDescent="0.3">
      <c r="A25" s="214" t="s">
        <v>14</v>
      </c>
      <c r="B25" s="292"/>
      <c r="C25" s="76" t="s">
        <v>53</v>
      </c>
      <c r="D25" s="77" t="s">
        <v>7</v>
      </c>
      <c r="E25" s="156" cm="1">
        <f t="array" ref="E25">IFERROR(_xlfn.XLOOKUP(1, (Фрахт!$A$5:$A$80 = $A25)* (Фрахт!$B$5:$B$80 = $C25) * (Фрахт!$C$5:$C$80 =$D25),  _xlfn.XLOOKUP(1,  (Фрахт!$D$4:$E$4 = E$2) * 1, Фрахт!$D$5:$E$80)) *  $S$1, "-")</f>
        <v>315000</v>
      </c>
      <c r="F25" s="156" cm="1">
        <f t="array" ref="F25">IFERROR(_xlfn.XLOOKUP(1, (Фрахт!$A$5:$A$80 = $A25)* (Фрахт!$B$5:$B$80 = $C25) * (Фрахт!$C$5:$C$80 =$D25),  _xlfn.XLOOKUP(1,  (Фрахт!$D$4:$E$4 = F$2) * 1, Фрахт!$D$5:$E$80)) *  $S$1, "-")</f>
        <v>420000</v>
      </c>
      <c r="G25" s="156" cm="1">
        <f t="array" aca="1" ref="G25" ca="1">IFERROR(_xlfn.XLOOKUP(1,  ('Drop off'!$A$6:$A$14 = $C25) * 1,  _xlfn.XLOOKUP(1,  ('Drop off'!$B$5:$I$5 = G$2) * ('Drop off'!$B$4:$I$4 = $S$2), 'Drop off'!$B$6:$I$14)) * $S$1, "-")</f>
        <v>0</v>
      </c>
      <c r="H25" s="156" cm="1">
        <f t="array" aca="1" ref="H25" ca="1">IFERROR(_xlfn.XLOOKUP(1,  ('Drop off'!$A$6:$A$14 = $C25) * 1,  _xlfn.XLOOKUP(1,  ('Drop off'!$B$5:$I$5 = H$2) * ('Drop off'!$B$4:$I$4 = $S$2), 'Drop off'!$B$6:$I$14)) * $S$1, "-")</f>
        <v>0</v>
      </c>
      <c r="I25" s="156" cm="1">
        <f t="array" aca="1" ref="I25" ca="1">IFERROR(_xlfn.XLOOKUP(1,  ('ж.д.'!$A$6:$A$14 = $D25) * 1,  _xlfn.XLOOKUP(1,  ('ж.д.'!$B$5:$M$5 = I$2) * ('ж.д.'!$B$4:$M$4 = $S$2), 'ж.д.'!$B$6:$M$14)), "-")</f>
        <v>101000</v>
      </c>
      <c r="J25" s="156" cm="1">
        <f t="array" aca="1" ref="J25" ca="1">IFERROR(_xlfn.XLOOKUP(1,  ('ж.д.'!$A$6:$A$14 = $D25) * 1,  _xlfn.XLOOKUP(1,  ('ж.д.'!$B$5:$M$5 = J$2) * ('ж.д.'!$B$4:$M$4 = $S$2), 'ж.д.'!$B$6:$M$14)), "-")</f>
        <v>115000</v>
      </c>
      <c r="K25" s="156" cm="1">
        <f t="array" aca="1" ref="K25" ca="1">IFERROR(_xlfn.XLOOKUP(1,  ('ж.д.'!$A$6:$A$14 = $D25) * 1,  _xlfn.XLOOKUP(1,  ('ж.д.'!$B$5:$M$5 = K$2) * ('ж.д.'!$B$4:$M$4 = $S$2), 'ж.д.'!$B$6:$M$14)), "-")</f>
        <v>175000</v>
      </c>
      <c r="L25" s="156" cm="1">
        <f t="array" aca="1" ref="L25" ca="1">IF(ISNUMBER(SEARCH("Транс",$C25)),_xlfn.XLOOKUP(1,('Фрахт Транс'!$A$5:$A$10=$D25)*1,_xlfn.XLOOKUP(1,('Фрахт Транс'!$B$3:$M$3 = $S$2)*('Фрахт Транс'!$B$4:$M$4=L$2),'Фрахт Транс'!$B$5:$M$10)),SUM($E25, $G25, $I25, $O25))</f>
        <v>418400</v>
      </c>
      <c r="M25" s="156" cm="1">
        <f t="array" aca="1" ref="M25" ca="1">IF(ISNUMBER(SEARCH("Транс",$C25)),_xlfn.XLOOKUP(1,('Фрахт Транс'!$A$5:$A$10=$D25)*1,_xlfn.XLOOKUP(1,('Фрахт Транс'!$B$3:$M$3=$S$2)*('Фрахт Транс'!$B$4:$M$4=M$2),'Фрахт Транс'!$B$5:$M$10)),SUM($E25, $G25, $J25, $O25))</f>
        <v>432400</v>
      </c>
      <c r="N25" s="156" cm="1">
        <f t="array" aca="1" ref="N25" ca="1">IF(ISNUMBER(SEARCH("Транс",$C25)),_xlfn.XLOOKUP(1,('Фрахт Транс'!$A$5:$A$10=$D25)*1,_xlfn.XLOOKUP(1,('Фрахт Транс'!$B$3:$M$3=$S$2)*('Фрахт Транс'!$B$4:$M$4=N$2),'Фрахт Транс'!$B$5:$M$10)),SUM($F25, $H25, $K25, $P25))</f>
        <v>599900</v>
      </c>
      <c r="O25" s="156" cm="1">
        <f t="array" aca="1" ref="O25" ca="1">IFERROR(_xlfn.XLOOKUP(1,  (Охрана!$A$6:$A$14 = $D25) * 1,  _xlfn.XLOOKUP(1,  (Охрана!$B$5:$M$5 = O$2) * (Охрана!$B$4:$M$4 = $S$2), Охрана!$B$6:$M$14)), "-")</f>
        <v>2400</v>
      </c>
      <c r="P25" s="201" cm="1">
        <f t="array" aca="1" ref="P25" ca="1">IFERROR(_xlfn.XLOOKUP(1,  (Охрана!$A$6:$A$14 = $D25) * 1,  _xlfn.XLOOKUP(1,  (Охрана!$B$5:$M$5 = P$2) * (Охрана!$B$4:$M$4 = $S$2), Охрана!$B$6:$M$14)), "-")</f>
        <v>4900</v>
      </c>
      <c r="Q25" s="38"/>
      <c r="R25" s="83"/>
      <c r="AB25" s="5"/>
    </row>
    <row r="26" spans="1:28" ht="30.75" thickBot="1" x14ac:dyDescent="0.3">
      <c r="A26" s="213" t="s">
        <v>15</v>
      </c>
      <c r="B26" s="287" t="s">
        <v>15</v>
      </c>
      <c r="C26" s="63" t="s">
        <v>43</v>
      </c>
      <c r="D26" s="64" t="s">
        <v>46</v>
      </c>
      <c r="E26" s="148" t="str" cm="1">
        <f t="array" ref="E26">IFERROR(_xlfn.XLOOKUP(1, (Фрахт!$A$5:$A$80 = $A26)* (Фрахт!$B$5:$B$80 = $C26) * (Фрахт!$C$5:$C$80 =$D26),  _xlfn.XLOOKUP(1,  (Фрахт!$D$4:$E$4 = E$2) * 1, Фрахт!$D$5:$E$80)) *  $S$1, "-")</f>
        <v>-</v>
      </c>
      <c r="F26" s="148" t="str" cm="1">
        <f t="array" ref="F26">IFERROR(_xlfn.XLOOKUP(1, (Фрахт!$A$5:$A$80 = $A26)* (Фрахт!$B$5:$B$80 = $C26) * (Фрахт!$C$5:$C$80 =$D26),  _xlfn.XLOOKUP(1,  (Фрахт!$D$4:$E$4 = F$2) * 1, Фрахт!$D$5:$E$80)) *  $S$1, "-")</f>
        <v>-</v>
      </c>
      <c r="G26" s="148" cm="1">
        <f t="array" aca="1" ref="G26" ca="1">IFERROR(_xlfn.XLOOKUP(1,  ('Drop off'!$A$6:$A$14 = $C26) * 1,  _xlfn.XLOOKUP(1,  ('Drop off'!$B$5:$I$5 = G$2) * ('Drop off'!$B$4:$I$4 = $S$2), 'Drop off'!$B$6:$I$14)) * $S$1, "-")</f>
        <v>0</v>
      </c>
      <c r="H26" s="148" cm="1">
        <f t="array" aca="1" ref="H26" ca="1">IFERROR(_xlfn.XLOOKUP(1,  ('Drop off'!$A$6:$A$14 = $C26) * 1,  _xlfn.XLOOKUP(1,  ('Drop off'!$B$5:$I$5 = H$2) * ('Drop off'!$B$4:$I$4 = $S$2), 'Drop off'!$B$6:$I$14)) * $S$1, "-")</f>
        <v>0</v>
      </c>
      <c r="I26" s="148" t="str" cm="1">
        <f t="array" aca="1" ref="I26" ca="1">IFERROR(_xlfn.XLOOKUP(1,  ('ж.д.'!$A$6:$A$14 = $D26) * 1,  _xlfn.XLOOKUP(1,  ('ж.д.'!$B$5:$M$5 = I$2) * ('ж.д.'!$B$4:$M$4 = $S$2), 'ж.д.'!$B$6:$M$14)), "-")</f>
        <v>-</v>
      </c>
      <c r="J26" s="148" t="str" cm="1">
        <f t="array" aca="1" ref="J26" ca="1">IFERROR(_xlfn.XLOOKUP(1,  ('ж.д.'!$A$6:$A$14 = $D26) * 1,  _xlfn.XLOOKUP(1,  ('ж.д.'!$B$5:$M$5 = J$2) * ('ж.д.'!$B$4:$M$4 = $S$2), 'ж.д.'!$B$6:$M$14)), "-")</f>
        <v>-</v>
      </c>
      <c r="K26" s="148" t="str" cm="1">
        <f t="array" aca="1" ref="K26" ca="1">IFERROR(_xlfn.XLOOKUP(1,  ('ж.д.'!$A$6:$A$14 = $D26) * 1,  _xlfn.XLOOKUP(1,  ('ж.д.'!$B$5:$M$5 = K$2) * ('ж.д.'!$B$4:$M$4 = $S$2), 'ж.д.'!$B$6:$M$14)), "-")</f>
        <v>-</v>
      </c>
      <c r="L26" s="148" cm="1">
        <f t="array" aca="1" ref="L26" ca="1">IF(ISNUMBER(SEARCH("Транс",$C26)),_xlfn.XLOOKUP(1,('Фрахт Транс'!$A$5:$A$10=$D26)*1,_xlfn.XLOOKUP(1,('Фрахт Транс'!$B$3:$M$3 = $S$2)*('Фрахт Транс'!$B$4:$M$4=L$2),'Фрахт Транс'!$B$5:$M$10)),SUM($E26, $G26, $I26, $O26))</f>
        <v>332367</v>
      </c>
      <c r="M26" s="148" cm="1">
        <f t="array" aca="1" ref="M26" ca="1">IF(ISNUMBER(SEARCH("Транс",$C26)),_xlfn.XLOOKUP(1,('Фрахт Транс'!$A$5:$A$10=$D26)*1,_xlfn.XLOOKUP(1,('Фрахт Транс'!$B$3:$M$3=$S$2)*('Фрахт Транс'!$B$4:$M$4=M$2),'Фрахт Транс'!$B$5:$M$10)),SUM($E26, $G26, $J26, $O26))</f>
        <v>346272</v>
      </c>
      <c r="N26" s="148" cm="1">
        <f t="array" aca="1" ref="N26" ca="1">IF(ISNUMBER(SEARCH("Транс",$C26)),_xlfn.XLOOKUP(1,('Фрахт Транс'!$A$5:$A$10=$D26)*1,_xlfn.XLOOKUP(1,('Фрахт Транс'!$B$3:$M$3=$S$2)*('Фрахт Транс'!$B$4:$M$4=N$2),'Фрахт Транс'!$B$5:$M$10)),SUM($F26, $H26, $K26, $P26))</f>
        <v>490226</v>
      </c>
      <c r="O26" s="148" t="str" cm="1">
        <f t="array" aca="1" ref="O26" ca="1">IFERROR(_xlfn.XLOOKUP(1,  (Охрана!$A$6:$A$14 = $D26) * 1,  _xlfn.XLOOKUP(1,  (Охрана!$B$5:$M$5 = O$2) * (Охрана!$B$4:$M$4 = $S$2), Охрана!$B$6:$M$14)), "-")</f>
        <v>-</v>
      </c>
      <c r="P26" s="230" t="str" cm="1">
        <f t="array" aca="1" ref="P26" ca="1">IFERROR(_xlfn.XLOOKUP(1,  (Охрана!$A$6:$A$14 = $D26) * 1,  _xlfn.XLOOKUP(1,  (Охрана!$B$5:$M$5 = P$2) * (Охрана!$B$4:$M$4 = $S$2), Охрана!$B$6:$M$14)), "-")</f>
        <v>-</v>
      </c>
      <c r="Q26" s="38"/>
      <c r="R26" s="6"/>
      <c r="AB26" s="5"/>
    </row>
    <row r="27" spans="1:28" ht="15.75" customHeight="1" thickBot="1" x14ac:dyDescent="0.3">
      <c r="A27" s="213" t="s">
        <v>15</v>
      </c>
      <c r="B27" s="288"/>
      <c r="C27" s="42" t="s">
        <v>12</v>
      </c>
      <c r="D27" s="32" t="s">
        <v>30</v>
      </c>
      <c r="E27" s="149" cm="1">
        <f t="array" ref="E27">IFERROR(_xlfn.XLOOKUP(1, (Фрахт!$A$5:$A$80 = $A27)* (Фрахт!$B$5:$B$80 = $C27) * (Фрахт!$C$5:$C$80 =$D27),  _xlfn.XLOOKUP(1,  (Фрахт!$D$4:$E$4 = E$2) * 1, Фрахт!$D$5:$E$80)) *  $S$1, "-")</f>
        <v>330000</v>
      </c>
      <c r="F27" s="149" cm="1">
        <f t="array" ref="F27">IFERROR(_xlfn.XLOOKUP(1, (Фрахт!$A$5:$A$80 = $A27)* (Фрахт!$B$5:$B$80 = $C27) * (Фрахт!$C$5:$C$80 =$D27),  _xlfn.XLOOKUP(1,  (Фрахт!$D$4:$E$4 = F$2) * 1, Фрахт!$D$5:$E$80)) *  $S$1, "-")</f>
        <v>450000</v>
      </c>
      <c r="G27" s="149" cm="1">
        <f t="array" aca="1" ref="G27" ca="1">IFERROR(_xlfn.XLOOKUP(1,  ('Drop off'!$A$6:$A$14 = $C27) * 1,  _xlfn.XLOOKUP(1,  ('Drop off'!$B$5:$I$5 = G$2) * ('Drop off'!$B$4:$I$4 = $S$2), 'Drop off'!$B$6:$I$14)) * $S$1, "-")</f>
        <v>0</v>
      </c>
      <c r="H27" s="149" cm="1">
        <f t="array" aca="1" ref="H27" ca="1">IFERROR(_xlfn.XLOOKUP(1,  ('Drop off'!$A$6:$A$14 = $C27) * 1,  _xlfn.XLOOKUP(1,  ('Drop off'!$B$5:$I$5 = H$2) * ('Drop off'!$B$4:$I$4 = $S$2), 'Drop off'!$B$6:$I$14)) * $S$1, "-")</f>
        <v>0</v>
      </c>
      <c r="I27" s="149" cm="1">
        <f t="array" aca="1" ref="I27" ca="1">IFERROR(_xlfn.XLOOKUP(1,  ('ж.д.'!$A$6:$A$14 = $D27) * 1,  _xlfn.XLOOKUP(1,  ('ж.д.'!$B$5:$M$5 = I$2) * ('ж.д.'!$B$4:$M$4 = $S$2), 'ж.д.'!$B$6:$M$14)), "-")</f>
        <v>93100</v>
      </c>
      <c r="J27" s="149" cm="1">
        <f t="array" aca="1" ref="J27" ca="1">IFERROR(_xlfn.XLOOKUP(1,  ('ж.д.'!$A$6:$A$14 = $D27) * 1,  _xlfn.XLOOKUP(1,  ('ж.д.'!$B$5:$M$5 = J$2) * ('ж.д.'!$B$4:$M$4 = $S$2), 'ж.д.'!$B$6:$M$14)), "-")</f>
        <v>104115</v>
      </c>
      <c r="K27" s="149" cm="1">
        <f t="array" aca="1" ref="K27" ca="1">IFERROR(_xlfn.XLOOKUP(1,  ('ж.д.'!$A$6:$A$14 = $D27) * 1,  _xlfn.XLOOKUP(1,  ('ж.д.'!$B$5:$M$5 = K$2) * ('ж.д.'!$B$4:$M$4 = $S$2), 'ж.д.'!$B$6:$M$14)), "-")</f>
        <v>168000</v>
      </c>
      <c r="L27" s="149" cm="1">
        <f t="array" aca="1" ref="L27" ca="1">IF(ISNUMBER(SEARCH("Транс",$C27)),_xlfn.XLOOKUP(1,('Фрахт Транс'!$A$5:$A$10=$D27)*1,_xlfn.XLOOKUP(1,('Фрахт Транс'!$B$3:$M$3 = $S$2)*('Фрахт Транс'!$B$4:$M$4=L$2),'Фрахт Транс'!$B$5:$M$10)),SUM($E27, $G27, $I27, $O27))</f>
        <v>425840</v>
      </c>
      <c r="M27" s="149" cm="1">
        <f t="array" aca="1" ref="M27" ca="1">IF(ISNUMBER(SEARCH("Транс",$C27)),_xlfn.XLOOKUP(1,('Фрахт Транс'!$A$5:$A$10=$D27)*1,_xlfn.XLOOKUP(1,('Фрахт Транс'!$B$3:$M$3=$S$2)*('Фрахт Транс'!$B$4:$M$4=M$2),'Фрахт Транс'!$B$5:$M$10)),SUM($E27, $G27, $J27, $O27))</f>
        <v>436855</v>
      </c>
      <c r="N27" s="149" cm="1">
        <f t="array" aca="1" ref="N27" ca="1">IF(ISNUMBER(SEARCH("Транс",$C27)),_xlfn.XLOOKUP(1,('Фрахт Транс'!$A$5:$A$10=$D27)*1,_xlfn.XLOOKUP(1,('Фрахт Транс'!$B$3:$M$3=$S$2)*('Фрахт Транс'!$B$4:$M$4=N$2),'Фрахт Транс'!$B$5:$M$10)),SUM($F27, $H27, $K27, $P27))</f>
        <v>622829</v>
      </c>
      <c r="O27" s="149" cm="1">
        <f t="array" aca="1" ref="O27" ca="1">IFERROR(_xlfn.XLOOKUP(1,  (Охрана!$A$6:$A$14 = $D27) * 1,  _xlfn.XLOOKUP(1,  (Охрана!$B$5:$M$5 = O$2) * (Охрана!$B$4:$M$4 = $S$2), Охрана!$B$6:$M$14)), "-")</f>
        <v>2740</v>
      </c>
      <c r="P27" s="194" cm="1">
        <f t="array" aca="1" ref="P27" ca="1">IFERROR(_xlfn.XLOOKUP(1,  (Охрана!$A$6:$A$14 = $D27) * 1,  _xlfn.XLOOKUP(1,  (Охрана!$B$5:$M$5 = P$2) * (Охрана!$B$4:$M$4 = $S$2), Охрана!$B$6:$M$14)), "-")</f>
        <v>4829</v>
      </c>
      <c r="Q27" s="282"/>
      <c r="R27" s="91"/>
      <c r="AB27" s="5"/>
    </row>
    <row r="28" spans="1:28" ht="15.75" customHeight="1" thickBot="1" x14ac:dyDescent="0.3">
      <c r="A28" s="213" t="s">
        <v>15</v>
      </c>
      <c r="B28" s="288"/>
      <c r="C28" s="42" t="s">
        <v>12</v>
      </c>
      <c r="D28" s="32" t="s">
        <v>55</v>
      </c>
      <c r="E28" s="149" cm="1">
        <f t="array" ref="E28">IFERROR(_xlfn.XLOOKUP(1, (Фрахт!$A$5:$A$80 = $A28)* (Фрахт!$B$5:$B$80 = $C28) * (Фрахт!$C$5:$C$80 =$D28),  _xlfn.XLOOKUP(1,  (Фрахт!$D$4:$E$4 = E$2) * 1, Фрахт!$D$5:$E$80)) *  $S$1, "-")</f>
        <v>330000</v>
      </c>
      <c r="F28" s="149" cm="1">
        <f t="array" ref="F28">IFERROR(_xlfn.XLOOKUP(1, (Фрахт!$A$5:$A$80 = $A28)* (Фрахт!$B$5:$B$80 = $C28) * (Фрахт!$C$5:$C$80 =$D28),  _xlfn.XLOOKUP(1,  (Фрахт!$D$4:$E$4 = F$2) * 1, Фрахт!$D$5:$E$80)) *  $S$1, "-")</f>
        <v>450000</v>
      </c>
      <c r="G28" s="149" cm="1">
        <f t="array" aca="1" ref="G28" ca="1">IFERROR(_xlfn.XLOOKUP(1,  ('Drop off'!$A$6:$A$14 = $C28) * 1,  _xlfn.XLOOKUP(1,  ('Drop off'!$B$5:$I$5 = G$2) * ('Drop off'!$B$4:$I$4 = $S$2), 'Drop off'!$B$6:$I$14)) * $S$1, "-")</f>
        <v>0</v>
      </c>
      <c r="H28" s="149" cm="1">
        <f t="array" aca="1" ref="H28" ca="1">IFERROR(_xlfn.XLOOKUP(1,  ('Drop off'!$A$6:$A$14 = $C28) * 1,  _xlfn.XLOOKUP(1,  ('Drop off'!$B$5:$I$5 = H$2) * ('Drop off'!$B$4:$I$4 = $S$2), 'Drop off'!$B$6:$I$14)) * $S$1, "-")</f>
        <v>0</v>
      </c>
      <c r="I28" s="149" cm="1">
        <f t="array" aca="1" ref="I28" ca="1">IFERROR(_xlfn.XLOOKUP(1,  ('ж.д.'!$A$6:$A$14 = $D28) * 1,  _xlfn.XLOOKUP(1,  ('ж.д.'!$B$5:$M$5 = I$2) * ('ж.д.'!$B$4:$M$4 = $S$2), 'ж.д.'!$B$6:$M$14)), "-")</f>
        <v>97945</v>
      </c>
      <c r="J28" s="149" cm="1">
        <f t="array" aca="1" ref="J28" ca="1">IFERROR(_xlfn.XLOOKUP(1,  ('ж.д.'!$A$6:$A$14 = $D28) * 1,  _xlfn.XLOOKUP(1,  ('ж.д.'!$B$5:$M$5 = J$2) * ('ж.д.'!$B$4:$M$4 = $S$2), 'ж.д.'!$B$6:$M$14)), "-")</f>
        <v>111625</v>
      </c>
      <c r="K28" s="149" cm="1">
        <f t="array" aca="1" ref="K28" ca="1">IFERROR(_xlfn.XLOOKUP(1,  ('ж.д.'!$A$6:$A$14 = $D28) * 1,  _xlfn.XLOOKUP(1,  ('ж.д.'!$B$5:$M$5 = K$2) * ('ж.д.'!$B$4:$M$4 = $S$2), 'ж.д.'!$B$6:$M$14)), "-")</f>
        <v>177245</v>
      </c>
      <c r="L28" s="149" cm="1">
        <f t="array" aca="1" ref="L28" ca="1">IF(ISNUMBER(SEARCH("Транс",$C28)),_xlfn.XLOOKUP(1,('Фрахт Транс'!$A$5:$A$10=$D28)*1,_xlfn.XLOOKUP(1,('Фрахт Транс'!$B$3:$M$3 = $S$2)*('Фрахт Транс'!$B$4:$M$4=L$2),'Фрахт Транс'!$B$5:$M$10)),SUM($E28, $G28, $I28, $O28))</f>
        <v>430685</v>
      </c>
      <c r="M28" s="149" cm="1">
        <f t="array" aca="1" ref="M28" ca="1">IF(ISNUMBER(SEARCH("Транс",$C28)),_xlfn.XLOOKUP(1,('Фрахт Транс'!$A$5:$A$10=$D28)*1,_xlfn.XLOOKUP(1,('Фрахт Транс'!$B$3:$M$3=$S$2)*('Фрахт Транс'!$B$4:$M$4=M$2),'Фрахт Транс'!$B$5:$M$10)),SUM($E28, $G28, $J28, $O28))</f>
        <v>444365</v>
      </c>
      <c r="N28" s="149" cm="1">
        <f t="array" aca="1" ref="N28" ca="1">IF(ISNUMBER(SEARCH("Транс",$C28)),_xlfn.XLOOKUP(1,('Фрахт Транс'!$A$5:$A$10=$D28)*1,_xlfn.XLOOKUP(1,('Фрахт Транс'!$B$3:$M$3=$S$2)*('Фрахт Транс'!$B$4:$M$4=N$2),'Фрахт Транс'!$B$5:$M$10)),SUM($F28, $H28, $K28, $P28))</f>
        <v>632074</v>
      </c>
      <c r="O28" s="149" cm="1">
        <f t="array" aca="1" ref="O28" ca="1">IFERROR(_xlfn.XLOOKUP(1,  (Охрана!$A$6:$A$14 = $D28) * 1,  _xlfn.XLOOKUP(1,  (Охрана!$B$5:$M$5 = O$2) * (Охрана!$B$4:$M$4 = $S$2), Охрана!$B$6:$M$14)), "-")</f>
        <v>2740</v>
      </c>
      <c r="P28" s="194" cm="1">
        <f t="array" aca="1" ref="P28" ca="1">IFERROR(_xlfn.XLOOKUP(1,  (Охрана!$A$6:$A$14 = $D28) * 1,  _xlfn.XLOOKUP(1,  (Охрана!$B$5:$M$5 = P$2) * (Охрана!$B$4:$M$4 = $S$2), Охрана!$B$6:$M$14)), "-")</f>
        <v>4829</v>
      </c>
      <c r="Q28" s="282"/>
      <c r="R28" s="3"/>
      <c r="AB28" s="5"/>
    </row>
    <row r="29" spans="1:28" ht="15.75" customHeight="1" thickBot="1" x14ac:dyDescent="0.3">
      <c r="A29" s="213" t="s">
        <v>15</v>
      </c>
      <c r="B29" s="288"/>
      <c r="C29" s="41" t="s">
        <v>35</v>
      </c>
      <c r="D29" s="40" t="s">
        <v>11</v>
      </c>
      <c r="E29" s="150" cm="1">
        <f t="array" ref="E29">IFERROR(_xlfn.XLOOKUP(1, (Фрахт!$A$5:$A$80 = $A29)* (Фрахт!$B$5:$B$80 = $C29) * (Фрахт!$C$5:$C$80 =$D29),  _xlfn.XLOOKUP(1,  (Фрахт!$D$4:$E$4 = E$2) * 1, Фрахт!$D$5:$E$80)) *  $S$1, "-")</f>
        <v>283500</v>
      </c>
      <c r="F29" s="150" cm="1">
        <f t="array" ref="F29">IFERROR(_xlfn.XLOOKUP(1, (Фрахт!$A$5:$A$80 = $A29)* (Фрахт!$B$5:$B$80 = $C29) * (Фрахт!$C$5:$C$80 =$D29),  _xlfn.XLOOKUP(1,  (Фрахт!$D$4:$E$4 = F$2) * 1, Фрахт!$D$5:$E$80)) *  $S$1, "-")</f>
        <v>472500</v>
      </c>
      <c r="G29" s="150" cm="1">
        <f t="array" aca="1" ref="G29" ca="1">IFERROR(_xlfn.XLOOKUP(1,  ('Drop off'!$A$6:$A$14 = $C29) * 1,  _xlfn.XLOOKUP(1,  ('Drop off'!$B$5:$I$5 = G$2) * ('Drop off'!$B$4:$I$4 = $S$2), 'Drop off'!$B$6:$I$14)) * $S$1, "-")</f>
        <v>56700</v>
      </c>
      <c r="H29" s="150" cm="1">
        <f t="array" aca="1" ref="H29" ca="1">IFERROR(_xlfn.XLOOKUP(1,  ('Drop off'!$A$6:$A$14 = $C29) * 1,  _xlfn.XLOOKUP(1,  ('Drop off'!$B$5:$I$5 = H$2) * ('Drop off'!$B$4:$I$4 = $S$2), 'Drop off'!$B$6:$I$14)) * $S$1, "-")</f>
        <v>37800</v>
      </c>
      <c r="I29" s="150" cm="1">
        <f t="array" aca="1" ref="I29" ca="1">IFERROR(_xlfn.XLOOKUP(1,  ('ж.д.'!$A$6:$A$14 = $D29) * 1,  _xlfn.XLOOKUP(1,  ('ж.д.'!$B$5:$M$5 = I$2) * ('ж.д.'!$B$4:$M$4 = $S$2), 'ж.д.'!$B$6:$M$14)), "-")</f>
        <v>99200</v>
      </c>
      <c r="J29" s="150" cm="1">
        <f t="array" aca="1" ref="J29" ca="1">IFERROR(_xlfn.XLOOKUP(1,  ('ж.д.'!$A$6:$A$14 = $D29) * 1,  _xlfn.XLOOKUP(1,  ('ж.д.'!$B$5:$M$5 = J$2) * ('ж.д.'!$B$4:$M$4 = $S$2), 'ж.д.'!$B$6:$M$14)), "-")</f>
        <v>113100</v>
      </c>
      <c r="K29" s="150" cm="1">
        <f t="array" aca="1" ref="K29" ca="1">IFERROR(_xlfn.XLOOKUP(1,  ('ж.д.'!$A$6:$A$14 = $D29) * 1,  _xlfn.XLOOKUP(1,  ('ж.д.'!$B$5:$M$5 = K$2) * ('ж.д.'!$B$4:$M$4 = $S$2), 'ж.д.'!$B$6:$M$14)), "-")</f>
        <v>176500</v>
      </c>
      <c r="L29" s="150" cm="1">
        <f t="array" aca="1" ref="L29" ca="1">IF(ISNUMBER(SEARCH("Транс",$C29)),_xlfn.XLOOKUP(1,('Фрахт Транс'!$A$5:$A$10=$D29)*1,_xlfn.XLOOKUP(1,('Фрахт Транс'!$B$3:$M$3 = $S$2)*('Фрахт Транс'!$B$4:$M$4=L$2),'Фрахт Транс'!$B$5:$M$10)),SUM($E29, $G29, $I29, $O29))</f>
        <v>441540</v>
      </c>
      <c r="M29" s="150" cm="1">
        <f t="array" aca="1" ref="M29" ca="1">IF(ISNUMBER(SEARCH("Транс",$C29)),_xlfn.XLOOKUP(1,('Фрахт Транс'!$A$5:$A$10=$D29)*1,_xlfn.XLOOKUP(1,('Фрахт Транс'!$B$3:$M$3=$S$2)*('Фрахт Транс'!$B$4:$M$4=M$2),'Фрахт Транс'!$B$5:$M$10)),SUM($E29, $G29, $J29, $O29))</f>
        <v>455440</v>
      </c>
      <c r="N29" s="150" cm="1">
        <f t="array" aca="1" ref="N29" ca="1">IF(ISNUMBER(SEARCH("Транс",$C29)),_xlfn.XLOOKUP(1,('Фрахт Транс'!$A$5:$A$10=$D29)*1,_xlfn.XLOOKUP(1,('Фрахт Транс'!$B$3:$M$3=$S$2)*('Фрахт Транс'!$B$4:$M$4=N$2),'Фрахт Транс'!$B$5:$M$10)),SUM($F29, $H29, $K29, $P29))</f>
        <v>691227</v>
      </c>
      <c r="O29" s="150" cm="1">
        <f t="array" aca="1" ref="O29" ca="1">IFERROR(_xlfn.XLOOKUP(1,  (Охрана!$A$6:$A$14 = $D29) * 1,  _xlfn.XLOOKUP(1,  (Охрана!$B$5:$M$5 = O$2) * (Охрана!$B$4:$M$4 = $S$2), Охрана!$B$6:$M$14)), "-")</f>
        <v>2140</v>
      </c>
      <c r="P29" s="195" cm="1">
        <f t="array" aca="1" ref="P29" ca="1">IFERROR(_xlfn.XLOOKUP(1,  (Охрана!$A$6:$A$14 = $D29) * 1,  _xlfn.XLOOKUP(1,  (Охрана!$B$5:$M$5 = P$2) * (Охрана!$B$4:$M$4 = $S$2), Охрана!$B$6:$M$14)), "-")</f>
        <v>4427</v>
      </c>
      <c r="Q29" s="286"/>
      <c r="R29" s="4"/>
      <c r="AB29" s="5"/>
    </row>
    <row r="30" spans="1:28" ht="15.75" customHeight="1" thickBot="1" x14ac:dyDescent="0.3">
      <c r="A30" s="213" t="s">
        <v>15</v>
      </c>
      <c r="B30" s="288"/>
      <c r="C30" s="41" t="s">
        <v>35</v>
      </c>
      <c r="D30" s="40" t="s">
        <v>34</v>
      </c>
      <c r="E30" s="150" cm="1">
        <f t="array" ref="E30">IFERROR(_xlfn.XLOOKUP(1, (Фрахт!$A$5:$A$80 = $A30)* (Фрахт!$B$5:$B$80 = $C30) * (Фрахт!$C$5:$C$80 =$D30),  _xlfn.XLOOKUP(1,  (Фрахт!$D$4:$E$4 = E$2) * 1, Фрахт!$D$5:$E$80)) *  $S$1, "-")</f>
        <v>283500</v>
      </c>
      <c r="F30" s="150" cm="1">
        <f t="array" ref="F30">IFERROR(_xlfn.XLOOKUP(1, (Фрахт!$A$5:$A$80 = $A30)* (Фрахт!$B$5:$B$80 = $C30) * (Фрахт!$C$5:$C$80 =$D30),  _xlfn.XLOOKUP(1,  (Фрахт!$D$4:$E$4 = F$2) * 1, Фрахт!$D$5:$E$80)) *  $S$1, "-")</f>
        <v>472500</v>
      </c>
      <c r="G30" s="150" cm="1">
        <f t="array" aca="1" ref="G30" ca="1">IFERROR(_xlfn.XLOOKUP(1,  ('Drop off'!$A$6:$A$14 = $C30) * 1,  _xlfn.XLOOKUP(1,  ('Drop off'!$B$5:$I$5 = G$2) * ('Drop off'!$B$4:$I$4 = $S$2), 'Drop off'!$B$6:$I$14)) * $S$1, "-")</f>
        <v>56700</v>
      </c>
      <c r="H30" s="150" cm="1">
        <f t="array" aca="1" ref="H30" ca="1">IFERROR(_xlfn.XLOOKUP(1,  ('Drop off'!$A$6:$A$14 = $C30) * 1,  _xlfn.XLOOKUP(1,  ('Drop off'!$B$5:$I$5 = H$2) * ('Drop off'!$B$4:$I$4 = $S$2), 'Drop off'!$B$6:$I$14)) * $S$1, "-")</f>
        <v>37800</v>
      </c>
      <c r="I30" s="150" cm="1">
        <f t="array" aca="1" ref="I30" ca="1">IFERROR(_xlfn.XLOOKUP(1,  ('ж.д.'!$A$6:$A$14 = $D30) * 1,  _xlfn.XLOOKUP(1,  ('ж.д.'!$B$5:$M$5 = I$2) * ('ж.д.'!$B$4:$M$4 = $S$2), 'ж.д.'!$B$6:$M$14)), "-")</f>
        <v>103900</v>
      </c>
      <c r="J30" s="150" cm="1">
        <f t="array" aca="1" ref="J30" ca="1">IFERROR(_xlfn.XLOOKUP(1,  ('ж.д.'!$A$6:$A$14 = $D30) * 1,  _xlfn.XLOOKUP(1,  ('ж.д.'!$B$5:$M$5 = J$2) * ('ж.д.'!$B$4:$M$4 = $S$2), 'ж.д.'!$B$6:$M$14)), "-")</f>
        <v>114900</v>
      </c>
      <c r="K30" s="150" cm="1">
        <f t="array" aca="1" ref="K30" ca="1">IFERROR(_xlfn.XLOOKUP(1,  ('ж.д.'!$A$6:$A$14 = $D30) * 1,  _xlfn.XLOOKUP(1,  ('ж.д.'!$B$5:$M$5 = K$2) * ('ж.д.'!$B$4:$M$4 = $S$2), 'ж.д.'!$B$6:$M$14)), "-")</f>
        <v>182400</v>
      </c>
      <c r="L30" s="150" cm="1">
        <f t="array" aca="1" ref="L30" ca="1">IF(ISNUMBER(SEARCH("Транс",$C30)),_xlfn.XLOOKUP(1,('Фрахт Транс'!$A$5:$A$10=$D30)*1,_xlfn.XLOOKUP(1,('Фрахт Транс'!$B$3:$M$3 = $S$2)*('Фрахт Транс'!$B$4:$M$4=L$2),'Фрахт Транс'!$B$5:$M$10)),SUM($E30, $G30, $I30, $O30))</f>
        <v>446090</v>
      </c>
      <c r="M30" s="150" cm="1">
        <f t="array" aca="1" ref="M30" ca="1">IF(ISNUMBER(SEARCH("Транс",$C30)),_xlfn.XLOOKUP(1,('Фрахт Транс'!$A$5:$A$10=$D30)*1,_xlfn.XLOOKUP(1,('Фрахт Транс'!$B$3:$M$3=$S$2)*('Фрахт Транс'!$B$4:$M$4=M$2),'Фрахт Транс'!$B$5:$M$10)),SUM($E30, $G30, $J30, $O30))</f>
        <v>457090</v>
      </c>
      <c r="N30" s="150" cm="1">
        <f t="array" aca="1" ref="N30" ca="1">IF(ISNUMBER(SEARCH("Транс",$C30)),_xlfn.XLOOKUP(1,('Фрахт Транс'!$A$5:$A$10=$D30)*1,_xlfn.XLOOKUP(1,('Фрахт Транс'!$B$3:$M$3=$S$2)*('Фрахт Транс'!$B$4:$M$4=N$2),'Фрахт Транс'!$B$5:$M$10)),SUM($F30, $H30, $K30, $P30))</f>
        <v>696779</v>
      </c>
      <c r="O30" s="150" cm="1">
        <f t="array" aca="1" ref="O30" ca="1">IFERROR(_xlfn.XLOOKUP(1,  (Охрана!$A$6:$A$14 = $D30) * 1,  _xlfn.XLOOKUP(1,  (Охрана!$B$5:$M$5 = O$2) * (Охрана!$B$4:$M$4 = $S$2), Охрана!$B$6:$M$14)), "-")</f>
        <v>1990</v>
      </c>
      <c r="P30" s="195" cm="1">
        <f t="array" aca="1" ref="P30" ca="1">IFERROR(_xlfn.XLOOKUP(1,  (Охрана!$A$6:$A$14 = $D30) * 1,  _xlfn.XLOOKUP(1,  (Охрана!$B$5:$M$5 = P$2) * (Охрана!$B$4:$M$4 = $S$2), Охрана!$B$6:$M$14)), "-")</f>
        <v>4079</v>
      </c>
      <c r="Q30" s="286"/>
      <c r="R30" s="4"/>
      <c r="AB30" s="5"/>
    </row>
    <row r="31" spans="1:28" ht="15.75" customHeight="1" thickBot="1" x14ac:dyDescent="0.3">
      <c r="A31" s="213" t="s">
        <v>15</v>
      </c>
      <c r="B31" s="288"/>
      <c r="C31" s="41" t="s">
        <v>35</v>
      </c>
      <c r="D31" s="40" t="s">
        <v>10</v>
      </c>
      <c r="E31" s="150" cm="1">
        <f t="array" ref="E31">IFERROR(_xlfn.XLOOKUP(1, (Фрахт!$A$5:$A$80 = $A31)* (Фрахт!$B$5:$B$80 = $C31) * (Фрахт!$C$5:$C$80 =$D31),  _xlfn.XLOOKUP(1,  (Фрахт!$D$4:$E$4 = E$2) * 1, Фрахт!$D$5:$E$80)) *  $S$1, "-")</f>
        <v>283500</v>
      </c>
      <c r="F31" s="150" cm="1">
        <f t="array" ref="F31">IFERROR(_xlfn.XLOOKUP(1, (Фрахт!$A$5:$A$80 = $A31)* (Фрахт!$B$5:$B$80 = $C31) * (Фрахт!$C$5:$C$80 =$D31),  _xlfn.XLOOKUP(1,  (Фрахт!$D$4:$E$4 = F$2) * 1, Фрахт!$D$5:$E$80)) *  $S$1, "-")</f>
        <v>472500</v>
      </c>
      <c r="G31" s="150" cm="1">
        <f t="array" aca="1" ref="G31" ca="1">IFERROR(_xlfn.XLOOKUP(1,  ('Drop off'!$A$6:$A$14 = $C31) * 1,  _xlfn.XLOOKUP(1,  ('Drop off'!$B$5:$I$5 = G$2) * ('Drop off'!$B$4:$I$4 = $S$2), 'Drop off'!$B$6:$I$14)) * $S$1, "-")</f>
        <v>56700</v>
      </c>
      <c r="H31" s="150" cm="1">
        <f t="array" aca="1" ref="H31" ca="1">IFERROR(_xlfn.XLOOKUP(1,  ('Drop off'!$A$6:$A$14 = $C31) * 1,  _xlfn.XLOOKUP(1,  ('Drop off'!$B$5:$I$5 = H$2) * ('Drop off'!$B$4:$I$4 = $S$2), 'Drop off'!$B$6:$I$14)) * $S$1, "-")</f>
        <v>37800</v>
      </c>
      <c r="I31" s="150" cm="1">
        <f t="array" aca="1" ref="I31" ca="1">IFERROR(_xlfn.XLOOKUP(1,  ('ж.д.'!$A$6:$A$14 = $D31) * 1,  _xlfn.XLOOKUP(1,  ('ж.д.'!$B$5:$M$5 = I$2) * ('ж.д.'!$B$4:$M$4 = $S$2), 'ж.д.'!$B$6:$M$14)), "-")</f>
        <v>103000</v>
      </c>
      <c r="J31" s="150" cm="1">
        <f t="array" aca="1" ref="J31" ca="1">IFERROR(_xlfn.XLOOKUP(1,  ('ж.д.'!$A$6:$A$14 = $D31) * 1,  _xlfn.XLOOKUP(1,  ('ж.д.'!$B$5:$M$5 = J$2) * ('ж.д.'!$B$4:$M$4 = $S$2), 'ж.д.'!$B$6:$M$14)), "-")</f>
        <v>115325</v>
      </c>
      <c r="K31" s="150" cm="1">
        <f t="array" aca="1" ref="K31" ca="1">IFERROR(_xlfn.XLOOKUP(1,  ('ж.д.'!$A$6:$A$14 = $D31) * 1,  _xlfn.XLOOKUP(1,  ('ж.д.'!$B$5:$M$5 = K$2) * ('ж.д.'!$B$4:$M$4 = $S$2), 'ж.д.'!$B$6:$M$14)), "-")</f>
        <v>184000</v>
      </c>
      <c r="L31" s="150" cm="1">
        <f t="array" aca="1" ref="L31" ca="1">IF(ISNUMBER(SEARCH("Транс",$C31)),_xlfn.XLOOKUP(1,('Фрахт Транс'!$A$5:$A$10=$D31)*1,_xlfn.XLOOKUP(1,('Фрахт Транс'!$B$3:$M$3 = $S$2)*('Фрахт Транс'!$B$4:$M$4=L$2),'Фрахт Транс'!$B$5:$M$10)),SUM($E31, $G31, $I31, $O31))</f>
        <v>445940</v>
      </c>
      <c r="M31" s="150" cm="1">
        <f t="array" aca="1" ref="M31" ca="1">IF(ISNUMBER(SEARCH("Транс",$C31)),_xlfn.XLOOKUP(1,('Фрахт Транс'!$A$5:$A$10=$D31)*1,_xlfn.XLOOKUP(1,('Фрахт Транс'!$B$3:$M$3=$S$2)*('Фрахт Транс'!$B$4:$M$4=M$2),'Фрахт Транс'!$B$5:$M$10)),SUM($E31, $G31, $J31, $O31))</f>
        <v>458265</v>
      </c>
      <c r="N31" s="150" cm="1">
        <f t="array" aca="1" ref="N31" ca="1">IF(ISNUMBER(SEARCH("Транс",$C31)),_xlfn.XLOOKUP(1,('Фрахт Транс'!$A$5:$A$10=$D31)*1,_xlfn.XLOOKUP(1,('Фрахт Транс'!$B$3:$M$3=$S$2)*('Фрахт Транс'!$B$4:$M$4=N$2),'Фрахт Транс'!$B$5:$M$10)),SUM($F31, $H31, $K31, $P31))</f>
        <v>699129</v>
      </c>
      <c r="O31" s="150" cm="1">
        <f t="array" aca="1" ref="O31" ca="1">IFERROR(_xlfn.XLOOKUP(1,  (Охрана!$A$6:$A$14 = $D31) * 1,  _xlfn.XLOOKUP(1,  (Охрана!$B$5:$M$5 = O$2) * (Охрана!$B$4:$M$4 = $S$2), Охрана!$B$6:$M$14)), "-")</f>
        <v>2740</v>
      </c>
      <c r="P31" s="195" cm="1">
        <f t="array" aca="1" ref="P31" ca="1">IFERROR(_xlfn.XLOOKUP(1,  (Охрана!$A$6:$A$14 = $D31) * 1,  _xlfn.XLOOKUP(1,  (Охрана!$B$5:$M$5 = P$2) * (Охрана!$B$4:$M$4 = $S$2), Охрана!$B$6:$M$14)), "-")</f>
        <v>4829</v>
      </c>
      <c r="Q31" s="286"/>
      <c r="AB31" s="5"/>
    </row>
    <row r="32" spans="1:28" ht="15.75" customHeight="1" thickBot="1" x14ac:dyDescent="0.3">
      <c r="A32" s="213" t="s">
        <v>15</v>
      </c>
      <c r="B32" s="288"/>
      <c r="C32" s="41" t="s">
        <v>35</v>
      </c>
      <c r="D32" s="40" t="s">
        <v>7</v>
      </c>
      <c r="E32" s="150" cm="1">
        <f t="array" ref="E32">IFERROR(_xlfn.XLOOKUP(1, (Фрахт!$A$5:$A$80 = $A32)* (Фрахт!$B$5:$B$80 = $C32) * (Фрахт!$C$5:$C$80 =$D32),  _xlfn.XLOOKUP(1,  (Фрахт!$D$4:$E$4 = E$2) * 1, Фрахт!$D$5:$E$80)) *  $S$1, "-")</f>
        <v>283500</v>
      </c>
      <c r="F32" s="150" cm="1">
        <f t="array" ref="F32">IFERROR(_xlfn.XLOOKUP(1, (Фрахт!$A$5:$A$80 = $A32)* (Фрахт!$B$5:$B$80 = $C32) * (Фрахт!$C$5:$C$80 =$D32),  _xlfn.XLOOKUP(1,  (Фрахт!$D$4:$E$4 = F$2) * 1, Фрахт!$D$5:$E$80)) *  $S$1, "-")</f>
        <v>472500</v>
      </c>
      <c r="G32" s="150" cm="1">
        <f t="array" aca="1" ref="G32" ca="1">IFERROR(_xlfn.XLOOKUP(1,  ('Drop off'!$A$6:$A$14 = $C32) * 1,  _xlfn.XLOOKUP(1,  ('Drop off'!$B$5:$I$5 = G$2) * ('Drop off'!$B$4:$I$4 = $S$2), 'Drop off'!$B$6:$I$14)) * $S$1, "-")</f>
        <v>56700</v>
      </c>
      <c r="H32" s="150" cm="1">
        <f t="array" aca="1" ref="H32" ca="1">IFERROR(_xlfn.XLOOKUP(1,  ('Drop off'!$A$6:$A$14 = $C32) * 1,  _xlfn.XLOOKUP(1,  ('Drop off'!$B$5:$I$5 = H$2) * ('Drop off'!$B$4:$I$4 = $S$2), 'Drop off'!$B$6:$I$14)) * $S$1, "-")</f>
        <v>37800</v>
      </c>
      <c r="I32" s="150" cm="1">
        <f t="array" aca="1" ref="I32" ca="1">IFERROR(_xlfn.XLOOKUP(1,  ('ж.д.'!$A$6:$A$14 = $D32) * 1,  _xlfn.XLOOKUP(1,  ('ж.д.'!$B$5:$M$5 = I$2) * ('ж.д.'!$B$4:$M$4 = $S$2), 'ж.д.'!$B$6:$M$14)), "-")</f>
        <v>101000</v>
      </c>
      <c r="J32" s="150" cm="1">
        <f t="array" aca="1" ref="J32" ca="1">IFERROR(_xlfn.XLOOKUP(1,  ('ж.д.'!$A$6:$A$14 = $D32) * 1,  _xlfn.XLOOKUP(1,  ('ж.д.'!$B$5:$M$5 = J$2) * ('ж.д.'!$B$4:$M$4 = $S$2), 'ж.д.'!$B$6:$M$14)), "-")</f>
        <v>115000</v>
      </c>
      <c r="K32" s="150" cm="1">
        <f t="array" aca="1" ref="K32" ca="1">IFERROR(_xlfn.XLOOKUP(1,  ('ж.д.'!$A$6:$A$14 = $D32) * 1,  _xlfn.XLOOKUP(1,  ('ж.д.'!$B$5:$M$5 = K$2) * ('ж.д.'!$B$4:$M$4 = $S$2), 'ж.д.'!$B$6:$M$14)), "-")</f>
        <v>175000</v>
      </c>
      <c r="L32" s="150" cm="1">
        <f t="array" aca="1" ref="L32" ca="1">IF(ISNUMBER(SEARCH("Транс",$C32)),_xlfn.XLOOKUP(1,('Фрахт Транс'!$A$5:$A$10=$D32)*1,_xlfn.XLOOKUP(1,('Фрахт Транс'!$B$3:$M$3 = $S$2)*('Фрахт Транс'!$B$4:$M$4=L$2),'Фрахт Транс'!$B$5:$M$10)),SUM($E32, $G32, $I32, $O32))</f>
        <v>443600</v>
      </c>
      <c r="M32" s="150" cm="1">
        <f t="array" aca="1" ref="M32" ca="1">IF(ISNUMBER(SEARCH("Транс",$C32)),_xlfn.XLOOKUP(1,('Фрахт Транс'!$A$5:$A$10=$D32)*1,_xlfn.XLOOKUP(1,('Фрахт Транс'!$B$3:$M$3=$S$2)*('Фрахт Транс'!$B$4:$M$4=M$2),'Фрахт Транс'!$B$5:$M$10)),SUM($E32, $G32, $J32, $O32))</f>
        <v>457600</v>
      </c>
      <c r="N32" s="150" cm="1">
        <f t="array" aca="1" ref="N32" ca="1">IF(ISNUMBER(SEARCH("Транс",$C32)),_xlfn.XLOOKUP(1,('Фрахт Транс'!$A$5:$A$10=$D32)*1,_xlfn.XLOOKUP(1,('Фрахт Транс'!$B$3:$M$3=$S$2)*('Фрахт Транс'!$B$4:$M$4=N$2),'Фрахт Транс'!$B$5:$M$10)),SUM($F32, $H32, $K32, $P32))</f>
        <v>690200</v>
      </c>
      <c r="O32" s="150" cm="1">
        <f t="array" aca="1" ref="O32" ca="1">IFERROR(_xlfn.XLOOKUP(1,  (Охрана!$A$6:$A$14 = $D32) * 1,  _xlfn.XLOOKUP(1,  (Охрана!$B$5:$M$5 = O$2) * (Охрана!$B$4:$M$4 = $S$2), Охрана!$B$6:$M$14)), "-")</f>
        <v>2400</v>
      </c>
      <c r="P32" s="195" cm="1">
        <f t="array" aca="1" ref="P32" ca="1">IFERROR(_xlfn.XLOOKUP(1,  (Охрана!$A$6:$A$14 = $D32) * 1,  _xlfn.XLOOKUP(1,  (Охрана!$B$5:$M$5 = P$2) * (Охрана!$B$4:$M$4 = $S$2), Охрана!$B$6:$M$14)), "-")</f>
        <v>4900</v>
      </c>
      <c r="Q32" s="286"/>
      <c r="R32" s="4"/>
      <c r="AB32" s="5"/>
    </row>
    <row r="33" spans="1:29" ht="15.75" customHeight="1" thickBot="1" x14ac:dyDescent="0.3">
      <c r="A33" s="213" t="s">
        <v>15</v>
      </c>
      <c r="B33" s="288"/>
      <c r="C33" s="50" t="s">
        <v>36</v>
      </c>
      <c r="D33" s="50" t="s">
        <v>21</v>
      </c>
      <c r="E33" s="151" cm="1">
        <f t="array" ref="E33">IFERROR(_xlfn.XLOOKUP(1, (Фрахт!$A$5:$A$80 = $A33)* (Фрахт!$B$5:$B$80 = $C33) * (Фрахт!$C$5:$C$80 =$D33),  _xlfn.XLOOKUP(1,  (Фрахт!$D$4:$E$4 = E$2) * 1, Фрахт!$D$5:$E$80)) *  $S$1, "-")</f>
        <v>245160</v>
      </c>
      <c r="F33" s="151" cm="1">
        <f t="array" ref="F33">IFERROR(_xlfn.XLOOKUP(1, (Фрахт!$A$5:$A$80 = $A33)* (Фрахт!$B$5:$B$80 = $C33) * (Фрахт!$C$5:$C$80 =$D33),  _xlfn.XLOOKUP(1,  (Фрахт!$D$4:$E$4 = F$2) * 1, Фрахт!$D$5:$E$80)) *  $S$1, "-")</f>
        <v>412320</v>
      </c>
      <c r="G33" s="151" cm="1">
        <f t="array" aca="1" ref="G33" ca="1">IFERROR(_xlfn.XLOOKUP(1,  ('Drop off'!$A$6:$A$14 = $C33) * 1,  _xlfn.XLOOKUP(1,  ('Drop off'!$B$5:$I$5 = G$2) * ('Drop off'!$B$4:$I$4 = $S$2), 'Drop off'!$B$6:$I$14)) * $S$1, "-")</f>
        <v>9000</v>
      </c>
      <c r="H33" s="151" cm="1">
        <f t="array" aca="1" ref="H33" ca="1">IFERROR(_xlfn.XLOOKUP(1,  ('Drop off'!$A$6:$A$14 = $C33) * 1,  _xlfn.XLOOKUP(1,  ('Drop off'!$B$5:$I$5 = H$2) * ('Drop off'!$B$4:$I$4 = $S$2), 'Drop off'!$B$6:$I$14)) * $S$1, "-")</f>
        <v>9000</v>
      </c>
      <c r="I33" s="151" cm="1">
        <f t="array" aca="1" ref="I33" ca="1">IFERROR(_xlfn.XLOOKUP(1,  ('ж.д.'!$A$6:$A$14 = $D33) * 1,  _xlfn.XLOOKUP(1,  ('ж.д.'!$B$5:$M$5 = I$2) * ('ж.д.'!$B$4:$M$4 = $S$2), 'ж.д.'!$B$6:$M$14)), "-")</f>
        <v>103900</v>
      </c>
      <c r="J33" s="151" cm="1">
        <f t="array" aca="1" ref="J33" ca="1">IFERROR(_xlfn.XLOOKUP(1,  ('ж.д.'!$A$6:$A$14 = $D33) * 1,  _xlfn.XLOOKUP(1,  ('ж.д.'!$B$5:$M$5 = J$2) * ('ж.д.'!$B$4:$M$4 = $S$2), 'ж.д.'!$B$6:$M$14)), "-")</f>
        <v>114900</v>
      </c>
      <c r="K33" s="151" cm="1">
        <f t="array" aca="1" ref="K33" ca="1">IFERROR(_xlfn.XLOOKUP(1,  ('ж.д.'!$A$6:$A$14 = $D33) * 1,  _xlfn.XLOOKUP(1,  ('ж.д.'!$B$5:$M$5 = K$2) * ('ж.д.'!$B$4:$M$4 = $S$2), 'ж.д.'!$B$6:$M$14)), "-")</f>
        <v>182400</v>
      </c>
      <c r="L33" s="151" cm="1">
        <f t="array" aca="1" ref="L33" ca="1">IF(ISNUMBER(SEARCH("Транс",$C33)),_xlfn.XLOOKUP(1,('Фрахт Транс'!$A$5:$A$10=$D33)*1,_xlfn.XLOOKUP(1,('Фрахт Транс'!$B$3:$M$3 = $S$2)*('Фрахт Транс'!$B$4:$M$4=L$2),'Фрахт Транс'!$B$5:$M$10)),SUM($E33, $G33, $I33, $O33))</f>
        <v>360050</v>
      </c>
      <c r="M33" s="151" cm="1">
        <f t="array" aca="1" ref="M33" ca="1">IF(ISNUMBER(SEARCH("Транс",$C33)),_xlfn.XLOOKUP(1,('Фрахт Транс'!$A$5:$A$10=$D33)*1,_xlfn.XLOOKUP(1,('Фрахт Транс'!$B$3:$M$3=$S$2)*('Фрахт Транс'!$B$4:$M$4=M$2),'Фрахт Транс'!$B$5:$M$10)),SUM($E33, $G33, $J33, $O33))</f>
        <v>371050</v>
      </c>
      <c r="N33" s="151" cm="1">
        <f t="array" aca="1" ref="N33" ca="1">IF(ISNUMBER(SEARCH("Транс",$C33)),_xlfn.XLOOKUP(1,('Фрахт Транс'!$A$5:$A$10=$D33)*1,_xlfn.XLOOKUP(1,('Фрахт Транс'!$B$3:$M$3=$S$2)*('Фрахт Транс'!$B$4:$M$4=N$2),'Фрахт Транс'!$B$5:$M$10)),SUM($F33, $H33, $K33, $P33))</f>
        <v>607799</v>
      </c>
      <c r="O33" s="151" cm="1">
        <f t="array" aca="1" ref="O33" ca="1">IFERROR(_xlfn.XLOOKUP(1,  (Охрана!$A$6:$A$14 = $D33) * 1,  _xlfn.XLOOKUP(1,  (Охрана!$B$5:$M$5 = O$2) * (Охрана!$B$4:$M$4 = $S$2), Охрана!$B$6:$M$14)), "-")</f>
        <v>1990</v>
      </c>
      <c r="P33" s="196" cm="1">
        <f t="array" aca="1" ref="P33" ca="1">IFERROR(_xlfn.XLOOKUP(1,  (Охрана!$A$6:$A$14 = $D33) * 1,  _xlfn.XLOOKUP(1,  (Охрана!$B$5:$M$5 = P$2) * (Охрана!$B$4:$M$4 = $S$2), Охрана!$B$6:$M$14)), "-")</f>
        <v>4079</v>
      </c>
      <c r="Q33" s="38"/>
      <c r="R33" s="71"/>
      <c r="AB33" s="5"/>
    </row>
    <row r="34" spans="1:29" ht="15.75" customHeight="1" thickBot="1" x14ac:dyDescent="0.3">
      <c r="A34" s="213" t="s">
        <v>15</v>
      </c>
      <c r="B34" s="288"/>
      <c r="C34" s="58" t="s">
        <v>37</v>
      </c>
      <c r="D34" s="55" t="s">
        <v>11</v>
      </c>
      <c r="E34" s="228" cm="1">
        <f t="array" ref="E34">IFERROR(_xlfn.XLOOKUP(1, (Фрахт!$A$5:$A$80 = $A34)* (Фрахт!$B$5:$B$80 = $C34) * (Фрахт!$C$5:$C$80 =$D34),  _xlfn.XLOOKUP(1,  (Фрахт!$D$4:$E$4 = E$2) * 1, Фрахт!$D$5:$E$80)) *  $S$1, "-")</f>
        <v>216000</v>
      </c>
      <c r="F34" s="228" cm="1">
        <f t="array" ref="F34">IFERROR(_xlfn.XLOOKUP(1, (Фрахт!$A$5:$A$80 = $A34)* (Фрахт!$B$5:$B$80 = $C34) * (Фрахт!$C$5:$C$80 =$D34),  _xlfn.XLOOKUP(1,  (Фрахт!$D$4:$E$4 = F$2) * 1, Фрахт!$D$5:$E$80)) *  $S$1, "-")</f>
        <v>360000</v>
      </c>
      <c r="G34" s="228" cm="1">
        <f t="array" aca="1" ref="G34" ca="1">IFERROR(_xlfn.XLOOKUP(1,  ('Drop off'!$A$6:$A$14 = $C34) * 1,  _xlfn.XLOOKUP(1,  ('Drop off'!$B$5:$I$5 = G$2) * ('Drop off'!$B$4:$I$4 = $S$2), 'Drop off'!$B$6:$I$14)) * $S$1, "-")</f>
        <v>0</v>
      </c>
      <c r="H34" s="228" cm="1">
        <f t="array" aca="1" ref="H34" ca="1">IFERROR(_xlfn.XLOOKUP(1,  ('Drop off'!$A$6:$A$14 = $C34) * 1,  _xlfn.XLOOKUP(1,  ('Drop off'!$B$5:$I$5 = H$2) * ('Drop off'!$B$4:$I$4 = $S$2), 'Drop off'!$B$6:$I$14)) * $S$1, "-")</f>
        <v>0</v>
      </c>
      <c r="I34" s="228" cm="1">
        <f t="array" aca="1" ref="I34" ca="1">IFERROR(_xlfn.XLOOKUP(1,  ('ж.д.'!$A$6:$A$14 = $D34) * 1,  _xlfn.XLOOKUP(1,  ('ж.д.'!$B$5:$M$5 = I$2) * ('ж.д.'!$B$4:$M$4 = $S$2), 'ж.д.'!$B$6:$M$14)), "-")</f>
        <v>99200</v>
      </c>
      <c r="J34" s="228" cm="1">
        <f t="array" aca="1" ref="J34" ca="1">IFERROR(_xlfn.XLOOKUP(1,  ('ж.д.'!$A$6:$A$14 = $D34) * 1,  _xlfn.XLOOKUP(1,  ('ж.д.'!$B$5:$M$5 = J$2) * ('ж.д.'!$B$4:$M$4 = $S$2), 'ж.д.'!$B$6:$M$14)), "-")</f>
        <v>113100</v>
      </c>
      <c r="K34" s="228" cm="1">
        <f t="array" aca="1" ref="K34" ca="1">IFERROR(_xlfn.XLOOKUP(1,  ('ж.д.'!$A$6:$A$14 = $D34) * 1,  _xlfn.XLOOKUP(1,  ('ж.д.'!$B$5:$M$5 = K$2) * ('ж.д.'!$B$4:$M$4 = $S$2), 'ж.д.'!$B$6:$M$14)), "-")</f>
        <v>176500</v>
      </c>
      <c r="L34" s="228" cm="1">
        <f t="array" aca="1" ref="L34" ca="1">IF(ISNUMBER(SEARCH("Транс",$C34)),_xlfn.XLOOKUP(1,('Фрахт Транс'!$A$5:$A$10=$D34)*1,_xlfn.XLOOKUP(1,('Фрахт Транс'!$B$3:$M$3 = $S$2)*('Фрахт Транс'!$B$4:$M$4=L$2),'Фрахт Транс'!$B$5:$M$10)),SUM($E34, $G34, $I34, $O34))</f>
        <v>317340</v>
      </c>
      <c r="M34" s="228" cm="1">
        <f t="array" aca="1" ref="M34" ca="1">IF(ISNUMBER(SEARCH("Транс",$C34)),_xlfn.XLOOKUP(1,('Фрахт Транс'!$A$5:$A$10=$D34)*1,_xlfn.XLOOKUP(1,('Фрахт Транс'!$B$3:$M$3=$S$2)*('Фрахт Транс'!$B$4:$M$4=M$2),'Фрахт Транс'!$B$5:$M$10)),SUM($E34, $G34, $J34, $O34))</f>
        <v>331240</v>
      </c>
      <c r="N34" s="228" cm="1">
        <f t="array" aca="1" ref="N34" ca="1">IF(ISNUMBER(SEARCH("Транс",$C34)),_xlfn.XLOOKUP(1,('Фрахт Транс'!$A$5:$A$10=$D34)*1,_xlfn.XLOOKUP(1,('Фрахт Транс'!$B$3:$M$3=$S$2)*('Фрахт Транс'!$B$4:$M$4=N$2),'Фрахт Транс'!$B$5:$M$10)),SUM($F34, $H34, $K34, $P34))</f>
        <v>540927</v>
      </c>
      <c r="O34" s="228" cm="1">
        <f t="array" aca="1" ref="O34" ca="1">IFERROR(_xlfn.XLOOKUP(1,  (Охрана!$A$6:$A$14 = $D34) * 1,  _xlfn.XLOOKUP(1,  (Охрана!$B$5:$M$5 = O$2) * (Охрана!$B$4:$M$4 = $S$2), Охрана!$B$6:$M$14)), "-")</f>
        <v>2140</v>
      </c>
      <c r="P34" s="229" cm="1">
        <f t="array" aca="1" ref="P34" ca="1">IFERROR(_xlfn.XLOOKUP(1,  (Охрана!$A$6:$A$14 = $D34) * 1,  _xlfn.XLOOKUP(1,  (Охрана!$B$5:$M$5 = P$2) * (Охрана!$B$4:$M$4 = $S$2), Охрана!$B$6:$M$14)), "-")</f>
        <v>4427</v>
      </c>
      <c r="Q34" s="38"/>
      <c r="R34" s="71"/>
      <c r="AB34" s="5"/>
    </row>
    <row r="35" spans="1:29" ht="15.75" customHeight="1" thickBot="1" x14ac:dyDescent="0.3">
      <c r="A35" s="213" t="s">
        <v>15</v>
      </c>
      <c r="B35" s="288"/>
      <c r="C35" s="84" t="s">
        <v>54</v>
      </c>
      <c r="D35" s="85" t="s">
        <v>34</v>
      </c>
      <c r="E35" s="155" t="str" cm="1">
        <f t="array" ref="E35">IFERROR(_xlfn.XLOOKUP(1, (Фрахт!$A$5:$A$80 = $A35)* (Фрахт!$B$5:$B$80 = $C35) * (Фрахт!$C$5:$C$80 =$D35),  _xlfn.XLOOKUP(1,  (Фрахт!$D$4:$E$4 = E$2) * 1, Фрахт!$D$5:$E$80)) *  $S$1, "-")</f>
        <v>-</v>
      </c>
      <c r="F35" s="155" t="str" cm="1">
        <f t="array" ref="F35">IFERROR(_xlfn.XLOOKUP(1, (Фрахт!$A$5:$A$80 = $A35)* (Фрахт!$B$5:$B$80 = $C35) * (Фрахт!$C$5:$C$80 =$D35),  _xlfn.XLOOKUP(1,  (Фрахт!$D$4:$E$4 = F$2) * 1, Фрахт!$D$5:$E$80)) *  $S$1, "-")</f>
        <v>-</v>
      </c>
      <c r="G35" s="155" cm="1">
        <f t="array" aca="1" ref="G35" ca="1">IFERROR(_xlfn.XLOOKUP(1,  ('Drop off'!$A$6:$A$14 = $C35) * 1,  _xlfn.XLOOKUP(1,  ('Drop off'!$B$5:$I$5 = G$2) * ('Drop off'!$B$4:$I$4 = $S$2), 'Drop off'!$B$6:$I$14)) * $S$1, "-")</f>
        <v>27000</v>
      </c>
      <c r="H35" s="155" cm="1">
        <f t="array" aca="1" ref="H35" ca="1">IFERROR(_xlfn.XLOOKUP(1,  ('Drop off'!$A$6:$A$14 = $C35) * 1,  _xlfn.XLOOKUP(1,  ('Drop off'!$B$5:$I$5 = H$2) * ('Drop off'!$B$4:$I$4 = $S$2), 'Drop off'!$B$6:$I$14)) * $S$1, "-")</f>
        <v>27000</v>
      </c>
      <c r="I35" s="155" cm="1">
        <f t="array" aca="1" ref="I35" ca="1">IFERROR(_xlfn.XLOOKUP(1,  ('ж.д.'!$A$6:$A$14 = $D35) * 1,  _xlfn.XLOOKUP(1,  ('ж.д.'!$B$5:$M$5 = I$2) * ('ж.д.'!$B$4:$M$4 = $S$2), 'ж.д.'!$B$6:$M$14)), "-")</f>
        <v>103900</v>
      </c>
      <c r="J35" s="155" cm="1">
        <f t="array" aca="1" ref="J35" ca="1">IFERROR(_xlfn.XLOOKUP(1,  ('ж.д.'!$A$6:$A$14 = $D35) * 1,  _xlfn.XLOOKUP(1,  ('ж.д.'!$B$5:$M$5 = J$2) * ('ж.д.'!$B$4:$M$4 = $S$2), 'ж.д.'!$B$6:$M$14)), "-")</f>
        <v>114900</v>
      </c>
      <c r="K35" s="155" cm="1">
        <f t="array" aca="1" ref="K35" ca="1">IFERROR(_xlfn.XLOOKUP(1,  ('ж.д.'!$A$6:$A$14 = $D35) * 1,  _xlfn.XLOOKUP(1,  ('ж.д.'!$B$5:$M$5 = K$2) * ('ж.д.'!$B$4:$M$4 = $S$2), 'ж.д.'!$B$6:$M$14)), "-")</f>
        <v>182400</v>
      </c>
      <c r="L35" s="155" cm="1">
        <f t="array" aca="1" ref="L35" ca="1">IF(ISNUMBER(SEARCH("Транс",$C35)),_xlfn.XLOOKUP(1,('Фрахт Транс'!$A$5:$A$10=$D35)*1,_xlfn.XLOOKUP(1,('Фрахт Транс'!$B$3:$M$3 = $S$2)*('Фрахт Транс'!$B$4:$M$4=L$2),'Фрахт Транс'!$B$5:$M$10)),SUM($E35, $G35, $I35, $O35))</f>
        <v>132890</v>
      </c>
      <c r="M35" s="155" cm="1">
        <f t="array" aca="1" ref="M35" ca="1">IF(ISNUMBER(SEARCH("Транс",$C35)),_xlfn.XLOOKUP(1,('Фрахт Транс'!$A$5:$A$10=$D35)*1,_xlfn.XLOOKUP(1,('Фрахт Транс'!$B$3:$M$3=$S$2)*('Фрахт Транс'!$B$4:$M$4=M$2),'Фрахт Транс'!$B$5:$M$10)),SUM($E35, $G35, $J35, $O35))</f>
        <v>143890</v>
      </c>
      <c r="N35" s="155" cm="1">
        <f t="array" aca="1" ref="N35" ca="1">IF(ISNUMBER(SEARCH("Транс",$C35)),_xlfn.XLOOKUP(1,('Фрахт Транс'!$A$5:$A$10=$D35)*1,_xlfn.XLOOKUP(1,('Фрахт Транс'!$B$3:$M$3=$S$2)*('Фрахт Транс'!$B$4:$M$4=N$2),'Фрахт Транс'!$B$5:$M$10)),SUM($F35, $H35, $K35, $P35))</f>
        <v>213479</v>
      </c>
      <c r="O35" s="155" cm="1">
        <f t="array" aca="1" ref="O35" ca="1">IFERROR(_xlfn.XLOOKUP(1,  (Охрана!$A$6:$A$14 = $D35) * 1,  _xlfn.XLOOKUP(1,  (Охрана!$B$5:$M$5 = O$2) * (Охрана!$B$4:$M$4 = $S$2), Охрана!$B$6:$M$14)), "-")</f>
        <v>1990</v>
      </c>
      <c r="P35" s="200" cm="1">
        <f t="array" aca="1" ref="P35" ca="1">IFERROR(_xlfn.XLOOKUP(1,  (Охрана!$A$6:$A$14 = $D35) * 1,  _xlfn.XLOOKUP(1,  (Охрана!$B$5:$M$5 = P$2) * (Охрана!$B$4:$M$4 = $S$2), Охрана!$B$6:$M$14)), "-")</f>
        <v>4079</v>
      </c>
      <c r="Q35" s="38"/>
      <c r="R35" s="3"/>
      <c r="AB35" s="5"/>
    </row>
    <row r="36" spans="1:29" ht="15.75" customHeight="1" thickBot="1" x14ac:dyDescent="0.3">
      <c r="A36" s="213" t="s">
        <v>15</v>
      </c>
      <c r="B36" s="289"/>
      <c r="C36" s="76" t="s">
        <v>53</v>
      </c>
      <c r="D36" s="77" t="s">
        <v>7</v>
      </c>
      <c r="E36" s="156" cm="1">
        <f t="array" ref="E36">IFERROR(_xlfn.XLOOKUP(1, (Фрахт!$A$5:$A$80 = $A36)* (Фрахт!$B$5:$B$80 = $C36) * (Фрахт!$C$5:$C$80 =$D36),  _xlfn.XLOOKUP(1,  (Фрахт!$D$4:$E$4 = E$2) * 1, Фрахт!$D$5:$E$80)) *  $S$1, "-")</f>
        <v>282000</v>
      </c>
      <c r="F36" s="156" cm="1">
        <f t="array" ref="F36">IFERROR(_xlfn.XLOOKUP(1, (Фрахт!$A$5:$A$80 = $A36)* (Фрахт!$B$5:$B$80 = $C36) * (Фрахт!$C$5:$C$80 =$D36),  _xlfn.XLOOKUP(1,  (Фрахт!$D$4:$E$4 = F$2) * 1, Фрахт!$D$5:$E$80)) *  $S$1, "-")</f>
        <v>342000</v>
      </c>
      <c r="G36" s="156" cm="1">
        <f t="array" aca="1" ref="G36" ca="1">IFERROR(_xlfn.XLOOKUP(1,  ('Drop off'!$A$6:$A$14 = $C36) * 1,  _xlfn.XLOOKUP(1,  ('Drop off'!$B$5:$I$5 = G$2) * ('Drop off'!$B$4:$I$4 = $S$2), 'Drop off'!$B$6:$I$14)) * $S$1, "-")</f>
        <v>0</v>
      </c>
      <c r="H36" s="156" cm="1">
        <f t="array" aca="1" ref="H36" ca="1">IFERROR(_xlfn.XLOOKUP(1,  ('Drop off'!$A$6:$A$14 = $C36) * 1,  _xlfn.XLOOKUP(1,  ('Drop off'!$B$5:$I$5 = H$2) * ('Drop off'!$B$4:$I$4 = $S$2), 'Drop off'!$B$6:$I$14)) * $S$1, "-")</f>
        <v>0</v>
      </c>
      <c r="I36" s="156" cm="1">
        <f t="array" aca="1" ref="I36" ca="1">IFERROR(_xlfn.XLOOKUP(1,  ('ж.д.'!$A$6:$A$14 = $D36) * 1,  _xlfn.XLOOKUP(1,  ('ж.д.'!$B$5:$M$5 = I$2) * ('ж.д.'!$B$4:$M$4 = $S$2), 'ж.д.'!$B$6:$M$14)), "-")</f>
        <v>101000</v>
      </c>
      <c r="J36" s="156" cm="1">
        <f t="array" aca="1" ref="J36" ca="1">IFERROR(_xlfn.XLOOKUP(1,  ('ж.д.'!$A$6:$A$14 = $D36) * 1,  _xlfn.XLOOKUP(1,  ('ж.д.'!$B$5:$M$5 = J$2) * ('ж.д.'!$B$4:$M$4 = $S$2), 'ж.д.'!$B$6:$M$14)), "-")</f>
        <v>115000</v>
      </c>
      <c r="K36" s="156" cm="1">
        <f t="array" aca="1" ref="K36" ca="1">IFERROR(_xlfn.XLOOKUP(1,  ('ж.д.'!$A$6:$A$14 = $D36) * 1,  _xlfn.XLOOKUP(1,  ('ж.д.'!$B$5:$M$5 = K$2) * ('ж.д.'!$B$4:$M$4 = $S$2), 'ж.д.'!$B$6:$M$14)), "-")</f>
        <v>175000</v>
      </c>
      <c r="L36" s="156" cm="1">
        <f t="array" aca="1" ref="L36" ca="1">IF(ISNUMBER(SEARCH("Транс",$C36)),_xlfn.XLOOKUP(1,('Фрахт Транс'!$A$5:$A$10=$D36)*1,_xlfn.XLOOKUP(1,('Фрахт Транс'!$B$3:$M$3 = $S$2)*('Фрахт Транс'!$B$4:$M$4=L$2),'Фрахт Транс'!$B$5:$M$10)),SUM($E36, $G36, $I36, $O36))</f>
        <v>385400</v>
      </c>
      <c r="M36" s="156" cm="1">
        <f t="array" aca="1" ref="M36" ca="1">IF(ISNUMBER(SEARCH("Транс",$C36)),_xlfn.XLOOKUP(1,('Фрахт Транс'!$A$5:$A$10=$D36)*1,_xlfn.XLOOKUP(1,('Фрахт Транс'!$B$3:$M$3=$S$2)*('Фрахт Транс'!$B$4:$M$4=M$2),'Фрахт Транс'!$B$5:$M$10)),SUM($E36, $G36, $J36, $O36))</f>
        <v>399400</v>
      </c>
      <c r="N36" s="156" cm="1">
        <f t="array" aca="1" ref="N36" ca="1">IF(ISNUMBER(SEARCH("Транс",$C36)),_xlfn.XLOOKUP(1,('Фрахт Транс'!$A$5:$A$10=$D36)*1,_xlfn.XLOOKUP(1,('Фрахт Транс'!$B$3:$M$3=$S$2)*('Фрахт Транс'!$B$4:$M$4=N$2),'Фрахт Транс'!$B$5:$M$10)),SUM($F36, $H36, $K36, $P36))</f>
        <v>521900</v>
      </c>
      <c r="O36" s="156" cm="1">
        <f t="array" aca="1" ref="O36" ca="1">IFERROR(_xlfn.XLOOKUP(1,  (Охрана!$A$6:$A$14 = $D36) * 1,  _xlfn.XLOOKUP(1,  (Охрана!$B$5:$M$5 = O$2) * (Охрана!$B$4:$M$4 = $S$2), Охрана!$B$6:$M$14)), "-")</f>
        <v>2400</v>
      </c>
      <c r="P36" s="201" cm="1">
        <f t="array" aca="1" ref="P36" ca="1">IFERROR(_xlfn.XLOOKUP(1,  (Охрана!$A$6:$A$14 = $D36) * 1,  _xlfn.XLOOKUP(1,  (Охрана!$B$5:$M$5 = P$2) * (Охрана!$B$4:$M$4 = $S$2), Охрана!$B$6:$M$14)), "-")</f>
        <v>4900</v>
      </c>
      <c r="Q36" s="38"/>
      <c r="R36" s="71"/>
      <c r="AB36" s="5"/>
    </row>
    <row r="37" spans="1:29" ht="30.75" thickBot="1" x14ac:dyDescent="0.3">
      <c r="A37" s="224" t="s">
        <v>16</v>
      </c>
      <c r="B37" s="294" t="s">
        <v>16</v>
      </c>
      <c r="C37" s="63" t="s">
        <v>43</v>
      </c>
      <c r="D37" s="64" t="s">
        <v>48</v>
      </c>
      <c r="E37" s="148" t="str" cm="1">
        <f t="array" ref="E37">IFERROR(_xlfn.XLOOKUP(1, (Фрахт!$A$5:$A$80 = $A37)* (Фрахт!$B$5:$B$80 = $C37) * (Фрахт!$C$5:$C$80 =$D37),  _xlfn.XLOOKUP(1,  (Фрахт!$D$4:$E$4 = E$2) * 1, Фрахт!$D$5:$E$80)) *  $S$1, "-")</f>
        <v>-</v>
      </c>
      <c r="F37" s="148" t="str" cm="1">
        <f t="array" ref="F37">IFERROR(_xlfn.XLOOKUP(1, (Фрахт!$A$5:$A$80 = $A37)* (Фрахт!$B$5:$B$80 = $C37) * (Фрахт!$C$5:$C$80 =$D37),  _xlfn.XLOOKUP(1,  (Фрахт!$D$4:$E$4 = F$2) * 1, Фрахт!$D$5:$E$80)) *  $S$1, "-")</f>
        <v>-</v>
      </c>
      <c r="G37" s="148" cm="1">
        <f t="array" aca="1" ref="G37" ca="1">IFERROR(_xlfn.XLOOKUP(1,  ('Drop off'!$A$6:$A$14 = $C37) * 1,  _xlfn.XLOOKUP(1,  ('Drop off'!$B$5:$I$5 = G$2) * ('Drop off'!$B$4:$I$4 = $S$2), 'Drop off'!$B$6:$I$14)) * $S$1, "-")</f>
        <v>0</v>
      </c>
      <c r="H37" s="148" cm="1">
        <f t="array" aca="1" ref="H37" ca="1">IFERROR(_xlfn.XLOOKUP(1,  ('Drop off'!$A$6:$A$14 = $C37) * 1,  _xlfn.XLOOKUP(1,  ('Drop off'!$B$5:$I$5 = H$2) * ('Drop off'!$B$4:$I$4 = $S$2), 'Drop off'!$B$6:$I$14)) * $S$1, "-")</f>
        <v>0</v>
      </c>
      <c r="I37" s="148" t="str" cm="1">
        <f t="array" aca="1" ref="I37" ca="1">IFERROR(_xlfn.XLOOKUP(1,  ('ж.д.'!$A$6:$A$14 = $D37) * 1,  _xlfn.XLOOKUP(1,  ('ж.д.'!$B$5:$M$5 = I$2) * ('ж.д.'!$B$4:$M$4 = $S$2), 'ж.д.'!$B$6:$M$14)), "-")</f>
        <v>-</v>
      </c>
      <c r="J37" s="148" t="str" cm="1">
        <f t="array" aca="1" ref="J37" ca="1">IFERROR(_xlfn.XLOOKUP(1,  ('ж.д.'!$A$6:$A$14 = $D37) * 1,  _xlfn.XLOOKUP(1,  ('ж.д.'!$B$5:$M$5 = J$2) * ('ж.д.'!$B$4:$M$4 = $S$2), 'ж.д.'!$B$6:$M$14)), "-")</f>
        <v>-</v>
      </c>
      <c r="K37" s="148" t="str" cm="1">
        <f t="array" aca="1" ref="K37" ca="1">IFERROR(_xlfn.XLOOKUP(1,  ('ж.д.'!$A$6:$A$14 = $D37) * 1,  _xlfn.XLOOKUP(1,  ('ж.д.'!$B$5:$M$5 = K$2) * ('ж.д.'!$B$4:$M$4 = $S$2), 'ж.д.'!$B$6:$M$14)), "-")</f>
        <v>-</v>
      </c>
      <c r="L37" s="148" cm="1">
        <f t="array" aca="1" ref="L37" ca="1">IF(ISNUMBER(SEARCH("Транс",$C37)),_xlfn.XLOOKUP(1,('Фрахт Транс'!$A$5:$A$10=$D37)*1,_xlfn.XLOOKUP(1,('Фрахт Транс'!$B$3:$M$3 = $S$2)*('Фрахт Транс'!$B$4:$M$4=L$2),'Фрахт Транс'!$B$5:$M$10)),SUM($E37, $G37, $I37, $O37))</f>
        <v>399467</v>
      </c>
      <c r="M37" s="148" cm="1">
        <f t="array" aca="1" ref="M37" ca="1">IF(ISNUMBER(SEARCH("Транс",$C37)),_xlfn.XLOOKUP(1,('Фрахт Транс'!$A$5:$A$10=$D37)*1,_xlfn.XLOOKUP(1,('Фрахт Транс'!$B$3:$M$3=$S$2)*('Фрахт Транс'!$B$4:$M$4=M$2),'Фрахт Транс'!$B$5:$M$10)),SUM($E37, $G37, $J37, $O37))</f>
        <v>413372</v>
      </c>
      <c r="N37" s="148" cm="1">
        <f t="array" aca="1" ref="N37" ca="1">IF(ISNUMBER(SEARCH("Транс",$C37)),_xlfn.XLOOKUP(1,('Фрахт Транс'!$A$5:$A$10=$D37)*1,_xlfn.XLOOKUP(1,('Фрахт Транс'!$B$3:$M$3=$S$2)*('Фрахт Транс'!$B$4:$M$4=N$2),'Фрахт Транс'!$B$5:$M$10)),SUM($F37, $H37, $K37, $P37))</f>
        <v>557326</v>
      </c>
      <c r="O37" s="148" t="str" cm="1">
        <f t="array" aca="1" ref="O37" ca="1">IFERROR(_xlfn.XLOOKUP(1,  (Охрана!$A$6:$A$14 = $D37) * 1,  _xlfn.XLOOKUP(1,  (Охрана!$B$5:$M$5 = O$2) * (Охрана!$B$4:$M$4 = $S$2), Охрана!$B$6:$M$14)), "-")</f>
        <v>-</v>
      </c>
      <c r="P37" s="230" t="str" cm="1">
        <f t="array" aca="1" ref="P37" ca="1">IFERROR(_xlfn.XLOOKUP(1,  (Охрана!$A$6:$A$14 = $D37) * 1,  _xlfn.XLOOKUP(1,  (Охрана!$B$5:$M$5 = P$2) * (Охрана!$B$4:$M$4 = $S$2), Охрана!$B$6:$M$14)), "-")</f>
        <v>-</v>
      </c>
      <c r="Q37" s="38"/>
      <c r="R37" s="6"/>
      <c r="AB37" s="5"/>
    </row>
    <row r="38" spans="1:29" ht="15.75" customHeight="1" thickBot="1" x14ac:dyDescent="0.3">
      <c r="A38" s="224" t="s">
        <v>16</v>
      </c>
      <c r="B38" s="295"/>
      <c r="C38" s="42" t="s">
        <v>12</v>
      </c>
      <c r="D38" s="32" t="s">
        <v>30</v>
      </c>
      <c r="E38" s="149" cm="1">
        <f t="array" ref="E38">IFERROR(_xlfn.XLOOKUP(1, (Фрахт!$A$5:$A$80 = $A38)* (Фрахт!$B$5:$B$80 = $C38) * (Фрахт!$C$5:$C$80 =$D38),  _xlfn.XLOOKUP(1,  (Фрахт!$D$4:$E$4 = E$2) * 1, Фрахт!$D$5:$E$80)) *  $S$1, "-")</f>
        <v>330000</v>
      </c>
      <c r="F38" s="149" cm="1">
        <f t="array" ref="F38">IFERROR(_xlfn.XLOOKUP(1, (Фрахт!$A$5:$A$80 = $A38)* (Фрахт!$B$5:$B$80 = $C38) * (Фрахт!$C$5:$C$80 =$D38),  _xlfn.XLOOKUP(1,  (Фрахт!$D$4:$E$4 = F$2) * 1, Фрахт!$D$5:$E$80)) *  $S$1, "-")</f>
        <v>510000</v>
      </c>
      <c r="G38" s="149" cm="1">
        <f t="array" aca="1" ref="G38" ca="1">IFERROR(_xlfn.XLOOKUP(1,  ('Drop off'!$A$6:$A$14 = $C38) * 1,  _xlfn.XLOOKUP(1,  ('Drop off'!$B$5:$I$5 = G$2) * ('Drop off'!$B$4:$I$4 = $S$2), 'Drop off'!$B$6:$I$14)) * $S$1, "-")</f>
        <v>0</v>
      </c>
      <c r="H38" s="149" cm="1">
        <f t="array" aca="1" ref="H38" ca="1">IFERROR(_xlfn.XLOOKUP(1,  ('Drop off'!$A$6:$A$14 = $C38) * 1,  _xlfn.XLOOKUP(1,  ('Drop off'!$B$5:$I$5 = H$2) * ('Drop off'!$B$4:$I$4 = $S$2), 'Drop off'!$B$6:$I$14)) * $S$1, "-")</f>
        <v>0</v>
      </c>
      <c r="I38" s="149" cm="1">
        <f t="array" aca="1" ref="I38" ca="1">IFERROR(_xlfn.XLOOKUP(1,  ('ж.д.'!$A$6:$A$14 = $D38) * 1,  _xlfn.XLOOKUP(1,  ('ж.д.'!$B$5:$M$5 = I$2) * ('ж.д.'!$B$4:$M$4 = $S$2), 'ж.д.'!$B$6:$M$14)), "-")</f>
        <v>93100</v>
      </c>
      <c r="J38" s="149" cm="1">
        <f t="array" aca="1" ref="J38" ca="1">IFERROR(_xlfn.XLOOKUP(1,  ('ж.д.'!$A$6:$A$14 = $D38) * 1,  _xlfn.XLOOKUP(1,  ('ж.д.'!$B$5:$M$5 = J$2) * ('ж.д.'!$B$4:$M$4 = $S$2), 'ж.д.'!$B$6:$M$14)), "-")</f>
        <v>104115</v>
      </c>
      <c r="K38" s="149" cm="1">
        <f t="array" aca="1" ref="K38" ca="1">IFERROR(_xlfn.XLOOKUP(1,  ('ж.д.'!$A$6:$A$14 = $D38) * 1,  _xlfn.XLOOKUP(1,  ('ж.д.'!$B$5:$M$5 = K$2) * ('ж.д.'!$B$4:$M$4 = $S$2), 'ж.д.'!$B$6:$M$14)), "-")</f>
        <v>168000</v>
      </c>
      <c r="L38" s="149" cm="1">
        <f t="array" aca="1" ref="L38" ca="1">IF(ISNUMBER(SEARCH("Транс",$C38)),_xlfn.XLOOKUP(1,('Фрахт Транс'!$A$5:$A$10=$D38)*1,_xlfn.XLOOKUP(1,('Фрахт Транс'!$B$3:$M$3 = $S$2)*('Фрахт Транс'!$B$4:$M$4=L$2),'Фрахт Транс'!$B$5:$M$10)),SUM($E38, $G38, $I38, $O38))</f>
        <v>425840</v>
      </c>
      <c r="M38" s="149" cm="1">
        <f t="array" aca="1" ref="M38" ca="1">IF(ISNUMBER(SEARCH("Транс",$C38)),_xlfn.XLOOKUP(1,('Фрахт Транс'!$A$5:$A$10=$D38)*1,_xlfn.XLOOKUP(1,('Фрахт Транс'!$B$3:$M$3=$S$2)*('Фрахт Транс'!$B$4:$M$4=M$2),'Фрахт Транс'!$B$5:$M$10)),SUM($E38, $G38, $J38, $O38))</f>
        <v>436855</v>
      </c>
      <c r="N38" s="149" cm="1">
        <f t="array" aca="1" ref="N38" ca="1">IF(ISNUMBER(SEARCH("Транс",$C38)),_xlfn.XLOOKUP(1,('Фрахт Транс'!$A$5:$A$10=$D38)*1,_xlfn.XLOOKUP(1,('Фрахт Транс'!$B$3:$M$3=$S$2)*('Фрахт Транс'!$B$4:$M$4=N$2),'Фрахт Транс'!$B$5:$M$10)),SUM($F38, $H38, $K38, $P38))</f>
        <v>682829</v>
      </c>
      <c r="O38" s="149" cm="1">
        <f t="array" aca="1" ref="O38" ca="1">IFERROR(_xlfn.XLOOKUP(1,  (Охрана!$A$6:$A$14 = $D38) * 1,  _xlfn.XLOOKUP(1,  (Охрана!$B$5:$M$5 = O$2) * (Охрана!$B$4:$M$4 = $S$2), Охрана!$B$6:$M$14)), "-")</f>
        <v>2740</v>
      </c>
      <c r="P38" s="194" cm="1">
        <f t="array" aca="1" ref="P38" ca="1">IFERROR(_xlfn.XLOOKUP(1,  (Охрана!$A$6:$A$14 = $D38) * 1,  _xlfn.XLOOKUP(1,  (Охрана!$B$5:$M$5 = P$2) * (Охрана!$B$4:$M$4 = $S$2), Охрана!$B$6:$M$14)), "-")</f>
        <v>4829</v>
      </c>
      <c r="Q38" s="282"/>
      <c r="R38" s="91"/>
      <c r="AB38" s="5"/>
    </row>
    <row r="39" spans="1:29" ht="15.75" customHeight="1" thickBot="1" x14ac:dyDescent="0.3">
      <c r="A39" s="224" t="s">
        <v>16</v>
      </c>
      <c r="B39" s="295"/>
      <c r="C39" s="42" t="s">
        <v>12</v>
      </c>
      <c r="D39" s="32" t="s">
        <v>55</v>
      </c>
      <c r="E39" s="149" cm="1">
        <f t="array" ref="E39">IFERROR(_xlfn.XLOOKUP(1, (Фрахт!$A$5:$A$80 = $A39)* (Фрахт!$B$5:$B$80 = $C39) * (Фрахт!$C$5:$C$80 =$D39),  _xlfn.XLOOKUP(1,  (Фрахт!$D$4:$E$4 = E$2) * 1, Фрахт!$D$5:$E$80)) *  $S$1, "-")</f>
        <v>330000</v>
      </c>
      <c r="F39" s="149" cm="1">
        <f t="array" ref="F39">IFERROR(_xlfn.XLOOKUP(1, (Фрахт!$A$5:$A$80 = $A39)* (Фрахт!$B$5:$B$80 = $C39) * (Фрахт!$C$5:$C$80 =$D39),  _xlfn.XLOOKUP(1,  (Фрахт!$D$4:$E$4 = F$2) * 1, Фрахт!$D$5:$E$80)) *  $S$1, "-")</f>
        <v>510000</v>
      </c>
      <c r="G39" s="149" cm="1">
        <f t="array" aca="1" ref="G39" ca="1">IFERROR(_xlfn.XLOOKUP(1,  ('Drop off'!$A$6:$A$14 = $C39) * 1,  _xlfn.XLOOKUP(1,  ('Drop off'!$B$5:$I$5 = G$2) * ('Drop off'!$B$4:$I$4 = $S$2), 'Drop off'!$B$6:$I$14)) * $S$1, "-")</f>
        <v>0</v>
      </c>
      <c r="H39" s="149" cm="1">
        <f t="array" aca="1" ref="H39" ca="1">IFERROR(_xlfn.XLOOKUP(1,  ('Drop off'!$A$6:$A$14 = $C39) * 1,  _xlfn.XLOOKUP(1,  ('Drop off'!$B$5:$I$5 = H$2) * ('Drop off'!$B$4:$I$4 = $S$2), 'Drop off'!$B$6:$I$14)) * $S$1, "-")</f>
        <v>0</v>
      </c>
      <c r="I39" s="149" cm="1">
        <f t="array" aca="1" ref="I39" ca="1">IFERROR(_xlfn.XLOOKUP(1,  ('ж.д.'!$A$6:$A$14 = $D39) * 1,  _xlfn.XLOOKUP(1,  ('ж.д.'!$B$5:$M$5 = I$2) * ('ж.д.'!$B$4:$M$4 = $S$2), 'ж.д.'!$B$6:$M$14)), "-")</f>
        <v>97945</v>
      </c>
      <c r="J39" s="149" cm="1">
        <f t="array" aca="1" ref="J39" ca="1">IFERROR(_xlfn.XLOOKUP(1,  ('ж.д.'!$A$6:$A$14 = $D39) * 1,  _xlfn.XLOOKUP(1,  ('ж.д.'!$B$5:$M$5 = J$2) * ('ж.д.'!$B$4:$M$4 = $S$2), 'ж.д.'!$B$6:$M$14)), "-")</f>
        <v>111625</v>
      </c>
      <c r="K39" s="149" cm="1">
        <f t="array" aca="1" ref="K39" ca="1">IFERROR(_xlfn.XLOOKUP(1,  ('ж.д.'!$A$6:$A$14 = $D39) * 1,  _xlfn.XLOOKUP(1,  ('ж.д.'!$B$5:$M$5 = K$2) * ('ж.д.'!$B$4:$M$4 = $S$2), 'ж.д.'!$B$6:$M$14)), "-")</f>
        <v>177245</v>
      </c>
      <c r="L39" s="149" cm="1">
        <f t="array" aca="1" ref="L39" ca="1">IF(ISNUMBER(SEARCH("Транс",$C39)),_xlfn.XLOOKUP(1,('Фрахт Транс'!$A$5:$A$10=$D39)*1,_xlfn.XLOOKUP(1,('Фрахт Транс'!$B$3:$M$3 = $S$2)*('Фрахт Транс'!$B$4:$M$4=L$2),'Фрахт Транс'!$B$5:$M$10)),SUM($E39, $G39, $I39, $O39))</f>
        <v>430685</v>
      </c>
      <c r="M39" s="149" cm="1">
        <f t="array" aca="1" ref="M39" ca="1">IF(ISNUMBER(SEARCH("Транс",$C39)),_xlfn.XLOOKUP(1,('Фрахт Транс'!$A$5:$A$10=$D39)*1,_xlfn.XLOOKUP(1,('Фрахт Транс'!$B$3:$M$3=$S$2)*('Фрахт Транс'!$B$4:$M$4=M$2),'Фрахт Транс'!$B$5:$M$10)),SUM($E39, $G39, $J39, $O39))</f>
        <v>444365</v>
      </c>
      <c r="N39" s="149" cm="1">
        <f t="array" aca="1" ref="N39" ca="1">IF(ISNUMBER(SEARCH("Транс",$C39)),_xlfn.XLOOKUP(1,('Фрахт Транс'!$A$5:$A$10=$D39)*1,_xlfn.XLOOKUP(1,('Фрахт Транс'!$B$3:$M$3=$S$2)*('Фрахт Транс'!$B$4:$M$4=N$2),'Фрахт Транс'!$B$5:$M$10)),SUM($F39, $H39, $K39, $P39))</f>
        <v>692074</v>
      </c>
      <c r="O39" s="149" cm="1">
        <f t="array" aca="1" ref="O39" ca="1">IFERROR(_xlfn.XLOOKUP(1,  (Охрана!$A$6:$A$14 = $D39) * 1,  _xlfn.XLOOKUP(1,  (Охрана!$B$5:$M$5 = O$2) * (Охрана!$B$4:$M$4 = $S$2), Охрана!$B$6:$M$14)), "-")</f>
        <v>2740</v>
      </c>
      <c r="P39" s="194" cm="1">
        <f t="array" aca="1" ref="P39" ca="1">IFERROR(_xlfn.XLOOKUP(1,  (Охрана!$A$6:$A$14 = $D39) * 1,  _xlfn.XLOOKUP(1,  (Охрана!$B$5:$M$5 = P$2) * (Охрана!$B$4:$M$4 = $S$2), Охрана!$B$6:$M$14)), "-")</f>
        <v>4829</v>
      </c>
      <c r="Q39" s="282"/>
      <c r="R39" s="3"/>
      <c r="AB39" s="5"/>
    </row>
    <row r="40" spans="1:29" ht="15.75" customHeight="1" thickBot="1" x14ac:dyDescent="0.3">
      <c r="A40" s="224" t="s">
        <v>16</v>
      </c>
      <c r="B40" s="295"/>
      <c r="C40" s="41" t="s">
        <v>35</v>
      </c>
      <c r="D40" s="40" t="s">
        <v>11</v>
      </c>
      <c r="E40" s="150" cm="1">
        <f t="array" ref="E40">IFERROR(_xlfn.XLOOKUP(1, (Фрахт!$A$5:$A$80 = $A40)* (Фрахт!$B$5:$B$80 = $C40) * (Фрахт!$C$5:$C$80 =$D40),  _xlfn.XLOOKUP(1,  (Фрахт!$D$4:$E$4 = E$2) * 1, Фрахт!$D$5:$E$80)) *  $S$1, "-")</f>
        <v>315000</v>
      </c>
      <c r="F40" s="150" cm="1">
        <f t="array" ref="F40">IFERROR(_xlfn.XLOOKUP(1, (Фрахт!$A$5:$A$80 = $A40)* (Фрахт!$B$5:$B$80 = $C40) * (Фрахт!$C$5:$C$80 =$D40),  _xlfn.XLOOKUP(1,  (Фрахт!$D$4:$E$4 = F$2) * 1, Фрахт!$D$5:$E$80)) *  $S$1, "-")</f>
        <v>472500</v>
      </c>
      <c r="G40" s="150" cm="1">
        <f t="array" aca="1" ref="G40" ca="1">IFERROR(_xlfn.XLOOKUP(1,  ('Drop off'!$A$6:$A$14 = $C40) * 1,  _xlfn.XLOOKUP(1,  ('Drop off'!$B$5:$I$5 = G$2) * ('Drop off'!$B$4:$I$4 = $S$2), 'Drop off'!$B$6:$I$14)) * $S$1, "-")</f>
        <v>56700</v>
      </c>
      <c r="H40" s="150" cm="1">
        <f t="array" aca="1" ref="H40" ca="1">IFERROR(_xlfn.XLOOKUP(1,  ('Drop off'!$A$6:$A$14 = $C40) * 1,  _xlfn.XLOOKUP(1,  ('Drop off'!$B$5:$I$5 = H$2) * ('Drop off'!$B$4:$I$4 = $S$2), 'Drop off'!$B$6:$I$14)) * $S$1, "-")</f>
        <v>37800</v>
      </c>
      <c r="I40" s="150" cm="1">
        <f t="array" aca="1" ref="I40" ca="1">IFERROR(_xlfn.XLOOKUP(1,  ('ж.д.'!$A$6:$A$14 = $D40) * 1,  _xlfn.XLOOKUP(1,  ('ж.д.'!$B$5:$M$5 = I$2) * ('ж.д.'!$B$4:$M$4 = $S$2), 'ж.д.'!$B$6:$M$14)), "-")</f>
        <v>99200</v>
      </c>
      <c r="J40" s="150" cm="1">
        <f t="array" aca="1" ref="J40" ca="1">IFERROR(_xlfn.XLOOKUP(1,  ('ж.д.'!$A$6:$A$14 = $D40) * 1,  _xlfn.XLOOKUP(1,  ('ж.д.'!$B$5:$M$5 = J$2) * ('ж.д.'!$B$4:$M$4 = $S$2), 'ж.д.'!$B$6:$M$14)), "-")</f>
        <v>113100</v>
      </c>
      <c r="K40" s="150" cm="1">
        <f t="array" aca="1" ref="K40" ca="1">IFERROR(_xlfn.XLOOKUP(1,  ('ж.д.'!$A$6:$A$14 = $D40) * 1,  _xlfn.XLOOKUP(1,  ('ж.д.'!$B$5:$M$5 = K$2) * ('ж.д.'!$B$4:$M$4 = $S$2), 'ж.д.'!$B$6:$M$14)), "-")</f>
        <v>176500</v>
      </c>
      <c r="L40" s="150" cm="1">
        <f t="array" aca="1" ref="L40" ca="1">IF(ISNUMBER(SEARCH("Транс",$C40)),_xlfn.XLOOKUP(1,('Фрахт Транс'!$A$5:$A$10=$D40)*1,_xlfn.XLOOKUP(1,('Фрахт Транс'!$B$3:$M$3 = $S$2)*('Фрахт Транс'!$B$4:$M$4=L$2),'Фрахт Транс'!$B$5:$M$10)),SUM($E40, $G40, $I40, $O40))</f>
        <v>473040</v>
      </c>
      <c r="M40" s="150" cm="1">
        <f t="array" aca="1" ref="M40" ca="1">IF(ISNUMBER(SEARCH("Транс",$C40)),_xlfn.XLOOKUP(1,('Фрахт Транс'!$A$5:$A$10=$D40)*1,_xlfn.XLOOKUP(1,('Фрахт Транс'!$B$3:$M$3=$S$2)*('Фрахт Транс'!$B$4:$M$4=M$2),'Фрахт Транс'!$B$5:$M$10)),SUM($E40, $G40, $J40, $O40))</f>
        <v>486940</v>
      </c>
      <c r="N40" s="150" cm="1">
        <f t="array" aca="1" ref="N40" ca="1">IF(ISNUMBER(SEARCH("Транс",$C40)),_xlfn.XLOOKUP(1,('Фрахт Транс'!$A$5:$A$10=$D40)*1,_xlfn.XLOOKUP(1,('Фрахт Транс'!$B$3:$M$3=$S$2)*('Фрахт Транс'!$B$4:$M$4=N$2),'Фрахт Транс'!$B$5:$M$10)),SUM($F40, $H40, $K40, $P40))</f>
        <v>691227</v>
      </c>
      <c r="O40" s="150" cm="1">
        <f t="array" aca="1" ref="O40" ca="1">IFERROR(_xlfn.XLOOKUP(1,  (Охрана!$A$6:$A$14 = $D40) * 1,  _xlfn.XLOOKUP(1,  (Охрана!$B$5:$M$5 = O$2) * (Охрана!$B$4:$M$4 = $S$2), Охрана!$B$6:$M$14)), "-")</f>
        <v>2140</v>
      </c>
      <c r="P40" s="195" cm="1">
        <f t="array" aca="1" ref="P40" ca="1">IFERROR(_xlfn.XLOOKUP(1,  (Охрана!$A$6:$A$14 = $D40) * 1,  _xlfn.XLOOKUP(1,  (Охрана!$B$5:$M$5 = P$2) * (Охрана!$B$4:$M$4 = $S$2), Охрана!$B$6:$M$14)), "-")</f>
        <v>4427</v>
      </c>
      <c r="Q40" s="286"/>
      <c r="R40" s="4"/>
      <c r="AB40" s="5"/>
    </row>
    <row r="41" spans="1:29" ht="15.75" customHeight="1" thickBot="1" x14ac:dyDescent="0.3">
      <c r="A41" s="224" t="s">
        <v>16</v>
      </c>
      <c r="B41" s="295"/>
      <c r="C41" s="41" t="s">
        <v>35</v>
      </c>
      <c r="D41" s="40" t="s">
        <v>34</v>
      </c>
      <c r="E41" s="150" cm="1">
        <f t="array" ref="E41">IFERROR(_xlfn.XLOOKUP(1, (Фрахт!$A$5:$A$80 = $A41)* (Фрахт!$B$5:$B$80 = $C41) * (Фрахт!$C$5:$C$80 =$D41),  _xlfn.XLOOKUP(1,  (Фрахт!$D$4:$E$4 = E$2) * 1, Фрахт!$D$5:$E$80)) *  $S$1, "-")</f>
        <v>315000</v>
      </c>
      <c r="F41" s="150" cm="1">
        <f t="array" ref="F41">IFERROR(_xlfn.XLOOKUP(1, (Фрахт!$A$5:$A$80 = $A41)* (Фрахт!$B$5:$B$80 = $C41) * (Фрахт!$C$5:$C$80 =$D41),  _xlfn.XLOOKUP(1,  (Фрахт!$D$4:$E$4 = F$2) * 1, Фрахт!$D$5:$E$80)) *  $S$1, "-")</f>
        <v>472500</v>
      </c>
      <c r="G41" s="150" cm="1">
        <f t="array" aca="1" ref="G41" ca="1">IFERROR(_xlfn.XLOOKUP(1,  ('Drop off'!$A$6:$A$14 = $C41) * 1,  _xlfn.XLOOKUP(1,  ('Drop off'!$B$5:$I$5 = G$2) * ('Drop off'!$B$4:$I$4 = $S$2), 'Drop off'!$B$6:$I$14)) * $S$1, "-")</f>
        <v>56700</v>
      </c>
      <c r="H41" s="150" cm="1">
        <f t="array" aca="1" ref="H41" ca="1">IFERROR(_xlfn.XLOOKUP(1,  ('Drop off'!$A$6:$A$14 = $C41) * 1,  _xlfn.XLOOKUP(1,  ('Drop off'!$B$5:$I$5 = H$2) * ('Drop off'!$B$4:$I$4 = $S$2), 'Drop off'!$B$6:$I$14)) * $S$1, "-")</f>
        <v>37800</v>
      </c>
      <c r="I41" s="150" cm="1">
        <f t="array" aca="1" ref="I41" ca="1">IFERROR(_xlfn.XLOOKUP(1,  ('ж.д.'!$A$6:$A$14 = $D41) * 1,  _xlfn.XLOOKUP(1,  ('ж.д.'!$B$5:$M$5 = I$2) * ('ж.д.'!$B$4:$M$4 = $S$2), 'ж.д.'!$B$6:$M$14)), "-")</f>
        <v>103900</v>
      </c>
      <c r="J41" s="150" cm="1">
        <f t="array" aca="1" ref="J41" ca="1">IFERROR(_xlfn.XLOOKUP(1,  ('ж.д.'!$A$6:$A$14 = $D41) * 1,  _xlfn.XLOOKUP(1,  ('ж.д.'!$B$5:$M$5 = J$2) * ('ж.д.'!$B$4:$M$4 = $S$2), 'ж.д.'!$B$6:$M$14)), "-")</f>
        <v>114900</v>
      </c>
      <c r="K41" s="150" cm="1">
        <f t="array" aca="1" ref="K41" ca="1">IFERROR(_xlfn.XLOOKUP(1,  ('ж.д.'!$A$6:$A$14 = $D41) * 1,  _xlfn.XLOOKUP(1,  ('ж.д.'!$B$5:$M$5 = K$2) * ('ж.д.'!$B$4:$M$4 = $S$2), 'ж.д.'!$B$6:$M$14)), "-")</f>
        <v>182400</v>
      </c>
      <c r="L41" s="150" cm="1">
        <f t="array" aca="1" ref="L41" ca="1">IF(ISNUMBER(SEARCH("Транс",$C41)),_xlfn.XLOOKUP(1,('Фрахт Транс'!$A$5:$A$10=$D41)*1,_xlfn.XLOOKUP(1,('Фрахт Транс'!$B$3:$M$3 = $S$2)*('Фрахт Транс'!$B$4:$M$4=L$2),'Фрахт Транс'!$B$5:$M$10)),SUM($E41, $G41, $I41, $O41))</f>
        <v>477590</v>
      </c>
      <c r="M41" s="150" cm="1">
        <f t="array" aca="1" ref="M41" ca="1">IF(ISNUMBER(SEARCH("Транс",$C41)),_xlfn.XLOOKUP(1,('Фрахт Транс'!$A$5:$A$10=$D41)*1,_xlfn.XLOOKUP(1,('Фрахт Транс'!$B$3:$M$3=$S$2)*('Фрахт Транс'!$B$4:$M$4=M$2),'Фрахт Транс'!$B$5:$M$10)),SUM($E41, $G41, $J41, $O41))</f>
        <v>488590</v>
      </c>
      <c r="N41" s="150" cm="1">
        <f t="array" aca="1" ref="N41" ca="1">IF(ISNUMBER(SEARCH("Транс",$C41)),_xlfn.XLOOKUP(1,('Фрахт Транс'!$A$5:$A$10=$D41)*1,_xlfn.XLOOKUP(1,('Фрахт Транс'!$B$3:$M$3=$S$2)*('Фрахт Транс'!$B$4:$M$4=N$2),'Фрахт Транс'!$B$5:$M$10)),SUM($F41, $H41, $K41, $P41))</f>
        <v>696779</v>
      </c>
      <c r="O41" s="150" cm="1">
        <f t="array" aca="1" ref="O41" ca="1">IFERROR(_xlfn.XLOOKUP(1,  (Охрана!$A$6:$A$14 = $D41) * 1,  _xlfn.XLOOKUP(1,  (Охрана!$B$5:$M$5 = O$2) * (Охрана!$B$4:$M$4 = $S$2), Охрана!$B$6:$M$14)), "-")</f>
        <v>1990</v>
      </c>
      <c r="P41" s="195" cm="1">
        <f t="array" aca="1" ref="P41" ca="1">IFERROR(_xlfn.XLOOKUP(1,  (Охрана!$A$6:$A$14 = $D41) * 1,  _xlfn.XLOOKUP(1,  (Охрана!$B$5:$M$5 = P$2) * (Охрана!$B$4:$M$4 = $S$2), Охрана!$B$6:$M$14)), "-")</f>
        <v>4079</v>
      </c>
      <c r="Q41" s="286"/>
      <c r="R41" s="4"/>
      <c r="AB41" s="5"/>
    </row>
    <row r="42" spans="1:29" ht="15.75" customHeight="1" thickBot="1" x14ac:dyDescent="0.3">
      <c r="A42" s="224" t="s">
        <v>16</v>
      </c>
      <c r="B42" s="295"/>
      <c r="C42" s="41" t="s">
        <v>35</v>
      </c>
      <c r="D42" s="40" t="s">
        <v>10</v>
      </c>
      <c r="E42" s="150" cm="1">
        <f t="array" ref="E42">IFERROR(_xlfn.XLOOKUP(1, (Фрахт!$A$5:$A$80 = $A42)* (Фрахт!$B$5:$B$80 = $C42) * (Фрахт!$C$5:$C$80 =$D42),  _xlfn.XLOOKUP(1,  (Фрахт!$D$4:$E$4 = E$2) * 1, Фрахт!$D$5:$E$80)) *  $S$1, "-")</f>
        <v>315000</v>
      </c>
      <c r="F42" s="150" cm="1">
        <f t="array" ref="F42">IFERROR(_xlfn.XLOOKUP(1, (Фрахт!$A$5:$A$80 = $A42)* (Фрахт!$B$5:$B$80 = $C42) * (Фрахт!$C$5:$C$80 =$D42),  _xlfn.XLOOKUP(1,  (Фрахт!$D$4:$E$4 = F$2) * 1, Фрахт!$D$5:$E$80)) *  $S$1, "-")</f>
        <v>472500</v>
      </c>
      <c r="G42" s="150" cm="1">
        <f t="array" aca="1" ref="G42" ca="1">IFERROR(_xlfn.XLOOKUP(1,  ('Drop off'!$A$6:$A$14 = $C42) * 1,  _xlfn.XLOOKUP(1,  ('Drop off'!$B$5:$I$5 = G$2) * ('Drop off'!$B$4:$I$4 = $S$2), 'Drop off'!$B$6:$I$14)) * $S$1, "-")</f>
        <v>56700</v>
      </c>
      <c r="H42" s="150" cm="1">
        <f t="array" aca="1" ref="H42" ca="1">IFERROR(_xlfn.XLOOKUP(1,  ('Drop off'!$A$6:$A$14 = $C42) * 1,  _xlfn.XLOOKUP(1,  ('Drop off'!$B$5:$I$5 = H$2) * ('Drop off'!$B$4:$I$4 = $S$2), 'Drop off'!$B$6:$I$14)) * $S$1, "-")</f>
        <v>37800</v>
      </c>
      <c r="I42" s="150" cm="1">
        <f t="array" aca="1" ref="I42" ca="1">IFERROR(_xlfn.XLOOKUP(1,  ('ж.д.'!$A$6:$A$14 = $D42) * 1,  _xlfn.XLOOKUP(1,  ('ж.д.'!$B$5:$M$5 = I$2) * ('ж.д.'!$B$4:$M$4 = $S$2), 'ж.д.'!$B$6:$M$14)), "-")</f>
        <v>103000</v>
      </c>
      <c r="J42" s="150" cm="1">
        <f t="array" aca="1" ref="J42" ca="1">IFERROR(_xlfn.XLOOKUP(1,  ('ж.д.'!$A$6:$A$14 = $D42) * 1,  _xlfn.XLOOKUP(1,  ('ж.д.'!$B$5:$M$5 = J$2) * ('ж.д.'!$B$4:$M$4 = $S$2), 'ж.д.'!$B$6:$M$14)), "-")</f>
        <v>115325</v>
      </c>
      <c r="K42" s="150" cm="1">
        <f t="array" aca="1" ref="K42" ca="1">IFERROR(_xlfn.XLOOKUP(1,  ('ж.д.'!$A$6:$A$14 = $D42) * 1,  _xlfn.XLOOKUP(1,  ('ж.д.'!$B$5:$M$5 = K$2) * ('ж.д.'!$B$4:$M$4 = $S$2), 'ж.д.'!$B$6:$M$14)), "-")</f>
        <v>184000</v>
      </c>
      <c r="L42" s="150" cm="1">
        <f t="array" aca="1" ref="L42" ca="1">IF(ISNUMBER(SEARCH("Транс",$C42)),_xlfn.XLOOKUP(1,('Фрахт Транс'!$A$5:$A$10=$D42)*1,_xlfn.XLOOKUP(1,('Фрахт Транс'!$B$3:$M$3 = $S$2)*('Фрахт Транс'!$B$4:$M$4=L$2),'Фрахт Транс'!$B$5:$M$10)),SUM($E42, $G42, $I42, $O42))</f>
        <v>477440</v>
      </c>
      <c r="M42" s="150" cm="1">
        <f t="array" aca="1" ref="M42" ca="1">IF(ISNUMBER(SEARCH("Транс",$C42)),_xlfn.XLOOKUP(1,('Фрахт Транс'!$A$5:$A$10=$D42)*1,_xlfn.XLOOKUP(1,('Фрахт Транс'!$B$3:$M$3=$S$2)*('Фрахт Транс'!$B$4:$M$4=M$2),'Фрахт Транс'!$B$5:$M$10)),SUM($E42, $G42, $J42, $O42))</f>
        <v>489765</v>
      </c>
      <c r="N42" s="150" cm="1">
        <f t="array" aca="1" ref="N42" ca="1">IF(ISNUMBER(SEARCH("Транс",$C42)),_xlfn.XLOOKUP(1,('Фрахт Транс'!$A$5:$A$10=$D42)*1,_xlfn.XLOOKUP(1,('Фрахт Транс'!$B$3:$M$3=$S$2)*('Фрахт Транс'!$B$4:$M$4=N$2),'Фрахт Транс'!$B$5:$M$10)),SUM($F42, $H42, $K42, $P42))</f>
        <v>699129</v>
      </c>
      <c r="O42" s="150" cm="1">
        <f t="array" aca="1" ref="O42" ca="1">IFERROR(_xlfn.XLOOKUP(1,  (Охрана!$A$6:$A$14 = $D42) * 1,  _xlfn.XLOOKUP(1,  (Охрана!$B$5:$M$5 = O$2) * (Охрана!$B$4:$M$4 = $S$2), Охрана!$B$6:$M$14)), "-")</f>
        <v>2740</v>
      </c>
      <c r="P42" s="195" cm="1">
        <f t="array" aca="1" ref="P42" ca="1">IFERROR(_xlfn.XLOOKUP(1,  (Охрана!$A$6:$A$14 = $D42) * 1,  _xlfn.XLOOKUP(1,  (Охрана!$B$5:$M$5 = P$2) * (Охрана!$B$4:$M$4 = $S$2), Охрана!$B$6:$M$14)), "-")</f>
        <v>4829</v>
      </c>
      <c r="Q42" s="286"/>
      <c r="AB42" s="5"/>
    </row>
    <row r="43" spans="1:29" ht="15.75" customHeight="1" thickBot="1" x14ac:dyDescent="0.3">
      <c r="A43" s="224" t="s">
        <v>16</v>
      </c>
      <c r="B43" s="295"/>
      <c r="C43" s="41" t="s">
        <v>35</v>
      </c>
      <c r="D43" s="40" t="s">
        <v>7</v>
      </c>
      <c r="E43" s="150" cm="1">
        <f t="array" ref="E43">IFERROR(_xlfn.XLOOKUP(1, (Фрахт!$A$5:$A$80 = $A43)* (Фрахт!$B$5:$B$80 = $C43) * (Фрахт!$C$5:$C$80 =$D43),  _xlfn.XLOOKUP(1,  (Фрахт!$D$4:$E$4 = E$2) * 1, Фрахт!$D$5:$E$80)) *  $S$1, "-")</f>
        <v>315000</v>
      </c>
      <c r="F43" s="150" cm="1">
        <f t="array" ref="F43">IFERROR(_xlfn.XLOOKUP(1, (Фрахт!$A$5:$A$80 = $A43)* (Фрахт!$B$5:$B$80 = $C43) * (Фрахт!$C$5:$C$80 =$D43),  _xlfn.XLOOKUP(1,  (Фрахт!$D$4:$E$4 = F$2) * 1, Фрахт!$D$5:$E$80)) *  $S$1, "-")</f>
        <v>472500</v>
      </c>
      <c r="G43" s="150" cm="1">
        <f t="array" aca="1" ref="G43" ca="1">IFERROR(_xlfn.XLOOKUP(1,  ('Drop off'!$A$6:$A$14 = $C43) * 1,  _xlfn.XLOOKUP(1,  ('Drop off'!$B$5:$I$5 = G$2) * ('Drop off'!$B$4:$I$4 = $S$2), 'Drop off'!$B$6:$I$14)) * $S$1, "-")</f>
        <v>56700</v>
      </c>
      <c r="H43" s="150" cm="1">
        <f t="array" aca="1" ref="H43" ca="1">IFERROR(_xlfn.XLOOKUP(1,  ('Drop off'!$A$6:$A$14 = $C43) * 1,  _xlfn.XLOOKUP(1,  ('Drop off'!$B$5:$I$5 = H$2) * ('Drop off'!$B$4:$I$4 = $S$2), 'Drop off'!$B$6:$I$14)) * $S$1, "-")</f>
        <v>37800</v>
      </c>
      <c r="I43" s="150" cm="1">
        <f t="array" aca="1" ref="I43" ca="1">IFERROR(_xlfn.XLOOKUP(1,  ('ж.д.'!$A$6:$A$14 = $D43) * 1,  _xlfn.XLOOKUP(1,  ('ж.д.'!$B$5:$M$5 = I$2) * ('ж.д.'!$B$4:$M$4 = $S$2), 'ж.д.'!$B$6:$M$14)), "-")</f>
        <v>101000</v>
      </c>
      <c r="J43" s="150" cm="1">
        <f t="array" aca="1" ref="J43" ca="1">IFERROR(_xlfn.XLOOKUP(1,  ('ж.д.'!$A$6:$A$14 = $D43) * 1,  _xlfn.XLOOKUP(1,  ('ж.д.'!$B$5:$M$5 = J$2) * ('ж.д.'!$B$4:$M$4 = $S$2), 'ж.д.'!$B$6:$M$14)), "-")</f>
        <v>115000</v>
      </c>
      <c r="K43" s="150" cm="1">
        <f t="array" aca="1" ref="K43" ca="1">IFERROR(_xlfn.XLOOKUP(1,  ('ж.д.'!$A$6:$A$14 = $D43) * 1,  _xlfn.XLOOKUP(1,  ('ж.д.'!$B$5:$M$5 = K$2) * ('ж.д.'!$B$4:$M$4 = $S$2), 'ж.д.'!$B$6:$M$14)), "-")</f>
        <v>175000</v>
      </c>
      <c r="L43" s="150" cm="1">
        <f t="array" aca="1" ref="L43" ca="1">IF(ISNUMBER(SEARCH("Транс",$C43)),_xlfn.XLOOKUP(1,('Фрахт Транс'!$A$5:$A$10=$D43)*1,_xlfn.XLOOKUP(1,('Фрахт Транс'!$B$3:$M$3 = $S$2)*('Фрахт Транс'!$B$4:$M$4=L$2),'Фрахт Транс'!$B$5:$M$10)),SUM($E43, $G43, $I43, $O43))</f>
        <v>475100</v>
      </c>
      <c r="M43" s="150" cm="1">
        <f t="array" aca="1" ref="M43" ca="1">IF(ISNUMBER(SEARCH("Транс",$C43)),_xlfn.XLOOKUP(1,('Фрахт Транс'!$A$5:$A$10=$D43)*1,_xlfn.XLOOKUP(1,('Фрахт Транс'!$B$3:$M$3=$S$2)*('Фрахт Транс'!$B$4:$M$4=M$2),'Фрахт Транс'!$B$5:$M$10)),SUM($E43, $G43, $J43, $O43))</f>
        <v>489100</v>
      </c>
      <c r="N43" s="150" cm="1">
        <f t="array" aca="1" ref="N43" ca="1">IF(ISNUMBER(SEARCH("Транс",$C43)),_xlfn.XLOOKUP(1,('Фрахт Транс'!$A$5:$A$10=$D43)*1,_xlfn.XLOOKUP(1,('Фрахт Транс'!$B$3:$M$3=$S$2)*('Фрахт Транс'!$B$4:$M$4=N$2),'Фрахт Транс'!$B$5:$M$10)),SUM($F43, $H43, $K43, $P43))</f>
        <v>690200</v>
      </c>
      <c r="O43" s="150" cm="1">
        <f t="array" aca="1" ref="O43" ca="1">IFERROR(_xlfn.XLOOKUP(1,  (Охрана!$A$6:$A$14 = $D43) * 1,  _xlfn.XLOOKUP(1,  (Охрана!$B$5:$M$5 = O$2) * (Охрана!$B$4:$M$4 = $S$2), Охрана!$B$6:$M$14)), "-")</f>
        <v>2400</v>
      </c>
      <c r="P43" s="195" cm="1">
        <f t="array" aca="1" ref="P43" ca="1">IFERROR(_xlfn.XLOOKUP(1,  (Охрана!$A$6:$A$14 = $D43) * 1,  _xlfn.XLOOKUP(1,  (Охрана!$B$5:$M$5 = P$2) * (Охрана!$B$4:$M$4 = $S$2), Охрана!$B$6:$M$14)), "-")</f>
        <v>4900</v>
      </c>
      <c r="Q43" s="286"/>
      <c r="R43" s="4"/>
      <c r="AB43" s="5"/>
    </row>
    <row r="44" spans="1:29" ht="15.75" customHeight="1" thickBot="1" x14ac:dyDescent="0.3">
      <c r="A44" s="224" t="s">
        <v>16</v>
      </c>
      <c r="B44" s="295"/>
      <c r="C44" s="50" t="s">
        <v>36</v>
      </c>
      <c r="D44" s="50" t="s">
        <v>21</v>
      </c>
      <c r="E44" s="151" cm="1">
        <f t="array" ref="E44">IFERROR(_xlfn.XLOOKUP(1, (Фрахт!$A$5:$A$80 = $A44)* (Фрахт!$B$5:$B$80 = $C44) * (Фрахт!$C$5:$C$80 =$D44),  _xlfn.XLOOKUP(1,  (Фрахт!$D$4:$E$4 = E$2) * 1, Фрахт!$D$5:$E$80)) *  $S$1, "-")</f>
        <v>266160</v>
      </c>
      <c r="F44" s="151" cm="1">
        <f t="array" ref="F44">IFERROR(_xlfn.XLOOKUP(1, (Фрахт!$A$5:$A$80 = $A44)* (Фрахт!$B$5:$B$80 = $C44) * (Фрахт!$C$5:$C$80 =$D44),  _xlfn.XLOOKUP(1,  (Фрахт!$D$4:$E$4 = F$2) * 1, Фрахт!$D$5:$E$80)) *  $S$1, "-")</f>
        <v>442320</v>
      </c>
      <c r="G44" s="151" cm="1">
        <f t="array" aca="1" ref="G44" ca="1">IFERROR(_xlfn.XLOOKUP(1,  ('Drop off'!$A$6:$A$14 = $C44) * 1,  _xlfn.XLOOKUP(1,  ('Drop off'!$B$5:$I$5 = G$2) * ('Drop off'!$B$4:$I$4 = $S$2), 'Drop off'!$B$6:$I$14)) * $S$1, "-")</f>
        <v>9000</v>
      </c>
      <c r="H44" s="151" cm="1">
        <f t="array" aca="1" ref="H44" ca="1">IFERROR(_xlfn.XLOOKUP(1,  ('Drop off'!$A$6:$A$14 = $C44) * 1,  _xlfn.XLOOKUP(1,  ('Drop off'!$B$5:$I$5 = H$2) * ('Drop off'!$B$4:$I$4 = $S$2), 'Drop off'!$B$6:$I$14)) * $S$1, "-")</f>
        <v>9000</v>
      </c>
      <c r="I44" s="151" cm="1">
        <f t="array" aca="1" ref="I44" ca="1">IFERROR(_xlfn.XLOOKUP(1,  ('ж.д.'!$A$6:$A$14 = $D44) * 1,  _xlfn.XLOOKUP(1,  ('ж.д.'!$B$5:$M$5 = I$2) * ('ж.д.'!$B$4:$M$4 = $S$2), 'ж.д.'!$B$6:$M$14)), "-")</f>
        <v>103900</v>
      </c>
      <c r="J44" s="151" cm="1">
        <f t="array" aca="1" ref="J44" ca="1">IFERROR(_xlfn.XLOOKUP(1,  ('ж.д.'!$A$6:$A$14 = $D44) * 1,  _xlfn.XLOOKUP(1,  ('ж.д.'!$B$5:$M$5 = J$2) * ('ж.д.'!$B$4:$M$4 = $S$2), 'ж.д.'!$B$6:$M$14)), "-")</f>
        <v>114900</v>
      </c>
      <c r="K44" s="151" cm="1">
        <f t="array" aca="1" ref="K44" ca="1">IFERROR(_xlfn.XLOOKUP(1,  ('ж.д.'!$A$6:$A$14 = $D44) * 1,  _xlfn.XLOOKUP(1,  ('ж.д.'!$B$5:$M$5 = K$2) * ('ж.д.'!$B$4:$M$4 = $S$2), 'ж.д.'!$B$6:$M$14)), "-")</f>
        <v>182400</v>
      </c>
      <c r="L44" s="151" cm="1">
        <f t="array" aca="1" ref="L44" ca="1">IF(ISNUMBER(SEARCH("Транс",$C44)),_xlfn.XLOOKUP(1,('Фрахт Транс'!$A$5:$A$10=$D44)*1,_xlfn.XLOOKUP(1,('Фрахт Транс'!$B$3:$M$3 = $S$2)*('Фрахт Транс'!$B$4:$M$4=L$2),'Фрахт Транс'!$B$5:$M$10)),SUM($E44, $G44, $I44, $O44))</f>
        <v>381050</v>
      </c>
      <c r="M44" s="151" cm="1">
        <f t="array" aca="1" ref="M44" ca="1">IF(ISNUMBER(SEARCH("Транс",$C44)),_xlfn.XLOOKUP(1,('Фрахт Транс'!$A$5:$A$10=$D44)*1,_xlfn.XLOOKUP(1,('Фрахт Транс'!$B$3:$M$3=$S$2)*('Фрахт Транс'!$B$4:$M$4=M$2),'Фрахт Транс'!$B$5:$M$10)),SUM($E44, $G44, $J44, $O44))</f>
        <v>392050</v>
      </c>
      <c r="N44" s="151" cm="1">
        <f t="array" aca="1" ref="N44" ca="1">IF(ISNUMBER(SEARCH("Транс",$C44)),_xlfn.XLOOKUP(1,('Фрахт Транс'!$A$5:$A$10=$D44)*1,_xlfn.XLOOKUP(1,('Фрахт Транс'!$B$3:$M$3=$S$2)*('Фрахт Транс'!$B$4:$M$4=N$2),'Фрахт Транс'!$B$5:$M$10)),SUM($F44, $H44, $K44, $P44))</f>
        <v>637799</v>
      </c>
      <c r="O44" s="151" cm="1">
        <f t="array" aca="1" ref="O44" ca="1">IFERROR(_xlfn.XLOOKUP(1,  (Охрана!$A$6:$A$14 = $D44) * 1,  _xlfn.XLOOKUP(1,  (Охрана!$B$5:$M$5 = O$2) * (Охрана!$B$4:$M$4 = $S$2), Охрана!$B$6:$M$14)), "-")</f>
        <v>1990</v>
      </c>
      <c r="P44" s="196" cm="1">
        <f t="array" aca="1" ref="P44" ca="1">IFERROR(_xlfn.XLOOKUP(1,  (Охрана!$A$6:$A$14 = $D44) * 1,  _xlfn.XLOOKUP(1,  (Охрана!$B$5:$M$5 = P$2) * (Охрана!$B$4:$M$4 = $S$2), Охрана!$B$6:$M$14)), "-")</f>
        <v>4079</v>
      </c>
      <c r="Q44" s="38"/>
      <c r="R44" s="71"/>
      <c r="AB44" s="5"/>
    </row>
    <row r="45" spans="1:29" ht="15.75" customHeight="1" thickBot="1" x14ac:dyDescent="0.3">
      <c r="A45" s="224" t="s">
        <v>16</v>
      </c>
      <c r="B45" s="305"/>
      <c r="C45" s="58" t="s">
        <v>37</v>
      </c>
      <c r="D45" s="55" t="s">
        <v>11</v>
      </c>
      <c r="E45" s="228" t="str" cm="1">
        <f t="array" ref="E45">IFERROR(_xlfn.XLOOKUP(1, (Фрахт!$A$5:$A$80 = $A45)* (Фрахт!$B$5:$B$80 = $C45) * (Фрахт!$C$5:$C$80 =$D45),  _xlfn.XLOOKUP(1,  (Фрахт!$D$4:$E$4 = E$2) * 1, Фрахт!$D$5:$E$80)) *  $S$1, "-")</f>
        <v>-</v>
      </c>
      <c r="F45" s="228" t="str" cm="1">
        <f t="array" ref="F45">IFERROR(_xlfn.XLOOKUP(1, (Фрахт!$A$5:$A$80 = $A45)* (Фрахт!$B$5:$B$80 = $C45) * (Фрахт!$C$5:$C$80 =$D45),  _xlfn.XLOOKUP(1,  (Фрахт!$D$4:$E$4 = F$2) * 1, Фрахт!$D$5:$E$80)) *  $S$1, "-")</f>
        <v>-</v>
      </c>
      <c r="G45" s="228" cm="1">
        <f t="array" aca="1" ref="G45" ca="1">IFERROR(_xlfn.XLOOKUP(1,  ('Drop off'!$A$6:$A$14 = $C45) * 1,  _xlfn.XLOOKUP(1,  ('Drop off'!$B$5:$I$5 = G$2) * ('Drop off'!$B$4:$I$4 = $S$2), 'Drop off'!$B$6:$I$14)) * $S$1, "-")</f>
        <v>0</v>
      </c>
      <c r="H45" s="228" cm="1">
        <f t="array" aca="1" ref="H45" ca="1">IFERROR(_xlfn.XLOOKUP(1,  ('Drop off'!$A$6:$A$14 = $C45) * 1,  _xlfn.XLOOKUP(1,  ('Drop off'!$B$5:$I$5 = H$2) * ('Drop off'!$B$4:$I$4 = $S$2), 'Drop off'!$B$6:$I$14)) * $S$1, "-")</f>
        <v>0</v>
      </c>
      <c r="I45" s="228" cm="1">
        <f t="array" aca="1" ref="I45" ca="1">IFERROR(_xlfn.XLOOKUP(1,  ('ж.д.'!$A$6:$A$14 = $D45) * 1,  _xlfn.XLOOKUP(1,  ('ж.д.'!$B$5:$M$5 = I$2) * ('ж.д.'!$B$4:$M$4 = $S$2), 'ж.д.'!$B$6:$M$14)), "-")</f>
        <v>99200</v>
      </c>
      <c r="J45" s="228" cm="1">
        <f t="array" aca="1" ref="J45" ca="1">IFERROR(_xlfn.XLOOKUP(1,  ('ж.д.'!$A$6:$A$14 = $D45) * 1,  _xlfn.XLOOKUP(1,  ('ж.д.'!$B$5:$M$5 = J$2) * ('ж.д.'!$B$4:$M$4 = $S$2), 'ж.д.'!$B$6:$M$14)), "-")</f>
        <v>113100</v>
      </c>
      <c r="K45" s="228" cm="1">
        <f t="array" aca="1" ref="K45" ca="1">IFERROR(_xlfn.XLOOKUP(1,  ('ж.д.'!$A$6:$A$14 = $D45) * 1,  _xlfn.XLOOKUP(1,  ('ж.д.'!$B$5:$M$5 = K$2) * ('ж.д.'!$B$4:$M$4 = $S$2), 'ж.д.'!$B$6:$M$14)), "-")</f>
        <v>176500</v>
      </c>
      <c r="L45" s="228" cm="1">
        <f t="array" aca="1" ref="L45" ca="1">IF(ISNUMBER(SEARCH("Транс",$C45)),_xlfn.XLOOKUP(1,('Фрахт Транс'!$A$5:$A$10=$D45)*1,_xlfn.XLOOKUP(1,('Фрахт Транс'!$B$3:$M$3 = $S$2)*('Фрахт Транс'!$B$4:$M$4=L$2),'Фрахт Транс'!$B$5:$M$10)),SUM($E45, $G45, $I45, $O45))</f>
        <v>101340</v>
      </c>
      <c r="M45" s="228" cm="1">
        <f t="array" aca="1" ref="M45" ca="1">IF(ISNUMBER(SEARCH("Транс",$C45)),_xlfn.XLOOKUP(1,('Фрахт Транс'!$A$5:$A$10=$D45)*1,_xlfn.XLOOKUP(1,('Фрахт Транс'!$B$3:$M$3=$S$2)*('Фрахт Транс'!$B$4:$M$4=M$2),'Фрахт Транс'!$B$5:$M$10)),SUM($E45, $G45, $J45, $O45))</f>
        <v>115240</v>
      </c>
      <c r="N45" s="228" cm="1">
        <f t="array" aca="1" ref="N45" ca="1">IF(ISNUMBER(SEARCH("Транс",$C45)),_xlfn.XLOOKUP(1,('Фрахт Транс'!$A$5:$A$10=$D45)*1,_xlfn.XLOOKUP(1,('Фрахт Транс'!$B$3:$M$3=$S$2)*('Фрахт Транс'!$B$4:$M$4=N$2),'Фрахт Транс'!$B$5:$M$10)),SUM($F45, $H45, $K45, $P45))</f>
        <v>180927</v>
      </c>
      <c r="O45" s="228" cm="1">
        <f t="array" aca="1" ref="O45" ca="1">IFERROR(_xlfn.XLOOKUP(1,  (Охрана!$A$6:$A$14 = $D45) * 1,  _xlfn.XLOOKUP(1,  (Охрана!$B$5:$M$5 = O$2) * (Охрана!$B$4:$M$4 = $S$2), Охрана!$B$6:$M$14)), "-")</f>
        <v>2140</v>
      </c>
      <c r="P45" s="229" cm="1">
        <f t="array" aca="1" ref="P45" ca="1">IFERROR(_xlfn.XLOOKUP(1,  (Охрана!$A$6:$A$14 = $D45) * 1,  _xlfn.XLOOKUP(1,  (Охрана!$B$5:$M$5 = P$2) * (Охрана!$B$4:$M$4 = $S$2), Охрана!$B$6:$M$14)), "-")</f>
        <v>4427</v>
      </c>
      <c r="Q45" s="38"/>
      <c r="R45" s="71"/>
      <c r="AB45" s="5"/>
    </row>
    <row r="46" spans="1:29" ht="30.75" thickBot="1" x14ac:dyDescent="0.3">
      <c r="A46" s="223" t="s">
        <v>17</v>
      </c>
      <c r="B46" s="300" t="s">
        <v>17</v>
      </c>
      <c r="C46" s="63" t="s">
        <v>43</v>
      </c>
      <c r="D46" s="64" t="s">
        <v>47</v>
      </c>
      <c r="E46" s="148" t="str" cm="1">
        <f t="array" ref="E46">IFERROR(_xlfn.XLOOKUP(1, (Фрахт!$A$5:$A$80 = $A46)* (Фрахт!$B$5:$B$80 = $C46) * (Фрахт!$C$5:$C$80 =$D46),  _xlfn.XLOOKUP(1,  (Фрахт!$D$4:$E$4 = E$2) * 1, Фрахт!$D$5:$E$80)) *  $S$1, "-")</f>
        <v>-</v>
      </c>
      <c r="F46" s="148" t="str" cm="1">
        <f t="array" ref="F46">IFERROR(_xlfn.XLOOKUP(1, (Фрахт!$A$5:$A$80 = $A46)* (Фрахт!$B$5:$B$80 = $C46) * (Фрахт!$C$5:$C$80 =$D46),  _xlfn.XLOOKUP(1,  (Фрахт!$D$4:$E$4 = F$2) * 1, Фрахт!$D$5:$E$80)) *  $S$1, "-")</f>
        <v>-</v>
      </c>
      <c r="G46" s="148" cm="1">
        <f t="array" aca="1" ref="G46" ca="1">IFERROR(_xlfn.XLOOKUP(1,  ('Drop off'!$A$6:$A$14 = $C46) * 1,  _xlfn.XLOOKUP(1,  ('Drop off'!$B$5:$I$5 = G$2) * ('Drop off'!$B$4:$I$4 = $S$2), 'Drop off'!$B$6:$I$14)) * $S$1, "-")</f>
        <v>0</v>
      </c>
      <c r="H46" s="148" cm="1">
        <f t="array" aca="1" ref="H46" ca="1">IFERROR(_xlfn.XLOOKUP(1,  ('Drop off'!$A$6:$A$14 = $C46) * 1,  _xlfn.XLOOKUP(1,  ('Drop off'!$B$5:$I$5 = H$2) * ('Drop off'!$B$4:$I$4 = $S$2), 'Drop off'!$B$6:$I$14)) * $S$1, "-")</f>
        <v>0</v>
      </c>
      <c r="I46" s="148" t="str" cm="1">
        <f t="array" aca="1" ref="I46" ca="1">IFERROR(_xlfn.XLOOKUP(1,  ('ж.д.'!$A$6:$A$14 = $D46) * 1,  _xlfn.XLOOKUP(1,  ('ж.д.'!$B$5:$M$5 = I$2) * ('ж.д.'!$B$4:$M$4 = $S$2), 'ж.д.'!$B$6:$M$14)), "-")</f>
        <v>-</v>
      </c>
      <c r="J46" s="148" t="str" cm="1">
        <f t="array" aca="1" ref="J46" ca="1">IFERROR(_xlfn.XLOOKUP(1,  ('ж.д.'!$A$6:$A$14 = $D46) * 1,  _xlfn.XLOOKUP(1,  ('ж.д.'!$B$5:$M$5 = J$2) * ('ж.д.'!$B$4:$M$4 = $S$2), 'ж.д.'!$B$6:$M$14)), "-")</f>
        <v>-</v>
      </c>
      <c r="K46" s="148" t="str" cm="1">
        <f t="array" aca="1" ref="K46" ca="1">IFERROR(_xlfn.XLOOKUP(1,  ('ж.д.'!$A$6:$A$14 = $D46) * 1,  _xlfn.XLOOKUP(1,  ('ж.д.'!$B$5:$M$5 = K$2) * ('ж.д.'!$B$4:$M$4 = $S$2), 'ж.д.'!$B$6:$M$14)), "-")</f>
        <v>-</v>
      </c>
      <c r="L46" s="148" cm="1">
        <f t="array" aca="1" ref="L46" ca="1">IF(ISNUMBER(SEARCH("Транс",$C46)),_xlfn.XLOOKUP(1,('Фрахт Транс'!$A$5:$A$10=$D46)*1,_xlfn.XLOOKUP(1,('Фрахт Транс'!$B$3:$M$3 = $S$2)*('Фрахт Транс'!$B$4:$M$4=L$2),'Фрахт Транс'!$B$5:$M$10)),SUM($E46, $G46, $I46, $O46))</f>
        <v>332367</v>
      </c>
      <c r="M46" s="148" cm="1">
        <f t="array" aca="1" ref="M46" ca="1">IF(ISNUMBER(SEARCH("Транс",$C46)),_xlfn.XLOOKUP(1,('Фрахт Транс'!$A$5:$A$10=$D46)*1,_xlfn.XLOOKUP(1,('Фрахт Транс'!$B$3:$M$3=$S$2)*('Фрахт Транс'!$B$4:$M$4=M$2),'Фрахт Транс'!$B$5:$M$10)),SUM($E46, $G46, $J46, $O46))</f>
        <v>346272</v>
      </c>
      <c r="N46" s="148" cm="1">
        <f t="array" aca="1" ref="N46" ca="1">IF(ISNUMBER(SEARCH("Транс",$C46)),_xlfn.XLOOKUP(1,('Фрахт Транс'!$A$5:$A$10=$D46)*1,_xlfn.XLOOKUP(1,('Фрахт Транс'!$B$3:$M$3=$S$2)*('Фрахт Транс'!$B$4:$M$4=N$2),'Фрахт Транс'!$B$5:$M$10)),SUM($F46, $H46, $K46, $P46))</f>
        <v>496326</v>
      </c>
      <c r="O46" s="148" t="str" cm="1">
        <f t="array" aca="1" ref="O46" ca="1">IFERROR(_xlfn.XLOOKUP(1,  (Охрана!$A$6:$A$14 = $D46) * 1,  _xlfn.XLOOKUP(1,  (Охрана!$B$5:$M$5 = O$2) * (Охрана!$B$4:$M$4 = $S$2), Охрана!$B$6:$M$14)), "-")</f>
        <v>-</v>
      </c>
      <c r="P46" s="230" t="str" cm="1">
        <f t="array" aca="1" ref="P46" ca="1">IFERROR(_xlfn.XLOOKUP(1,  (Охрана!$A$6:$A$14 = $D46) * 1,  _xlfn.XLOOKUP(1,  (Охрана!$B$5:$M$5 = P$2) * (Охрана!$B$4:$M$4 = $S$2), Охрана!$B$6:$M$14)), "-")</f>
        <v>-</v>
      </c>
      <c r="Q46" s="38"/>
      <c r="R46" s="6"/>
      <c r="AA46" s="2"/>
      <c r="AB46" s="5"/>
      <c r="AC46" s="2"/>
    </row>
    <row r="47" spans="1:29" ht="15.75" customHeight="1" thickBot="1" x14ac:dyDescent="0.3">
      <c r="A47" s="223" t="s">
        <v>17</v>
      </c>
      <c r="B47" s="301"/>
      <c r="C47" s="42" t="s">
        <v>12</v>
      </c>
      <c r="D47" s="32" t="s">
        <v>30</v>
      </c>
      <c r="E47" s="149" cm="1">
        <f t="array" ref="E47">IFERROR(_xlfn.XLOOKUP(1, (Фрахт!$A$5:$A$80 = $A47)* (Фрахт!$B$5:$B$80 = $C47) * (Фрахт!$C$5:$C$80 =$D47),  _xlfn.XLOOKUP(1,  (Фрахт!$D$4:$E$4 = E$2) * 1, Фрахт!$D$5:$E$80)) *  $S$1, "-")</f>
        <v>330000</v>
      </c>
      <c r="F47" s="149" cm="1">
        <f t="array" ref="F47">IFERROR(_xlfn.XLOOKUP(1, (Фрахт!$A$5:$A$80 = $A47)* (Фрахт!$B$5:$B$80 = $C47) * (Фрахт!$C$5:$C$80 =$D47),  _xlfn.XLOOKUP(1,  (Фрахт!$D$4:$E$4 = F$2) * 1, Фрахт!$D$5:$E$80)) *  $S$1, "-")</f>
        <v>450000</v>
      </c>
      <c r="G47" s="149" cm="1">
        <f t="array" aca="1" ref="G47" ca="1">IFERROR(_xlfn.XLOOKUP(1,  ('Drop off'!$A$6:$A$14 = $C47) * 1,  _xlfn.XLOOKUP(1,  ('Drop off'!$B$5:$I$5 = G$2) * ('Drop off'!$B$4:$I$4 = $S$2), 'Drop off'!$B$6:$I$14)) * $S$1, "-")</f>
        <v>0</v>
      </c>
      <c r="H47" s="149" cm="1">
        <f t="array" aca="1" ref="H47" ca="1">IFERROR(_xlfn.XLOOKUP(1,  ('Drop off'!$A$6:$A$14 = $C47) * 1,  _xlfn.XLOOKUP(1,  ('Drop off'!$B$5:$I$5 = H$2) * ('Drop off'!$B$4:$I$4 = $S$2), 'Drop off'!$B$6:$I$14)) * $S$1, "-")</f>
        <v>0</v>
      </c>
      <c r="I47" s="149" cm="1">
        <f t="array" aca="1" ref="I47" ca="1">IFERROR(_xlfn.XLOOKUP(1,  ('ж.д.'!$A$6:$A$14 = $D47) * 1,  _xlfn.XLOOKUP(1,  ('ж.д.'!$B$5:$M$5 = I$2) * ('ж.д.'!$B$4:$M$4 = $S$2), 'ж.д.'!$B$6:$M$14)), "-")</f>
        <v>93100</v>
      </c>
      <c r="J47" s="149" cm="1">
        <f t="array" aca="1" ref="J47" ca="1">IFERROR(_xlfn.XLOOKUP(1,  ('ж.д.'!$A$6:$A$14 = $D47) * 1,  _xlfn.XLOOKUP(1,  ('ж.д.'!$B$5:$M$5 = J$2) * ('ж.д.'!$B$4:$M$4 = $S$2), 'ж.д.'!$B$6:$M$14)), "-")</f>
        <v>104115</v>
      </c>
      <c r="K47" s="149" cm="1">
        <f t="array" aca="1" ref="K47" ca="1">IFERROR(_xlfn.XLOOKUP(1,  ('ж.д.'!$A$6:$A$14 = $D47) * 1,  _xlfn.XLOOKUP(1,  ('ж.д.'!$B$5:$M$5 = K$2) * ('ж.д.'!$B$4:$M$4 = $S$2), 'ж.д.'!$B$6:$M$14)), "-")</f>
        <v>168000</v>
      </c>
      <c r="L47" s="149" cm="1">
        <f t="array" aca="1" ref="L47" ca="1">IF(ISNUMBER(SEARCH("Транс",$C47)),_xlfn.XLOOKUP(1,('Фрахт Транс'!$A$5:$A$10=$D47)*1,_xlfn.XLOOKUP(1,('Фрахт Транс'!$B$3:$M$3 = $S$2)*('Фрахт Транс'!$B$4:$M$4=L$2),'Фрахт Транс'!$B$5:$M$10)),SUM($E47, $G47, $I47, $O47))</f>
        <v>425840</v>
      </c>
      <c r="M47" s="149" cm="1">
        <f t="array" aca="1" ref="M47" ca="1">IF(ISNUMBER(SEARCH("Транс",$C47)),_xlfn.XLOOKUP(1,('Фрахт Транс'!$A$5:$A$10=$D47)*1,_xlfn.XLOOKUP(1,('Фрахт Транс'!$B$3:$M$3=$S$2)*('Фрахт Транс'!$B$4:$M$4=M$2),'Фрахт Транс'!$B$5:$M$10)),SUM($E47, $G47, $J47, $O47))</f>
        <v>436855</v>
      </c>
      <c r="N47" s="149" cm="1">
        <f t="array" aca="1" ref="N47" ca="1">IF(ISNUMBER(SEARCH("Транс",$C47)),_xlfn.XLOOKUP(1,('Фрахт Транс'!$A$5:$A$10=$D47)*1,_xlfn.XLOOKUP(1,('Фрахт Транс'!$B$3:$M$3=$S$2)*('Фрахт Транс'!$B$4:$M$4=N$2),'Фрахт Транс'!$B$5:$M$10)),SUM($F47, $H47, $K47, $P47))</f>
        <v>622829</v>
      </c>
      <c r="O47" s="149" cm="1">
        <f t="array" aca="1" ref="O47" ca="1">IFERROR(_xlfn.XLOOKUP(1,  (Охрана!$A$6:$A$14 = $D47) * 1,  _xlfn.XLOOKUP(1,  (Охрана!$B$5:$M$5 = O$2) * (Охрана!$B$4:$M$4 = $S$2), Охрана!$B$6:$M$14)), "-")</f>
        <v>2740</v>
      </c>
      <c r="P47" s="194" cm="1">
        <f t="array" aca="1" ref="P47" ca="1">IFERROR(_xlfn.XLOOKUP(1,  (Охрана!$A$6:$A$14 = $D47) * 1,  _xlfn.XLOOKUP(1,  (Охрана!$B$5:$M$5 = P$2) * (Охрана!$B$4:$M$4 = $S$2), Охрана!$B$6:$M$14)), "-")</f>
        <v>4829</v>
      </c>
      <c r="Q47" s="282"/>
      <c r="R47" s="91"/>
      <c r="AA47" s="2"/>
      <c r="AB47" s="5"/>
      <c r="AC47" s="2"/>
    </row>
    <row r="48" spans="1:29" ht="15.75" customHeight="1" thickBot="1" x14ac:dyDescent="0.3">
      <c r="A48" s="223" t="s">
        <v>17</v>
      </c>
      <c r="B48" s="301"/>
      <c r="C48" s="42" t="s">
        <v>12</v>
      </c>
      <c r="D48" s="32" t="s">
        <v>55</v>
      </c>
      <c r="E48" s="149" cm="1">
        <f t="array" ref="E48">IFERROR(_xlfn.XLOOKUP(1, (Фрахт!$A$5:$A$80 = $A48)* (Фрахт!$B$5:$B$80 = $C48) * (Фрахт!$C$5:$C$80 =$D48),  _xlfn.XLOOKUP(1,  (Фрахт!$D$4:$E$4 = E$2) * 1, Фрахт!$D$5:$E$80)) *  $S$1, "-")</f>
        <v>330000</v>
      </c>
      <c r="F48" s="149" cm="1">
        <f t="array" ref="F48">IFERROR(_xlfn.XLOOKUP(1, (Фрахт!$A$5:$A$80 = $A48)* (Фрахт!$B$5:$B$80 = $C48) * (Фрахт!$C$5:$C$80 =$D48),  _xlfn.XLOOKUP(1,  (Фрахт!$D$4:$E$4 = F$2) * 1, Фрахт!$D$5:$E$80)) *  $S$1, "-")</f>
        <v>450000</v>
      </c>
      <c r="G48" s="149" cm="1">
        <f t="array" aca="1" ref="G48" ca="1">IFERROR(_xlfn.XLOOKUP(1,  ('Drop off'!$A$6:$A$14 = $C48) * 1,  _xlfn.XLOOKUP(1,  ('Drop off'!$B$5:$I$5 = G$2) * ('Drop off'!$B$4:$I$4 = $S$2), 'Drop off'!$B$6:$I$14)) * $S$1, "-")</f>
        <v>0</v>
      </c>
      <c r="H48" s="149" cm="1">
        <f t="array" aca="1" ref="H48" ca="1">IFERROR(_xlfn.XLOOKUP(1,  ('Drop off'!$A$6:$A$14 = $C48) * 1,  _xlfn.XLOOKUP(1,  ('Drop off'!$B$5:$I$5 = H$2) * ('Drop off'!$B$4:$I$4 = $S$2), 'Drop off'!$B$6:$I$14)) * $S$1, "-")</f>
        <v>0</v>
      </c>
      <c r="I48" s="149" cm="1">
        <f t="array" aca="1" ref="I48" ca="1">IFERROR(_xlfn.XLOOKUP(1,  ('ж.д.'!$A$6:$A$14 = $D48) * 1,  _xlfn.XLOOKUP(1,  ('ж.д.'!$B$5:$M$5 = I$2) * ('ж.д.'!$B$4:$M$4 = $S$2), 'ж.д.'!$B$6:$M$14)), "-")</f>
        <v>97945</v>
      </c>
      <c r="J48" s="149" cm="1">
        <f t="array" aca="1" ref="J48" ca="1">IFERROR(_xlfn.XLOOKUP(1,  ('ж.д.'!$A$6:$A$14 = $D48) * 1,  _xlfn.XLOOKUP(1,  ('ж.д.'!$B$5:$M$5 = J$2) * ('ж.д.'!$B$4:$M$4 = $S$2), 'ж.д.'!$B$6:$M$14)), "-")</f>
        <v>111625</v>
      </c>
      <c r="K48" s="149" cm="1">
        <f t="array" aca="1" ref="K48" ca="1">IFERROR(_xlfn.XLOOKUP(1,  ('ж.д.'!$A$6:$A$14 = $D48) * 1,  _xlfn.XLOOKUP(1,  ('ж.д.'!$B$5:$M$5 = K$2) * ('ж.д.'!$B$4:$M$4 = $S$2), 'ж.д.'!$B$6:$M$14)), "-")</f>
        <v>177245</v>
      </c>
      <c r="L48" s="149" cm="1">
        <f t="array" aca="1" ref="L48" ca="1">IF(ISNUMBER(SEARCH("Транс",$C48)),_xlfn.XLOOKUP(1,('Фрахт Транс'!$A$5:$A$10=$D48)*1,_xlfn.XLOOKUP(1,('Фрахт Транс'!$B$3:$M$3 = $S$2)*('Фрахт Транс'!$B$4:$M$4=L$2),'Фрахт Транс'!$B$5:$M$10)),SUM($E48, $G48, $I48, $O48))</f>
        <v>430685</v>
      </c>
      <c r="M48" s="149" cm="1">
        <f t="array" aca="1" ref="M48" ca="1">IF(ISNUMBER(SEARCH("Транс",$C48)),_xlfn.XLOOKUP(1,('Фрахт Транс'!$A$5:$A$10=$D48)*1,_xlfn.XLOOKUP(1,('Фрахт Транс'!$B$3:$M$3=$S$2)*('Фрахт Транс'!$B$4:$M$4=M$2),'Фрахт Транс'!$B$5:$M$10)),SUM($E48, $G48, $J48, $O48))</f>
        <v>444365</v>
      </c>
      <c r="N48" s="149" cm="1">
        <f t="array" aca="1" ref="N48" ca="1">IF(ISNUMBER(SEARCH("Транс",$C48)),_xlfn.XLOOKUP(1,('Фрахт Транс'!$A$5:$A$10=$D48)*1,_xlfn.XLOOKUP(1,('Фрахт Транс'!$B$3:$M$3=$S$2)*('Фрахт Транс'!$B$4:$M$4=N$2),'Фрахт Транс'!$B$5:$M$10)),SUM($F48, $H48, $K48, $P48))</f>
        <v>632074</v>
      </c>
      <c r="O48" s="149" cm="1">
        <f t="array" aca="1" ref="O48" ca="1">IFERROR(_xlfn.XLOOKUP(1,  (Охрана!$A$6:$A$14 = $D48) * 1,  _xlfn.XLOOKUP(1,  (Охрана!$B$5:$M$5 = O$2) * (Охрана!$B$4:$M$4 = $S$2), Охрана!$B$6:$M$14)), "-")</f>
        <v>2740</v>
      </c>
      <c r="P48" s="194" cm="1">
        <f t="array" aca="1" ref="P48" ca="1">IFERROR(_xlfn.XLOOKUP(1,  (Охрана!$A$6:$A$14 = $D48) * 1,  _xlfn.XLOOKUP(1,  (Охрана!$B$5:$M$5 = P$2) * (Охрана!$B$4:$M$4 = $S$2), Охрана!$B$6:$M$14)), "-")</f>
        <v>4829</v>
      </c>
      <c r="Q48" s="282"/>
      <c r="R48" s="3"/>
      <c r="AA48" s="2"/>
      <c r="AB48" s="5"/>
      <c r="AC48" s="2"/>
    </row>
    <row r="49" spans="1:29" ht="15.75" customHeight="1" thickBot="1" x14ac:dyDescent="0.3">
      <c r="A49" s="223" t="s">
        <v>17</v>
      </c>
      <c r="B49" s="301"/>
      <c r="C49" s="41" t="s">
        <v>35</v>
      </c>
      <c r="D49" s="40" t="s">
        <v>11</v>
      </c>
      <c r="E49" s="150" cm="1">
        <f t="array" ref="E49">IFERROR(_xlfn.XLOOKUP(1, (Фрахт!$A$5:$A$80 = $A49)* (Фрахт!$B$5:$B$80 = $C49) * (Фрахт!$C$5:$C$80 =$D49),  _xlfn.XLOOKUP(1,  (Фрахт!$D$4:$E$4 = E$2) * 1, Фрахт!$D$5:$E$80)) *  $S$1, "-")</f>
        <v>283500</v>
      </c>
      <c r="F49" s="150" cm="1">
        <f t="array" ref="F49">IFERROR(_xlfn.XLOOKUP(1, (Фрахт!$A$5:$A$80 = $A49)* (Фрахт!$B$5:$B$80 = $C49) * (Фрахт!$C$5:$C$80 =$D49),  _xlfn.XLOOKUP(1,  (Фрахт!$D$4:$E$4 = F$2) * 1, Фрахт!$D$5:$E$80)) *  $S$1, "-")</f>
        <v>472500</v>
      </c>
      <c r="G49" s="150" cm="1">
        <f t="array" aca="1" ref="G49" ca="1">IFERROR(_xlfn.XLOOKUP(1,  ('Drop off'!$A$6:$A$14 = $C49) * 1,  _xlfn.XLOOKUP(1,  ('Drop off'!$B$5:$I$5 = G$2) * ('Drop off'!$B$4:$I$4 = $S$2), 'Drop off'!$B$6:$I$14)) * $S$1, "-")</f>
        <v>56700</v>
      </c>
      <c r="H49" s="150" cm="1">
        <f t="array" aca="1" ref="H49" ca="1">IFERROR(_xlfn.XLOOKUP(1,  ('Drop off'!$A$6:$A$14 = $C49) * 1,  _xlfn.XLOOKUP(1,  ('Drop off'!$B$5:$I$5 = H$2) * ('Drop off'!$B$4:$I$4 = $S$2), 'Drop off'!$B$6:$I$14)) * $S$1, "-")</f>
        <v>37800</v>
      </c>
      <c r="I49" s="150" cm="1">
        <f t="array" aca="1" ref="I49" ca="1">IFERROR(_xlfn.XLOOKUP(1,  ('ж.д.'!$A$6:$A$14 = $D49) * 1,  _xlfn.XLOOKUP(1,  ('ж.д.'!$B$5:$M$5 = I$2) * ('ж.д.'!$B$4:$M$4 = $S$2), 'ж.д.'!$B$6:$M$14)), "-")</f>
        <v>99200</v>
      </c>
      <c r="J49" s="150" cm="1">
        <f t="array" aca="1" ref="J49" ca="1">IFERROR(_xlfn.XLOOKUP(1,  ('ж.д.'!$A$6:$A$14 = $D49) * 1,  _xlfn.XLOOKUP(1,  ('ж.д.'!$B$5:$M$5 = J$2) * ('ж.д.'!$B$4:$M$4 = $S$2), 'ж.д.'!$B$6:$M$14)), "-")</f>
        <v>113100</v>
      </c>
      <c r="K49" s="150" cm="1">
        <f t="array" aca="1" ref="K49" ca="1">IFERROR(_xlfn.XLOOKUP(1,  ('ж.д.'!$A$6:$A$14 = $D49) * 1,  _xlfn.XLOOKUP(1,  ('ж.д.'!$B$5:$M$5 = K$2) * ('ж.д.'!$B$4:$M$4 = $S$2), 'ж.д.'!$B$6:$M$14)), "-")</f>
        <v>176500</v>
      </c>
      <c r="L49" s="150" cm="1">
        <f t="array" aca="1" ref="L49" ca="1">IF(ISNUMBER(SEARCH("Транс",$C49)),_xlfn.XLOOKUP(1,('Фрахт Транс'!$A$5:$A$10=$D49)*1,_xlfn.XLOOKUP(1,('Фрахт Транс'!$B$3:$M$3 = $S$2)*('Фрахт Транс'!$B$4:$M$4=L$2),'Фрахт Транс'!$B$5:$M$10)),SUM($E49, $G49, $I49, $O49))</f>
        <v>441540</v>
      </c>
      <c r="M49" s="150" cm="1">
        <f t="array" aca="1" ref="M49" ca="1">IF(ISNUMBER(SEARCH("Транс",$C49)),_xlfn.XLOOKUP(1,('Фрахт Транс'!$A$5:$A$10=$D49)*1,_xlfn.XLOOKUP(1,('Фрахт Транс'!$B$3:$M$3=$S$2)*('Фрахт Транс'!$B$4:$M$4=M$2),'Фрахт Транс'!$B$5:$M$10)),SUM($E49, $G49, $J49, $O49))</f>
        <v>455440</v>
      </c>
      <c r="N49" s="150" cm="1">
        <f t="array" aca="1" ref="N49" ca="1">IF(ISNUMBER(SEARCH("Транс",$C49)),_xlfn.XLOOKUP(1,('Фрахт Транс'!$A$5:$A$10=$D49)*1,_xlfn.XLOOKUP(1,('Фрахт Транс'!$B$3:$M$3=$S$2)*('Фрахт Транс'!$B$4:$M$4=N$2),'Фрахт Транс'!$B$5:$M$10)),SUM($F49, $H49, $K49, $P49))</f>
        <v>691227</v>
      </c>
      <c r="O49" s="150" cm="1">
        <f t="array" aca="1" ref="O49" ca="1">IFERROR(_xlfn.XLOOKUP(1,  (Охрана!$A$6:$A$14 = $D49) * 1,  _xlfn.XLOOKUP(1,  (Охрана!$B$5:$M$5 = O$2) * (Охрана!$B$4:$M$4 = $S$2), Охрана!$B$6:$M$14)), "-")</f>
        <v>2140</v>
      </c>
      <c r="P49" s="195" cm="1">
        <f t="array" aca="1" ref="P49" ca="1">IFERROR(_xlfn.XLOOKUP(1,  (Охрана!$A$6:$A$14 = $D49) * 1,  _xlfn.XLOOKUP(1,  (Охрана!$B$5:$M$5 = P$2) * (Охрана!$B$4:$M$4 = $S$2), Охрана!$B$6:$M$14)), "-")</f>
        <v>4427</v>
      </c>
      <c r="Q49" s="286"/>
      <c r="R49" s="4"/>
      <c r="AA49" s="2"/>
      <c r="AB49" s="5"/>
      <c r="AC49" s="2"/>
    </row>
    <row r="50" spans="1:29" ht="15.75" customHeight="1" thickBot="1" x14ac:dyDescent="0.3">
      <c r="A50" s="223" t="s">
        <v>17</v>
      </c>
      <c r="B50" s="301"/>
      <c r="C50" s="41" t="s">
        <v>35</v>
      </c>
      <c r="D50" s="40" t="s">
        <v>34</v>
      </c>
      <c r="E50" s="150" cm="1">
        <f t="array" ref="E50">IFERROR(_xlfn.XLOOKUP(1, (Фрахт!$A$5:$A$80 = $A50)* (Фрахт!$B$5:$B$80 = $C50) * (Фрахт!$C$5:$C$80 =$D50),  _xlfn.XLOOKUP(1,  (Фрахт!$D$4:$E$4 = E$2) * 1, Фрахт!$D$5:$E$80)) *  $S$1, "-")</f>
        <v>283500</v>
      </c>
      <c r="F50" s="150" cm="1">
        <f t="array" ref="F50">IFERROR(_xlfn.XLOOKUP(1, (Фрахт!$A$5:$A$80 = $A50)* (Фрахт!$B$5:$B$80 = $C50) * (Фрахт!$C$5:$C$80 =$D50),  _xlfn.XLOOKUP(1,  (Фрахт!$D$4:$E$4 = F$2) * 1, Фрахт!$D$5:$E$80)) *  $S$1, "-")</f>
        <v>472500</v>
      </c>
      <c r="G50" s="150" cm="1">
        <f t="array" aca="1" ref="G50" ca="1">IFERROR(_xlfn.XLOOKUP(1,  ('Drop off'!$A$6:$A$14 = $C50) * 1,  _xlfn.XLOOKUP(1,  ('Drop off'!$B$5:$I$5 = G$2) * ('Drop off'!$B$4:$I$4 = $S$2), 'Drop off'!$B$6:$I$14)) * $S$1, "-")</f>
        <v>56700</v>
      </c>
      <c r="H50" s="150" cm="1">
        <f t="array" aca="1" ref="H50" ca="1">IFERROR(_xlfn.XLOOKUP(1,  ('Drop off'!$A$6:$A$14 = $C50) * 1,  _xlfn.XLOOKUP(1,  ('Drop off'!$B$5:$I$5 = H$2) * ('Drop off'!$B$4:$I$4 = $S$2), 'Drop off'!$B$6:$I$14)) * $S$1, "-")</f>
        <v>37800</v>
      </c>
      <c r="I50" s="150" cm="1">
        <f t="array" aca="1" ref="I50" ca="1">IFERROR(_xlfn.XLOOKUP(1,  ('ж.д.'!$A$6:$A$14 = $D50) * 1,  _xlfn.XLOOKUP(1,  ('ж.д.'!$B$5:$M$5 = I$2) * ('ж.д.'!$B$4:$M$4 = $S$2), 'ж.д.'!$B$6:$M$14)), "-")</f>
        <v>103900</v>
      </c>
      <c r="J50" s="150" cm="1">
        <f t="array" aca="1" ref="J50" ca="1">IFERROR(_xlfn.XLOOKUP(1,  ('ж.д.'!$A$6:$A$14 = $D50) * 1,  _xlfn.XLOOKUP(1,  ('ж.д.'!$B$5:$M$5 = J$2) * ('ж.д.'!$B$4:$M$4 = $S$2), 'ж.д.'!$B$6:$M$14)), "-")</f>
        <v>114900</v>
      </c>
      <c r="K50" s="150" cm="1">
        <f t="array" aca="1" ref="K50" ca="1">IFERROR(_xlfn.XLOOKUP(1,  ('ж.д.'!$A$6:$A$14 = $D50) * 1,  _xlfn.XLOOKUP(1,  ('ж.д.'!$B$5:$M$5 = K$2) * ('ж.д.'!$B$4:$M$4 = $S$2), 'ж.д.'!$B$6:$M$14)), "-")</f>
        <v>182400</v>
      </c>
      <c r="L50" s="150" cm="1">
        <f t="array" aca="1" ref="L50" ca="1">IF(ISNUMBER(SEARCH("Транс",$C50)),_xlfn.XLOOKUP(1,('Фрахт Транс'!$A$5:$A$10=$D50)*1,_xlfn.XLOOKUP(1,('Фрахт Транс'!$B$3:$M$3 = $S$2)*('Фрахт Транс'!$B$4:$M$4=L$2),'Фрахт Транс'!$B$5:$M$10)),SUM($E50, $G50, $I50, $O50))</f>
        <v>446090</v>
      </c>
      <c r="M50" s="150" cm="1">
        <f t="array" aca="1" ref="M50" ca="1">IF(ISNUMBER(SEARCH("Транс",$C50)),_xlfn.XLOOKUP(1,('Фрахт Транс'!$A$5:$A$10=$D50)*1,_xlfn.XLOOKUP(1,('Фрахт Транс'!$B$3:$M$3=$S$2)*('Фрахт Транс'!$B$4:$M$4=M$2),'Фрахт Транс'!$B$5:$M$10)),SUM($E50, $G50, $J50, $O50))</f>
        <v>457090</v>
      </c>
      <c r="N50" s="150" cm="1">
        <f t="array" aca="1" ref="N50" ca="1">IF(ISNUMBER(SEARCH("Транс",$C50)),_xlfn.XLOOKUP(1,('Фрахт Транс'!$A$5:$A$10=$D50)*1,_xlfn.XLOOKUP(1,('Фрахт Транс'!$B$3:$M$3=$S$2)*('Фрахт Транс'!$B$4:$M$4=N$2),'Фрахт Транс'!$B$5:$M$10)),SUM($F50, $H50, $K50, $P50))</f>
        <v>696779</v>
      </c>
      <c r="O50" s="150" cm="1">
        <f t="array" aca="1" ref="O50" ca="1">IFERROR(_xlfn.XLOOKUP(1,  (Охрана!$A$6:$A$14 = $D50) * 1,  _xlfn.XLOOKUP(1,  (Охрана!$B$5:$M$5 = O$2) * (Охрана!$B$4:$M$4 = $S$2), Охрана!$B$6:$M$14)), "-")</f>
        <v>1990</v>
      </c>
      <c r="P50" s="195" cm="1">
        <f t="array" aca="1" ref="P50" ca="1">IFERROR(_xlfn.XLOOKUP(1,  (Охрана!$A$6:$A$14 = $D50) * 1,  _xlfn.XLOOKUP(1,  (Охрана!$B$5:$M$5 = P$2) * (Охрана!$B$4:$M$4 = $S$2), Охрана!$B$6:$M$14)), "-")</f>
        <v>4079</v>
      </c>
      <c r="Q50" s="286"/>
      <c r="R50" s="4"/>
      <c r="AA50" s="2"/>
      <c r="AB50" s="5"/>
      <c r="AC50" s="2"/>
    </row>
    <row r="51" spans="1:29" ht="15.75" customHeight="1" thickBot="1" x14ac:dyDescent="0.3">
      <c r="A51" s="223" t="s">
        <v>17</v>
      </c>
      <c r="B51" s="301"/>
      <c r="C51" s="41" t="s">
        <v>35</v>
      </c>
      <c r="D51" s="40" t="s">
        <v>10</v>
      </c>
      <c r="E51" s="150" cm="1">
        <f t="array" ref="E51">IFERROR(_xlfn.XLOOKUP(1, (Фрахт!$A$5:$A$80 = $A51)* (Фрахт!$B$5:$B$80 = $C51) * (Фрахт!$C$5:$C$80 =$D51),  _xlfn.XLOOKUP(1,  (Фрахт!$D$4:$E$4 = E$2) * 1, Фрахт!$D$5:$E$80)) *  $S$1, "-")</f>
        <v>283500</v>
      </c>
      <c r="F51" s="150" cm="1">
        <f t="array" ref="F51">IFERROR(_xlfn.XLOOKUP(1, (Фрахт!$A$5:$A$80 = $A51)* (Фрахт!$B$5:$B$80 = $C51) * (Фрахт!$C$5:$C$80 =$D51),  _xlfn.XLOOKUP(1,  (Фрахт!$D$4:$E$4 = F$2) * 1, Фрахт!$D$5:$E$80)) *  $S$1, "-")</f>
        <v>472500</v>
      </c>
      <c r="G51" s="150" cm="1">
        <f t="array" aca="1" ref="G51" ca="1">IFERROR(_xlfn.XLOOKUP(1,  ('Drop off'!$A$6:$A$14 = $C51) * 1,  _xlfn.XLOOKUP(1,  ('Drop off'!$B$5:$I$5 = G$2) * ('Drop off'!$B$4:$I$4 = $S$2), 'Drop off'!$B$6:$I$14)) * $S$1, "-")</f>
        <v>56700</v>
      </c>
      <c r="H51" s="150" cm="1">
        <f t="array" aca="1" ref="H51" ca="1">IFERROR(_xlfn.XLOOKUP(1,  ('Drop off'!$A$6:$A$14 = $C51) * 1,  _xlfn.XLOOKUP(1,  ('Drop off'!$B$5:$I$5 = H$2) * ('Drop off'!$B$4:$I$4 = $S$2), 'Drop off'!$B$6:$I$14)) * $S$1, "-")</f>
        <v>37800</v>
      </c>
      <c r="I51" s="150" cm="1">
        <f t="array" aca="1" ref="I51" ca="1">IFERROR(_xlfn.XLOOKUP(1,  ('ж.д.'!$A$6:$A$14 = $D51) * 1,  _xlfn.XLOOKUP(1,  ('ж.д.'!$B$5:$M$5 = I$2) * ('ж.д.'!$B$4:$M$4 = $S$2), 'ж.д.'!$B$6:$M$14)), "-")</f>
        <v>103000</v>
      </c>
      <c r="J51" s="150" cm="1">
        <f t="array" aca="1" ref="J51" ca="1">IFERROR(_xlfn.XLOOKUP(1,  ('ж.д.'!$A$6:$A$14 = $D51) * 1,  _xlfn.XLOOKUP(1,  ('ж.д.'!$B$5:$M$5 = J$2) * ('ж.д.'!$B$4:$M$4 = $S$2), 'ж.д.'!$B$6:$M$14)), "-")</f>
        <v>115325</v>
      </c>
      <c r="K51" s="150" cm="1">
        <f t="array" aca="1" ref="K51" ca="1">IFERROR(_xlfn.XLOOKUP(1,  ('ж.д.'!$A$6:$A$14 = $D51) * 1,  _xlfn.XLOOKUP(1,  ('ж.д.'!$B$5:$M$5 = K$2) * ('ж.д.'!$B$4:$M$4 = $S$2), 'ж.д.'!$B$6:$M$14)), "-")</f>
        <v>184000</v>
      </c>
      <c r="L51" s="150" cm="1">
        <f t="array" aca="1" ref="L51" ca="1">IF(ISNUMBER(SEARCH("Транс",$C51)),_xlfn.XLOOKUP(1,('Фрахт Транс'!$A$5:$A$10=$D51)*1,_xlfn.XLOOKUP(1,('Фрахт Транс'!$B$3:$M$3 = $S$2)*('Фрахт Транс'!$B$4:$M$4=L$2),'Фрахт Транс'!$B$5:$M$10)),SUM($E51, $G51, $I51, $O51))</f>
        <v>445940</v>
      </c>
      <c r="M51" s="150" cm="1">
        <f t="array" aca="1" ref="M51" ca="1">IF(ISNUMBER(SEARCH("Транс",$C51)),_xlfn.XLOOKUP(1,('Фрахт Транс'!$A$5:$A$10=$D51)*1,_xlfn.XLOOKUP(1,('Фрахт Транс'!$B$3:$M$3=$S$2)*('Фрахт Транс'!$B$4:$M$4=M$2),'Фрахт Транс'!$B$5:$M$10)),SUM($E51, $G51, $J51, $O51))</f>
        <v>458265</v>
      </c>
      <c r="N51" s="150" cm="1">
        <f t="array" aca="1" ref="N51" ca="1">IF(ISNUMBER(SEARCH("Транс",$C51)),_xlfn.XLOOKUP(1,('Фрахт Транс'!$A$5:$A$10=$D51)*1,_xlfn.XLOOKUP(1,('Фрахт Транс'!$B$3:$M$3=$S$2)*('Фрахт Транс'!$B$4:$M$4=N$2),'Фрахт Транс'!$B$5:$M$10)),SUM($F51, $H51, $K51, $P51))</f>
        <v>699129</v>
      </c>
      <c r="O51" s="150" cm="1">
        <f t="array" aca="1" ref="O51" ca="1">IFERROR(_xlfn.XLOOKUP(1,  (Охрана!$A$6:$A$14 = $D51) * 1,  _xlfn.XLOOKUP(1,  (Охрана!$B$5:$M$5 = O$2) * (Охрана!$B$4:$M$4 = $S$2), Охрана!$B$6:$M$14)), "-")</f>
        <v>2740</v>
      </c>
      <c r="P51" s="195" cm="1">
        <f t="array" aca="1" ref="P51" ca="1">IFERROR(_xlfn.XLOOKUP(1,  (Охрана!$A$6:$A$14 = $D51) * 1,  _xlfn.XLOOKUP(1,  (Охрана!$B$5:$M$5 = P$2) * (Охрана!$B$4:$M$4 = $S$2), Охрана!$B$6:$M$14)), "-")</f>
        <v>4829</v>
      </c>
      <c r="Q51" s="286"/>
      <c r="AA51" s="2"/>
      <c r="AB51" s="5"/>
      <c r="AC51" s="2"/>
    </row>
    <row r="52" spans="1:29" ht="15.75" customHeight="1" thickBot="1" x14ac:dyDescent="0.3">
      <c r="A52" s="223" t="s">
        <v>17</v>
      </c>
      <c r="B52" s="301"/>
      <c r="C52" s="41" t="s">
        <v>35</v>
      </c>
      <c r="D52" s="40" t="s">
        <v>7</v>
      </c>
      <c r="E52" s="150" cm="1">
        <f t="array" ref="E52">IFERROR(_xlfn.XLOOKUP(1, (Фрахт!$A$5:$A$80 = $A52)* (Фрахт!$B$5:$B$80 = $C52) * (Фрахт!$C$5:$C$80 =$D52),  _xlfn.XLOOKUP(1,  (Фрахт!$D$4:$E$4 = E$2) * 1, Фрахт!$D$5:$E$80)) *  $S$1, "-")</f>
        <v>283500</v>
      </c>
      <c r="F52" s="150" cm="1">
        <f t="array" ref="F52">IFERROR(_xlfn.XLOOKUP(1, (Фрахт!$A$5:$A$80 = $A52)* (Фрахт!$B$5:$B$80 = $C52) * (Фрахт!$C$5:$C$80 =$D52),  _xlfn.XLOOKUP(1,  (Фрахт!$D$4:$E$4 = F$2) * 1, Фрахт!$D$5:$E$80)) *  $S$1, "-")</f>
        <v>472500</v>
      </c>
      <c r="G52" s="150" cm="1">
        <f t="array" aca="1" ref="G52" ca="1">IFERROR(_xlfn.XLOOKUP(1,  ('Drop off'!$A$6:$A$14 = $C52) * 1,  _xlfn.XLOOKUP(1,  ('Drop off'!$B$5:$I$5 = G$2) * ('Drop off'!$B$4:$I$4 = $S$2), 'Drop off'!$B$6:$I$14)) * $S$1, "-")</f>
        <v>56700</v>
      </c>
      <c r="H52" s="150" cm="1">
        <f t="array" aca="1" ref="H52" ca="1">IFERROR(_xlfn.XLOOKUP(1,  ('Drop off'!$A$6:$A$14 = $C52) * 1,  _xlfn.XLOOKUP(1,  ('Drop off'!$B$5:$I$5 = H$2) * ('Drop off'!$B$4:$I$4 = $S$2), 'Drop off'!$B$6:$I$14)) * $S$1, "-")</f>
        <v>37800</v>
      </c>
      <c r="I52" s="150" cm="1">
        <f t="array" aca="1" ref="I52" ca="1">IFERROR(_xlfn.XLOOKUP(1,  ('ж.д.'!$A$6:$A$14 = $D52) * 1,  _xlfn.XLOOKUP(1,  ('ж.д.'!$B$5:$M$5 = I$2) * ('ж.д.'!$B$4:$M$4 = $S$2), 'ж.д.'!$B$6:$M$14)), "-")</f>
        <v>101000</v>
      </c>
      <c r="J52" s="150" cm="1">
        <f t="array" aca="1" ref="J52" ca="1">IFERROR(_xlfn.XLOOKUP(1,  ('ж.д.'!$A$6:$A$14 = $D52) * 1,  _xlfn.XLOOKUP(1,  ('ж.д.'!$B$5:$M$5 = J$2) * ('ж.д.'!$B$4:$M$4 = $S$2), 'ж.д.'!$B$6:$M$14)), "-")</f>
        <v>115000</v>
      </c>
      <c r="K52" s="150" cm="1">
        <f t="array" aca="1" ref="K52" ca="1">IFERROR(_xlfn.XLOOKUP(1,  ('ж.д.'!$A$6:$A$14 = $D52) * 1,  _xlfn.XLOOKUP(1,  ('ж.д.'!$B$5:$M$5 = K$2) * ('ж.д.'!$B$4:$M$4 = $S$2), 'ж.д.'!$B$6:$M$14)), "-")</f>
        <v>175000</v>
      </c>
      <c r="L52" s="150" cm="1">
        <f t="array" aca="1" ref="L52" ca="1">IF(ISNUMBER(SEARCH("Транс",$C52)),_xlfn.XLOOKUP(1,('Фрахт Транс'!$A$5:$A$10=$D52)*1,_xlfn.XLOOKUP(1,('Фрахт Транс'!$B$3:$M$3 = $S$2)*('Фрахт Транс'!$B$4:$M$4=L$2),'Фрахт Транс'!$B$5:$M$10)),SUM($E52, $G52, $I52, $O52))</f>
        <v>443600</v>
      </c>
      <c r="M52" s="150" cm="1">
        <f t="array" aca="1" ref="M52" ca="1">IF(ISNUMBER(SEARCH("Транс",$C52)),_xlfn.XLOOKUP(1,('Фрахт Транс'!$A$5:$A$10=$D52)*1,_xlfn.XLOOKUP(1,('Фрахт Транс'!$B$3:$M$3=$S$2)*('Фрахт Транс'!$B$4:$M$4=M$2),'Фрахт Транс'!$B$5:$M$10)),SUM($E52, $G52, $J52, $O52))</f>
        <v>457600</v>
      </c>
      <c r="N52" s="150" cm="1">
        <f t="array" aca="1" ref="N52" ca="1">IF(ISNUMBER(SEARCH("Транс",$C52)),_xlfn.XLOOKUP(1,('Фрахт Транс'!$A$5:$A$10=$D52)*1,_xlfn.XLOOKUP(1,('Фрахт Транс'!$B$3:$M$3=$S$2)*('Фрахт Транс'!$B$4:$M$4=N$2),'Фрахт Транс'!$B$5:$M$10)),SUM($F52, $H52, $K52, $P52))</f>
        <v>690200</v>
      </c>
      <c r="O52" s="150" cm="1">
        <f t="array" aca="1" ref="O52" ca="1">IFERROR(_xlfn.XLOOKUP(1,  (Охрана!$A$6:$A$14 = $D52) * 1,  _xlfn.XLOOKUP(1,  (Охрана!$B$5:$M$5 = O$2) * (Охрана!$B$4:$M$4 = $S$2), Охрана!$B$6:$M$14)), "-")</f>
        <v>2400</v>
      </c>
      <c r="P52" s="195" cm="1">
        <f t="array" aca="1" ref="P52" ca="1">IFERROR(_xlfn.XLOOKUP(1,  (Охрана!$A$6:$A$14 = $D52) * 1,  _xlfn.XLOOKUP(1,  (Охрана!$B$5:$M$5 = P$2) * (Охрана!$B$4:$M$4 = $S$2), Охрана!$B$6:$M$14)), "-")</f>
        <v>4900</v>
      </c>
      <c r="Q52" s="286"/>
      <c r="R52" s="4"/>
      <c r="AA52" s="2"/>
      <c r="AB52" s="5"/>
      <c r="AC52" s="2"/>
    </row>
    <row r="53" spans="1:29" ht="15.75" customHeight="1" thickBot="1" x14ac:dyDescent="0.3">
      <c r="A53" s="223" t="s">
        <v>17</v>
      </c>
      <c r="B53" s="301"/>
      <c r="C53" s="50" t="s">
        <v>36</v>
      </c>
      <c r="D53" s="50" t="s">
        <v>21</v>
      </c>
      <c r="E53" s="151" cm="1">
        <f t="array" ref="E53">IFERROR(_xlfn.XLOOKUP(1, (Фрахт!$A$5:$A$80 = $A53)* (Фрахт!$B$5:$B$80 = $C53) * (Фрахт!$C$5:$C$80 =$D53),  _xlfn.XLOOKUP(1,  (Фрахт!$D$4:$E$4 = E$2) * 1, Фрахт!$D$5:$E$80)) *  $S$1, "-")</f>
        <v>275160</v>
      </c>
      <c r="F53" s="151" cm="1">
        <f t="array" ref="F53">IFERROR(_xlfn.XLOOKUP(1, (Фрахт!$A$5:$A$80 = $A53)* (Фрахт!$B$5:$B$80 = $C53) * (Фрахт!$C$5:$C$80 =$D53),  _xlfn.XLOOKUP(1,  (Фрахт!$D$4:$E$4 = F$2) * 1, Фрахт!$D$5:$E$80)) *  $S$1, "-")</f>
        <v>454320</v>
      </c>
      <c r="G53" s="151" cm="1">
        <f t="array" aca="1" ref="G53" ca="1">IFERROR(_xlfn.XLOOKUP(1,  ('Drop off'!$A$6:$A$14 = $C53) * 1,  _xlfn.XLOOKUP(1,  ('Drop off'!$B$5:$I$5 = G$2) * ('Drop off'!$B$4:$I$4 = $S$2), 'Drop off'!$B$6:$I$14)) * $S$1, "-")</f>
        <v>9000</v>
      </c>
      <c r="H53" s="151" cm="1">
        <f t="array" aca="1" ref="H53" ca="1">IFERROR(_xlfn.XLOOKUP(1,  ('Drop off'!$A$6:$A$14 = $C53) * 1,  _xlfn.XLOOKUP(1,  ('Drop off'!$B$5:$I$5 = H$2) * ('Drop off'!$B$4:$I$4 = $S$2), 'Drop off'!$B$6:$I$14)) * $S$1, "-")</f>
        <v>9000</v>
      </c>
      <c r="I53" s="151" cm="1">
        <f t="array" aca="1" ref="I53" ca="1">IFERROR(_xlfn.XLOOKUP(1,  ('ж.д.'!$A$6:$A$14 = $D53) * 1,  _xlfn.XLOOKUP(1,  ('ж.д.'!$B$5:$M$5 = I$2) * ('ж.д.'!$B$4:$M$4 = $S$2), 'ж.д.'!$B$6:$M$14)), "-")</f>
        <v>103900</v>
      </c>
      <c r="J53" s="151" cm="1">
        <f t="array" aca="1" ref="J53" ca="1">IFERROR(_xlfn.XLOOKUP(1,  ('ж.д.'!$A$6:$A$14 = $D53) * 1,  _xlfn.XLOOKUP(1,  ('ж.д.'!$B$5:$M$5 = J$2) * ('ж.д.'!$B$4:$M$4 = $S$2), 'ж.д.'!$B$6:$M$14)), "-")</f>
        <v>114900</v>
      </c>
      <c r="K53" s="151" cm="1">
        <f t="array" aca="1" ref="K53" ca="1">IFERROR(_xlfn.XLOOKUP(1,  ('ж.д.'!$A$6:$A$14 = $D53) * 1,  _xlfn.XLOOKUP(1,  ('ж.д.'!$B$5:$M$5 = K$2) * ('ж.д.'!$B$4:$M$4 = $S$2), 'ж.д.'!$B$6:$M$14)), "-")</f>
        <v>182400</v>
      </c>
      <c r="L53" s="151" cm="1">
        <f t="array" aca="1" ref="L53" ca="1">IF(ISNUMBER(SEARCH("Транс",$C53)),_xlfn.XLOOKUP(1,('Фрахт Транс'!$A$5:$A$10=$D53)*1,_xlfn.XLOOKUP(1,('Фрахт Транс'!$B$3:$M$3 = $S$2)*('Фрахт Транс'!$B$4:$M$4=L$2),'Фрахт Транс'!$B$5:$M$10)),SUM($E53, $G53, $I53, $O53))</f>
        <v>390050</v>
      </c>
      <c r="M53" s="151" cm="1">
        <f t="array" aca="1" ref="M53" ca="1">IF(ISNUMBER(SEARCH("Транс",$C53)),_xlfn.XLOOKUP(1,('Фрахт Транс'!$A$5:$A$10=$D53)*1,_xlfn.XLOOKUP(1,('Фрахт Транс'!$B$3:$M$3=$S$2)*('Фрахт Транс'!$B$4:$M$4=M$2),'Фрахт Транс'!$B$5:$M$10)),SUM($E53, $G53, $J53, $O53))</f>
        <v>401050</v>
      </c>
      <c r="N53" s="151" cm="1">
        <f t="array" aca="1" ref="N53" ca="1">IF(ISNUMBER(SEARCH("Транс",$C53)),_xlfn.XLOOKUP(1,('Фрахт Транс'!$A$5:$A$10=$D53)*1,_xlfn.XLOOKUP(1,('Фрахт Транс'!$B$3:$M$3=$S$2)*('Фрахт Транс'!$B$4:$M$4=N$2),'Фрахт Транс'!$B$5:$M$10)),SUM($F53, $H53, $K53, $P53))</f>
        <v>649799</v>
      </c>
      <c r="O53" s="151" cm="1">
        <f t="array" aca="1" ref="O53" ca="1">IFERROR(_xlfn.XLOOKUP(1,  (Охрана!$A$6:$A$14 = $D53) * 1,  _xlfn.XLOOKUP(1,  (Охрана!$B$5:$M$5 = O$2) * (Охрана!$B$4:$M$4 = $S$2), Охрана!$B$6:$M$14)), "-")</f>
        <v>1990</v>
      </c>
      <c r="P53" s="196" cm="1">
        <f t="array" aca="1" ref="P53" ca="1">IFERROR(_xlfn.XLOOKUP(1,  (Охрана!$A$6:$A$14 = $D53) * 1,  _xlfn.XLOOKUP(1,  (Охрана!$B$5:$M$5 = P$2) * (Охрана!$B$4:$M$4 = $S$2), Охрана!$B$6:$M$14)), "-")</f>
        <v>4079</v>
      </c>
      <c r="Q53" s="38"/>
      <c r="R53" s="71"/>
      <c r="AA53" s="2"/>
      <c r="AB53" s="5"/>
      <c r="AC53" s="2"/>
    </row>
    <row r="54" spans="1:29" ht="15.75" customHeight="1" thickBot="1" x14ac:dyDescent="0.3">
      <c r="A54" s="223" t="s">
        <v>17</v>
      </c>
      <c r="B54" s="302"/>
      <c r="C54" s="69" t="s">
        <v>50</v>
      </c>
      <c r="D54" s="70" t="s">
        <v>11</v>
      </c>
      <c r="E54" s="166" t="str" cm="1">
        <f t="array" ref="E54">IFERROR(_xlfn.XLOOKUP(1, (Фрахт!$A$5:$A$80 = $A54)* (Фрахт!$B$5:$B$80 = $C54) * (Фрахт!$C$5:$C$80 =$D54),  _xlfn.XLOOKUP(1,  (Фрахт!$D$4:$E$4 = E$2) * 1, Фрахт!$D$5:$E$80)) *  $S$1, "-")</f>
        <v>-</v>
      </c>
      <c r="F54" s="166" t="str" cm="1">
        <f t="array" ref="F54">IFERROR(_xlfn.XLOOKUP(1, (Фрахт!$A$5:$A$80 = $A54)* (Фрахт!$B$5:$B$80 = $C54) * (Фрахт!$C$5:$C$80 =$D54),  _xlfn.XLOOKUP(1,  (Фрахт!$D$4:$E$4 = F$2) * 1, Фрахт!$D$5:$E$80)) *  $S$1, "-")</f>
        <v>-</v>
      </c>
      <c r="G54" s="166" t="str" cm="1">
        <f t="array" aca="1" ref="G54" ca="1">IFERROR(_xlfn.XLOOKUP(1,  ('Drop off'!$A$6:$A$14 = $C54) * 1,  _xlfn.XLOOKUP(1,  ('Drop off'!$B$5:$I$5 = G$2) * ('Drop off'!$B$4:$I$4 = $S$2), 'Drop off'!$B$6:$I$14)) * $S$1, "-")</f>
        <v>-</v>
      </c>
      <c r="H54" s="166" t="str" cm="1">
        <f t="array" aca="1" ref="H54" ca="1">IFERROR(_xlfn.XLOOKUP(1,  ('Drop off'!$A$6:$A$14 = $C54) * 1,  _xlfn.XLOOKUP(1,  ('Drop off'!$B$5:$I$5 = H$2) * ('Drop off'!$B$4:$I$4 = $S$2), 'Drop off'!$B$6:$I$14)) * $S$1, "-")</f>
        <v>-</v>
      </c>
      <c r="I54" s="166" cm="1">
        <f t="array" aca="1" ref="I54" ca="1">IFERROR(_xlfn.XLOOKUP(1,  ('ж.д.'!$A$6:$A$14 = $D54) * 1,  _xlfn.XLOOKUP(1,  ('ж.д.'!$B$5:$M$5 = I$2) * ('ж.д.'!$B$4:$M$4 = $S$2), 'ж.д.'!$B$6:$M$14)), "-")</f>
        <v>99200</v>
      </c>
      <c r="J54" s="166" cm="1">
        <f t="array" aca="1" ref="J54" ca="1">IFERROR(_xlfn.XLOOKUP(1,  ('ж.д.'!$A$6:$A$14 = $D54) * 1,  _xlfn.XLOOKUP(1,  ('ж.д.'!$B$5:$M$5 = J$2) * ('ж.д.'!$B$4:$M$4 = $S$2), 'ж.д.'!$B$6:$M$14)), "-")</f>
        <v>113100</v>
      </c>
      <c r="K54" s="166" cm="1">
        <f t="array" aca="1" ref="K54" ca="1">IFERROR(_xlfn.XLOOKUP(1,  ('ж.д.'!$A$6:$A$14 = $D54) * 1,  _xlfn.XLOOKUP(1,  ('ж.д.'!$B$5:$M$5 = K$2) * ('ж.д.'!$B$4:$M$4 = $S$2), 'ж.д.'!$B$6:$M$14)), "-")</f>
        <v>176500</v>
      </c>
      <c r="L54" s="166" cm="1">
        <f t="array" aca="1" ref="L54" ca="1">IF(ISNUMBER(SEARCH("Транс",$C54)),_xlfn.XLOOKUP(1,('Фрахт Транс'!$A$5:$A$10=$D54)*1,_xlfn.XLOOKUP(1,('Фрахт Транс'!$B$3:$M$3 = $S$2)*('Фрахт Транс'!$B$4:$M$4=L$2),'Фрахт Транс'!$B$5:$M$10)),SUM($E54, $G54, $I54, $O54))</f>
        <v>101340</v>
      </c>
      <c r="M54" s="166" cm="1">
        <f t="array" aca="1" ref="M54" ca="1">IF(ISNUMBER(SEARCH("Транс",$C54)),_xlfn.XLOOKUP(1,('Фрахт Транс'!$A$5:$A$10=$D54)*1,_xlfn.XLOOKUP(1,('Фрахт Транс'!$B$3:$M$3=$S$2)*('Фрахт Транс'!$B$4:$M$4=M$2),'Фрахт Транс'!$B$5:$M$10)),SUM($E54, $G54, $J54, $O54))</f>
        <v>115240</v>
      </c>
      <c r="N54" s="166" cm="1">
        <f t="array" aca="1" ref="N54" ca="1">IF(ISNUMBER(SEARCH("Транс",$C54)),_xlfn.XLOOKUP(1,('Фрахт Транс'!$A$5:$A$10=$D54)*1,_xlfn.XLOOKUP(1,('Фрахт Транс'!$B$3:$M$3=$S$2)*('Фрахт Транс'!$B$4:$M$4=N$2),'Фрахт Транс'!$B$5:$M$10)),SUM($F54, $H54, $K54, $P54))</f>
        <v>180927</v>
      </c>
      <c r="O54" s="166" cm="1">
        <f t="array" aca="1" ref="O54" ca="1">IFERROR(_xlfn.XLOOKUP(1,  (Охрана!$A$6:$A$14 = $D54) * 1,  _xlfn.XLOOKUP(1,  (Охрана!$B$5:$M$5 = O$2) * (Охрана!$B$4:$M$4 = $S$2), Охрана!$B$6:$M$14)), "-")</f>
        <v>2140</v>
      </c>
      <c r="P54" s="207" cm="1">
        <f t="array" aca="1" ref="P54" ca="1">IFERROR(_xlfn.XLOOKUP(1,  (Охрана!$A$6:$A$14 = $D54) * 1,  _xlfn.XLOOKUP(1,  (Охрана!$B$5:$M$5 = P$2) * (Охрана!$B$4:$M$4 = $S$2), Охрана!$B$6:$M$14)), "-")</f>
        <v>4427</v>
      </c>
      <c r="Q54" s="38"/>
      <c r="R54" s="71"/>
      <c r="AA54" s="2"/>
      <c r="AB54" s="5"/>
      <c r="AC54" s="2"/>
    </row>
    <row r="55" spans="1:29" ht="15.75" customHeight="1" thickBot="1" x14ac:dyDescent="0.3">
      <c r="A55" s="223" t="s">
        <v>17</v>
      </c>
      <c r="B55" s="302"/>
      <c r="C55" s="58" t="s">
        <v>37</v>
      </c>
      <c r="D55" s="55" t="s">
        <v>11</v>
      </c>
      <c r="E55" s="228" cm="1">
        <f t="array" ref="E55">IFERROR(_xlfn.XLOOKUP(1, (Фрахт!$A$5:$A$80 = $A55)* (Фрахт!$B$5:$B$80 = $C55) * (Фрахт!$C$5:$C$80 =$D55),  _xlfn.XLOOKUP(1,  (Фрахт!$D$4:$E$4 = E$2) * 1, Фрахт!$D$5:$E$80)) *  $S$1, "-")</f>
        <v>216000</v>
      </c>
      <c r="F55" s="228" cm="1">
        <f t="array" ref="F55">IFERROR(_xlfn.XLOOKUP(1, (Фрахт!$A$5:$A$80 = $A55)* (Фрахт!$B$5:$B$80 = $C55) * (Фрахт!$C$5:$C$80 =$D55),  _xlfn.XLOOKUP(1,  (Фрахт!$D$4:$E$4 = F$2) * 1, Фрахт!$D$5:$E$80)) *  $S$1, "-")</f>
        <v>360000</v>
      </c>
      <c r="G55" s="228" cm="1">
        <f t="array" aca="1" ref="G55" ca="1">IFERROR(_xlfn.XLOOKUP(1,  ('Drop off'!$A$6:$A$14 = $C55) * 1,  _xlfn.XLOOKUP(1,  ('Drop off'!$B$5:$I$5 = G$2) * ('Drop off'!$B$4:$I$4 = $S$2), 'Drop off'!$B$6:$I$14)) * $S$1, "-")</f>
        <v>0</v>
      </c>
      <c r="H55" s="228" cm="1">
        <f t="array" aca="1" ref="H55" ca="1">IFERROR(_xlfn.XLOOKUP(1,  ('Drop off'!$A$6:$A$14 = $C55) * 1,  _xlfn.XLOOKUP(1,  ('Drop off'!$B$5:$I$5 = H$2) * ('Drop off'!$B$4:$I$4 = $S$2), 'Drop off'!$B$6:$I$14)) * $S$1, "-")</f>
        <v>0</v>
      </c>
      <c r="I55" s="228" cm="1">
        <f t="array" aca="1" ref="I55" ca="1">IFERROR(_xlfn.XLOOKUP(1,  ('ж.д.'!$A$6:$A$14 = $D55) * 1,  _xlfn.XLOOKUP(1,  ('ж.д.'!$B$5:$M$5 = I$2) * ('ж.д.'!$B$4:$M$4 = $S$2), 'ж.д.'!$B$6:$M$14)), "-")</f>
        <v>99200</v>
      </c>
      <c r="J55" s="228" cm="1">
        <f t="array" aca="1" ref="J55" ca="1">IFERROR(_xlfn.XLOOKUP(1,  ('ж.д.'!$A$6:$A$14 = $D55) * 1,  _xlfn.XLOOKUP(1,  ('ж.д.'!$B$5:$M$5 = J$2) * ('ж.д.'!$B$4:$M$4 = $S$2), 'ж.д.'!$B$6:$M$14)), "-")</f>
        <v>113100</v>
      </c>
      <c r="K55" s="228" cm="1">
        <f t="array" aca="1" ref="K55" ca="1">IFERROR(_xlfn.XLOOKUP(1,  ('ж.д.'!$A$6:$A$14 = $D55) * 1,  _xlfn.XLOOKUP(1,  ('ж.д.'!$B$5:$M$5 = K$2) * ('ж.д.'!$B$4:$M$4 = $S$2), 'ж.д.'!$B$6:$M$14)), "-")</f>
        <v>176500</v>
      </c>
      <c r="L55" s="228" cm="1">
        <f t="array" aca="1" ref="L55" ca="1">IF(ISNUMBER(SEARCH("Транс",$C55)),_xlfn.XLOOKUP(1,('Фрахт Транс'!$A$5:$A$10=$D55)*1,_xlfn.XLOOKUP(1,('Фрахт Транс'!$B$3:$M$3 = $S$2)*('Фрахт Транс'!$B$4:$M$4=L$2),'Фрахт Транс'!$B$5:$M$10)),SUM($E55, $G55, $I55, $O55))</f>
        <v>317340</v>
      </c>
      <c r="M55" s="228" cm="1">
        <f t="array" aca="1" ref="M55" ca="1">IF(ISNUMBER(SEARCH("Транс",$C55)),_xlfn.XLOOKUP(1,('Фрахт Транс'!$A$5:$A$10=$D55)*1,_xlfn.XLOOKUP(1,('Фрахт Транс'!$B$3:$M$3=$S$2)*('Фрахт Транс'!$B$4:$M$4=M$2),'Фрахт Транс'!$B$5:$M$10)),SUM($E55, $G55, $J55, $O55))</f>
        <v>331240</v>
      </c>
      <c r="N55" s="228" cm="1">
        <f t="array" aca="1" ref="N55" ca="1">IF(ISNUMBER(SEARCH("Транс",$C55)),_xlfn.XLOOKUP(1,('Фрахт Транс'!$A$5:$A$10=$D55)*1,_xlfn.XLOOKUP(1,('Фрахт Транс'!$B$3:$M$3=$S$2)*('Фрахт Транс'!$B$4:$M$4=N$2),'Фрахт Транс'!$B$5:$M$10)),SUM($F55, $H55, $K55, $P55))</f>
        <v>540927</v>
      </c>
      <c r="O55" s="228" cm="1">
        <f t="array" aca="1" ref="O55" ca="1">IFERROR(_xlfn.XLOOKUP(1,  (Охрана!$A$6:$A$14 = $D55) * 1,  _xlfn.XLOOKUP(1,  (Охрана!$B$5:$M$5 = O$2) * (Охрана!$B$4:$M$4 = $S$2), Охрана!$B$6:$M$14)), "-")</f>
        <v>2140</v>
      </c>
      <c r="P55" s="229" cm="1">
        <f t="array" aca="1" ref="P55" ca="1">IFERROR(_xlfn.XLOOKUP(1,  (Охрана!$A$6:$A$14 = $D55) * 1,  _xlfn.XLOOKUP(1,  (Охрана!$B$5:$M$5 = P$2) * (Охрана!$B$4:$M$4 = $S$2), Охрана!$B$6:$M$14)), "-")</f>
        <v>4427</v>
      </c>
      <c r="Q55" s="38"/>
      <c r="R55" s="71"/>
      <c r="AA55" s="2"/>
      <c r="AB55" s="5"/>
      <c r="AC55" s="2"/>
    </row>
    <row r="56" spans="1:29" ht="30.75" thickBot="1" x14ac:dyDescent="0.3">
      <c r="A56" s="214" t="s">
        <v>18</v>
      </c>
      <c r="B56" s="290" t="s">
        <v>18</v>
      </c>
      <c r="C56" s="63" t="s">
        <v>43</v>
      </c>
      <c r="D56" s="64" t="s">
        <v>49</v>
      </c>
      <c r="E56" s="148" t="str" cm="1">
        <f t="array" ref="E56">IFERROR(_xlfn.XLOOKUP(1, (Фрахт!$A$5:$A$80 = $A56)* (Фрахт!$B$5:$B$80 = $C56) * (Фрахт!$C$5:$C$80 =$D56),  _xlfn.XLOOKUP(1,  (Фрахт!$D$4:$E$4 = E$2) * 1, Фрахт!$D$5:$E$80)) *  $S$1, "-")</f>
        <v>-</v>
      </c>
      <c r="F56" s="148" t="str" cm="1">
        <f t="array" ref="F56">IFERROR(_xlfn.XLOOKUP(1, (Фрахт!$A$5:$A$80 = $A56)* (Фрахт!$B$5:$B$80 = $C56) * (Фрахт!$C$5:$C$80 =$D56),  _xlfn.XLOOKUP(1,  (Фрахт!$D$4:$E$4 = F$2) * 1, Фрахт!$D$5:$E$80)) *  $S$1, "-")</f>
        <v>-</v>
      </c>
      <c r="G56" s="148" cm="1">
        <f t="array" aca="1" ref="G56" ca="1">IFERROR(_xlfn.XLOOKUP(1,  ('Drop off'!$A$6:$A$14 = $C56) * 1,  _xlfn.XLOOKUP(1,  ('Drop off'!$B$5:$I$5 = G$2) * ('Drop off'!$B$4:$I$4 = $S$2), 'Drop off'!$B$6:$I$14)) * $S$1, "-")</f>
        <v>0</v>
      </c>
      <c r="H56" s="148" cm="1">
        <f t="array" aca="1" ref="H56" ca="1">IFERROR(_xlfn.XLOOKUP(1,  ('Drop off'!$A$6:$A$14 = $C56) * 1,  _xlfn.XLOOKUP(1,  ('Drop off'!$B$5:$I$5 = H$2) * ('Drop off'!$B$4:$I$4 = $S$2), 'Drop off'!$B$6:$I$14)) * $S$1, "-")</f>
        <v>0</v>
      </c>
      <c r="I56" s="148" t="str" cm="1">
        <f t="array" aca="1" ref="I56" ca="1">IFERROR(_xlfn.XLOOKUP(1,  ('ж.д.'!$A$6:$A$14 = $D56) * 1,  _xlfn.XLOOKUP(1,  ('ж.д.'!$B$5:$M$5 = I$2) * ('ж.д.'!$B$4:$M$4 = $S$2), 'ж.д.'!$B$6:$M$14)), "-")</f>
        <v>-</v>
      </c>
      <c r="J56" s="148" t="str" cm="1">
        <f t="array" aca="1" ref="J56" ca="1">IFERROR(_xlfn.XLOOKUP(1,  ('ж.д.'!$A$6:$A$14 = $D56) * 1,  _xlfn.XLOOKUP(1,  ('ж.д.'!$B$5:$M$5 = J$2) * ('ж.д.'!$B$4:$M$4 = $S$2), 'ж.д.'!$B$6:$M$14)), "-")</f>
        <v>-</v>
      </c>
      <c r="K56" s="148" t="str" cm="1">
        <f t="array" aca="1" ref="K56" ca="1">IFERROR(_xlfn.XLOOKUP(1,  ('ж.д.'!$A$6:$A$14 = $D56) * 1,  _xlfn.XLOOKUP(1,  ('ж.д.'!$B$5:$M$5 = K$2) * ('ж.д.'!$B$4:$M$4 = $S$2), 'ж.д.'!$B$6:$M$14)), "-")</f>
        <v>-</v>
      </c>
      <c r="L56" s="148" cm="1">
        <f t="array" aca="1" ref="L56" ca="1">IF(ISNUMBER(SEARCH("Транс",$C56)),_xlfn.XLOOKUP(1,('Фрахт Транс'!$A$5:$A$10=$D56)*1,_xlfn.XLOOKUP(1,('Фрахт Транс'!$B$3:$M$3 = $S$2)*('Фрахт Транс'!$B$4:$M$4=L$2),'Фрахт Транс'!$B$5:$M$10)),SUM($E56, $G56, $I56, $O56))</f>
        <v>375067</v>
      </c>
      <c r="M56" s="148" cm="1">
        <f t="array" aca="1" ref="M56" ca="1">IF(ISNUMBER(SEARCH("Транс",$C56)),_xlfn.XLOOKUP(1,('Фрахт Транс'!$A$5:$A$10=$D56)*1,_xlfn.XLOOKUP(1,('Фрахт Транс'!$B$3:$M$3=$S$2)*('Фрахт Транс'!$B$4:$M$4=M$2),'Фрахт Транс'!$B$5:$M$10)),SUM($E56, $G56, $J56, $O56))</f>
        <v>388972</v>
      </c>
      <c r="N56" s="148" cm="1">
        <f t="array" aca="1" ref="N56" ca="1">IF(ISNUMBER(SEARCH("Транс",$C56)),_xlfn.XLOOKUP(1,('Фрахт Транс'!$A$5:$A$10=$D56)*1,_xlfn.XLOOKUP(1,('Фрахт Транс'!$B$3:$M$3=$S$2)*('Фрахт Транс'!$B$4:$M$4=N$2),'Фрахт Транс'!$B$5:$M$10)),SUM($F56, $H56, $K56, $P56))</f>
        <v>545126</v>
      </c>
      <c r="O56" s="148" t="str" cm="1">
        <f t="array" aca="1" ref="O56" ca="1">IFERROR(_xlfn.XLOOKUP(1,  (Охрана!$A$6:$A$14 = $D56) * 1,  _xlfn.XLOOKUP(1,  (Охрана!$B$5:$M$5 = O$2) * (Охрана!$B$4:$M$4 = $S$2), Охрана!$B$6:$M$14)), "-")</f>
        <v>-</v>
      </c>
      <c r="P56" s="230" t="str" cm="1">
        <f t="array" aca="1" ref="P56" ca="1">IFERROR(_xlfn.XLOOKUP(1,  (Охрана!$A$6:$A$14 = $D56) * 1,  _xlfn.XLOOKUP(1,  (Охрана!$B$5:$M$5 = P$2) * (Охрана!$B$4:$M$4 = $S$2), Охрана!$B$6:$M$14)), "-")</f>
        <v>-</v>
      </c>
      <c r="Q56" s="38"/>
      <c r="R56" s="6"/>
      <c r="AB56" s="5"/>
    </row>
    <row r="57" spans="1:29" ht="15.75" customHeight="1" thickBot="1" x14ac:dyDescent="0.3">
      <c r="A57" s="214" t="s">
        <v>18</v>
      </c>
      <c r="B57" s="291"/>
      <c r="C57" s="42" t="s">
        <v>12</v>
      </c>
      <c r="D57" s="32" t="s">
        <v>30</v>
      </c>
      <c r="E57" s="149" cm="1">
        <f t="array" ref="E57">IFERROR(_xlfn.XLOOKUP(1, (Фрахт!$A$5:$A$80 = $A57)* (Фрахт!$B$5:$B$80 = $C57) * (Фрахт!$C$5:$C$80 =$D57),  _xlfn.XLOOKUP(1,  (Фрахт!$D$4:$E$4 = E$2) * 1, Фрахт!$D$5:$E$80)) *  $S$1, "-")</f>
        <v>330000</v>
      </c>
      <c r="F57" s="149" cm="1">
        <f t="array" ref="F57">IFERROR(_xlfn.XLOOKUP(1, (Фрахт!$A$5:$A$80 = $A57)* (Фрахт!$B$5:$B$80 = $C57) * (Фрахт!$C$5:$C$80 =$D57),  _xlfn.XLOOKUP(1,  (Фрахт!$D$4:$E$4 = F$2) * 1, Фрахт!$D$5:$E$80)) *  $S$1, "-")</f>
        <v>510000</v>
      </c>
      <c r="G57" s="149" cm="1">
        <f t="array" aca="1" ref="G57" ca="1">IFERROR(_xlfn.XLOOKUP(1,  ('Drop off'!$A$6:$A$14 = $C57) * 1,  _xlfn.XLOOKUP(1,  ('Drop off'!$B$5:$I$5 = G$2) * ('Drop off'!$B$4:$I$4 = $S$2), 'Drop off'!$B$6:$I$14)) * $S$1, "-")</f>
        <v>0</v>
      </c>
      <c r="H57" s="149" cm="1">
        <f t="array" aca="1" ref="H57" ca="1">IFERROR(_xlfn.XLOOKUP(1,  ('Drop off'!$A$6:$A$14 = $C57) * 1,  _xlfn.XLOOKUP(1,  ('Drop off'!$B$5:$I$5 = H$2) * ('Drop off'!$B$4:$I$4 = $S$2), 'Drop off'!$B$6:$I$14)) * $S$1, "-")</f>
        <v>0</v>
      </c>
      <c r="I57" s="149" cm="1">
        <f t="array" aca="1" ref="I57" ca="1">IFERROR(_xlfn.XLOOKUP(1,  ('ж.д.'!$A$6:$A$14 = $D57) * 1,  _xlfn.XLOOKUP(1,  ('ж.д.'!$B$5:$M$5 = I$2) * ('ж.д.'!$B$4:$M$4 = $S$2), 'ж.д.'!$B$6:$M$14)), "-")</f>
        <v>93100</v>
      </c>
      <c r="J57" s="149" cm="1">
        <f t="array" aca="1" ref="J57" ca="1">IFERROR(_xlfn.XLOOKUP(1,  ('ж.д.'!$A$6:$A$14 = $D57) * 1,  _xlfn.XLOOKUP(1,  ('ж.д.'!$B$5:$M$5 = J$2) * ('ж.д.'!$B$4:$M$4 = $S$2), 'ж.д.'!$B$6:$M$14)), "-")</f>
        <v>104115</v>
      </c>
      <c r="K57" s="149" cm="1">
        <f t="array" aca="1" ref="K57" ca="1">IFERROR(_xlfn.XLOOKUP(1,  ('ж.д.'!$A$6:$A$14 = $D57) * 1,  _xlfn.XLOOKUP(1,  ('ж.д.'!$B$5:$M$5 = K$2) * ('ж.д.'!$B$4:$M$4 = $S$2), 'ж.д.'!$B$6:$M$14)), "-")</f>
        <v>168000</v>
      </c>
      <c r="L57" s="149" cm="1">
        <f t="array" aca="1" ref="L57" ca="1">IF(ISNUMBER(SEARCH("Транс",$C57)),_xlfn.XLOOKUP(1,('Фрахт Транс'!$A$5:$A$10=$D57)*1,_xlfn.XLOOKUP(1,('Фрахт Транс'!$B$3:$M$3 = $S$2)*('Фрахт Транс'!$B$4:$M$4=L$2),'Фрахт Транс'!$B$5:$M$10)),SUM($E57, $G57, $I57, $O57))</f>
        <v>425840</v>
      </c>
      <c r="M57" s="149" cm="1">
        <f t="array" aca="1" ref="M57" ca="1">IF(ISNUMBER(SEARCH("Транс",$C57)),_xlfn.XLOOKUP(1,('Фрахт Транс'!$A$5:$A$10=$D57)*1,_xlfn.XLOOKUP(1,('Фрахт Транс'!$B$3:$M$3=$S$2)*('Фрахт Транс'!$B$4:$M$4=M$2),'Фрахт Транс'!$B$5:$M$10)),SUM($E57, $G57, $J57, $O57))</f>
        <v>436855</v>
      </c>
      <c r="N57" s="149" cm="1">
        <f t="array" aca="1" ref="N57" ca="1">IF(ISNUMBER(SEARCH("Транс",$C57)),_xlfn.XLOOKUP(1,('Фрахт Транс'!$A$5:$A$10=$D57)*1,_xlfn.XLOOKUP(1,('Фрахт Транс'!$B$3:$M$3=$S$2)*('Фрахт Транс'!$B$4:$M$4=N$2),'Фрахт Транс'!$B$5:$M$10)),SUM($F57, $H57, $K57, $P57))</f>
        <v>682829</v>
      </c>
      <c r="O57" s="149" cm="1">
        <f t="array" aca="1" ref="O57" ca="1">IFERROR(_xlfn.XLOOKUP(1,  (Охрана!$A$6:$A$14 = $D57) * 1,  _xlfn.XLOOKUP(1,  (Охрана!$B$5:$M$5 = O$2) * (Охрана!$B$4:$M$4 = $S$2), Охрана!$B$6:$M$14)), "-")</f>
        <v>2740</v>
      </c>
      <c r="P57" s="194" cm="1">
        <f t="array" aca="1" ref="P57" ca="1">IFERROR(_xlfn.XLOOKUP(1,  (Охрана!$A$6:$A$14 = $D57) * 1,  _xlfn.XLOOKUP(1,  (Охрана!$B$5:$M$5 = P$2) * (Охрана!$B$4:$M$4 = $S$2), Охрана!$B$6:$M$14)), "-")</f>
        <v>4829</v>
      </c>
      <c r="Q57" s="282"/>
      <c r="R57" s="91"/>
      <c r="AB57" s="5"/>
    </row>
    <row r="58" spans="1:29" ht="15.75" customHeight="1" thickBot="1" x14ac:dyDescent="0.3">
      <c r="A58" s="214" t="s">
        <v>18</v>
      </c>
      <c r="B58" s="291"/>
      <c r="C58" s="42" t="s">
        <v>12</v>
      </c>
      <c r="D58" s="32" t="s">
        <v>55</v>
      </c>
      <c r="E58" s="149" cm="1">
        <f t="array" ref="E58">IFERROR(_xlfn.XLOOKUP(1, (Фрахт!$A$5:$A$80 = $A58)* (Фрахт!$B$5:$B$80 = $C58) * (Фрахт!$C$5:$C$80 =$D58),  _xlfn.XLOOKUP(1,  (Фрахт!$D$4:$E$4 = E$2) * 1, Фрахт!$D$5:$E$80)) *  $S$1, "-")</f>
        <v>330000</v>
      </c>
      <c r="F58" s="149" cm="1">
        <f t="array" ref="F58">IFERROR(_xlfn.XLOOKUP(1, (Фрахт!$A$5:$A$80 = $A58)* (Фрахт!$B$5:$B$80 = $C58) * (Фрахт!$C$5:$C$80 =$D58),  _xlfn.XLOOKUP(1,  (Фрахт!$D$4:$E$4 = F$2) * 1, Фрахт!$D$5:$E$80)) *  $S$1, "-")</f>
        <v>510000</v>
      </c>
      <c r="G58" s="149" cm="1">
        <f t="array" aca="1" ref="G58" ca="1">IFERROR(_xlfn.XLOOKUP(1,  ('Drop off'!$A$6:$A$14 = $C58) * 1,  _xlfn.XLOOKUP(1,  ('Drop off'!$B$5:$I$5 = G$2) * ('Drop off'!$B$4:$I$4 = $S$2), 'Drop off'!$B$6:$I$14)) * $S$1, "-")</f>
        <v>0</v>
      </c>
      <c r="H58" s="149" cm="1">
        <f t="array" aca="1" ref="H58" ca="1">IFERROR(_xlfn.XLOOKUP(1,  ('Drop off'!$A$6:$A$14 = $C58) * 1,  _xlfn.XLOOKUP(1,  ('Drop off'!$B$5:$I$5 = H$2) * ('Drop off'!$B$4:$I$4 = $S$2), 'Drop off'!$B$6:$I$14)) * $S$1, "-")</f>
        <v>0</v>
      </c>
      <c r="I58" s="149" cm="1">
        <f t="array" aca="1" ref="I58" ca="1">IFERROR(_xlfn.XLOOKUP(1,  ('ж.д.'!$A$6:$A$14 = $D58) * 1,  _xlfn.XLOOKUP(1,  ('ж.д.'!$B$5:$M$5 = I$2) * ('ж.д.'!$B$4:$M$4 = $S$2), 'ж.д.'!$B$6:$M$14)), "-")</f>
        <v>97945</v>
      </c>
      <c r="J58" s="149" cm="1">
        <f t="array" aca="1" ref="J58" ca="1">IFERROR(_xlfn.XLOOKUP(1,  ('ж.д.'!$A$6:$A$14 = $D58) * 1,  _xlfn.XLOOKUP(1,  ('ж.д.'!$B$5:$M$5 = J$2) * ('ж.д.'!$B$4:$M$4 = $S$2), 'ж.д.'!$B$6:$M$14)), "-")</f>
        <v>111625</v>
      </c>
      <c r="K58" s="149" cm="1">
        <f t="array" aca="1" ref="K58" ca="1">IFERROR(_xlfn.XLOOKUP(1,  ('ж.д.'!$A$6:$A$14 = $D58) * 1,  _xlfn.XLOOKUP(1,  ('ж.д.'!$B$5:$M$5 = K$2) * ('ж.д.'!$B$4:$M$4 = $S$2), 'ж.д.'!$B$6:$M$14)), "-")</f>
        <v>177245</v>
      </c>
      <c r="L58" s="149" cm="1">
        <f t="array" aca="1" ref="L58" ca="1">IF(ISNUMBER(SEARCH("Транс",$C58)),_xlfn.XLOOKUP(1,('Фрахт Транс'!$A$5:$A$10=$D58)*1,_xlfn.XLOOKUP(1,('Фрахт Транс'!$B$3:$M$3 = $S$2)*('Фрахт Транс'!$B$4:$M$4=L$2),'Фрахт Транс'!$B$5:$M$10)),SUM($E58, $G58, $I58, $O58))</f>
        <v>430685</v>
      </c>
      <c r="M58" s="149" cm="1">
        <f t="array" aca="1" ref="M58" ca="1">IF(ISNUMBER(SEARCH("Транс",$C58)),_xlfn.XLOOKUP(1,('Фрахт Транс'!$A$5:$A$10=$D58)*1,_xlfn.XLOOKUP(1,('Фрахт Транс'!$B$3:$M$3=$S$2)*('Фрахт Транс'!$B$4:$M$4=M$2),'Фрахт Транс'!$B$5:$M$10)),SUM($E58, $G58, $J58, $O58))</f>
        <v>444365</v>
      </c>
      <c r="N58" s="149" cm="1">
        <f t="array" aca="1" ref="N58" ca="1">IF(ISNUMBER(SEARCH("Транс",$C58)),_xlfn.XLOOKUP(1,('Фрахт Транс'!$A$5:$A$10=$D58)*1,_xlfn.XLOOKUP(1,('Фрахт Транс'!$B$3:$M$3=$S$2)*('Фрахт Транс'!$B$4:$M$4=N$2),'Фрахт Транс'!$B$5:$M$10)),SUM($F58, $H58, $K58, $P58))</f>
        <v>692074</v>
      </c>
      <c r="O58" s="149" cm="1">
        <f t="array" aca="1" ref="O58" ca="1">IFERROR(_xlfn.XLOOKUP(1,  (Охрана!$A$6:$A$14 = $D58) * 1,  _xlfn.XLOOKUP(1,  (Охрана!$B$5:$M$5 = O$2) * (Охрана!$B$4:$M$4 = $S$2), Охрана!$B$6:$M$14)), "-")</f>
        <v>2740</v>
      </c>
      <c r="P58" s="194" cm="1">
        <f t="array" aca="1" ref="P58" ca="1">IFERROR(_xlfn.XLOOKUP(1,  (Охрана!$A$6:$A$14 = $D58) * 1,  _xlfn.XLOOKUP(1,  (Охрана!$B$5:$M$5 = P$2) * (Охрана!$B$4:$M$4 = $S$2), Охрана!$B$6:$M$14)), "-")</f>
        <v>4829</v>
      </c>
      <c r="Q58" s="282"/>
      <c r="R58" s="3"/>
      <c r="AB58" s="5"/>
    </row>
    <row r="59" spans="1:29" ht="15.75" customHeight="1" thickBot="1" x14ac:dyDescent="0.3">
      <c r="A59" s="214" t="s">
        <v>18</v>
      </c>
      <c r="B59" s="291"/>
      <c r="C59" s="41" t="s">
        <v>35</v>
      </c>
      <c r="D59" s="40" t="s">
        <v>11</v>
      </c>
      <c r="E59" s="150" cm="1">
        <f t="array" ref="E59">IFERROR(_xlfn.XLOOKUP(1, (Фрахт!$A$5:$A$80 = $A59)* (Фрахт!$B$5:$B$80 = $C59) * (Фрахт!$C$5:$C$80 =$D59),  _xlfn.XLOOKUP(1,  (Фрахт!$D$4:$E$4 = E$2) * 1, Фрахт!$D$5:$E$80)) *  $S$1, "-")</f>
        <v>346500</v>
      </c>
      <c r="F59" s="150" cm="1">
        <f t="array" ref="F59">IFERROR(_xlfn.XLOOKUP(1, (Фрахт!$A$5:$A$80 = $A59)* (Фрахт!$B$5:$B$80 = $C59) * (Фрахт!$C$5:$C$80 =$D59),  _xlfn.XLOOKUP(1,  (Фрахт!$D$4:$E$4 = F$2) * 1, Фрахт!$D$5:$E$80)) *  $S$1, "-")</f>
        <v>504000</v>
      </c>
      <c r="G59" s="150" cm="1">
        <f t="array" aca="1" ref="G59" ca="1">IFERROR(_xlfn.XLOOKUP(1,  ('Drop off'!$A$6:$A$14 = $C59) * 1,  _xlfn.XLOOKUP(1,  ('Drop off'!$B$5:$I$5 = G$2) * ('Drop off'!$B$4:$I$4 = $S$2), 'Drop off'!$B$6:$I$14)) * $S$1, "-")</f>
        <v>56700</v>
      </c>
      <c r="H59" s="150" cm="1">
        <f t="array" aca="1" ref="H59" ca="1">IFERROR(_xlfn.XLOOKUP(1,  ('Drop off'!$A$6:$A$14 = $C59) * 1,  _xlfn.XLOOKUP(1,  ('Drop off'!$B$5:$I$5 = H$2) * ('Drop off'!$B$4:$I$4 = $S$2), 'Drop off'!$B$6:$I$14)) * $S$1, "-")</f>
        <v>37800</v>
      </c>
      <c r="I59" s="150" cm="1">
        <f t="array" aca="1" ref="I59" ca="1">IFERROR(_xlfn.XLOOKUP(1,  ('ж.д.'!$A$6:$A$14 = $D59) * 1,  _xlfn.XLOOKUP(1,  ('ж.д.'!$B$5:$M$5 = I$2) * ('ж.д.'!$B$4:$M$4 = $S$2), 'ж.д.'!$B$6:$M$14)), "-")</f>
        <v>99200</v>
      </c>
      <c r="J59" s="150" cm="1">
        <f t="array" aca="1" ref="J59" ca="1">IFERROR(_xlfn.XLOOKUP(1,  ('ж.д.'!$A$6:$A$14 = $D59) * 1,  _xlfn.XLOOKUP(1,  ('ж.д.'!$B$5:$M$5 = J$2) * ('ж.д.'!$B$4:$M$4 = $S$2), 'ж.д.'!$B$6:$M$14)), "-")</f>
        <v>113100</v>
      </c>
      <c r="K59" s="150" cm="1">
        <f t="array" aca="1" ref="K59" ca="1">IFERROR(_xlfn.XLOOKUP(1,  ('ж.д.'!$A$6:$A$14 = $D59) * 1,  _xlfn.XLOOKUP(1,  ('ж.д.'!$B$5:$M$5 = K$2) * ('ж.д.'!$B$4:$M$4 = $S$2), 'ж.д.'!$B$6:$M$14)), "-")</f>
        <v>176500</v>
      </c>
      <c r="L59" s="150" cm="1">
        <f t="array" aca="1" ref="L59" ca="1">IF(ISNUMBER(SEARCH("Транс",$C59)),_xlfn.XLOOKUP(1,('Фрахт Транс'!$A$5:$A$10=$D59)*1,_xlfn.XLOOKUP(1,('Фрахт Транс'!$B$3:$M$3 = $S$2)*('Фрахт Транс'!$B$4:$M$4=L$2),'Фрахт Транс'!$B$5:$M$10)),SUM($E59, $G59, $I59, $O59))</f>
        <v>504540</v>
      </c>
      <c r="M59" s="150" cm="1">
        <f t="array" aca="1" ref="M59" ca="1">IF(ISNUMBER(SEARCH("Транс",$C59)),_xlfn.XLOOKUP(1,('Фрахт Транс'!$A$5:$A$10=$D59)*1,_xlfn.XLOOKUP(1,('Фрахт Транс'!$B$3:$M$3=$S$2)*('Фрахт Транс'!$B$4:$M$4=M$2),'Фрахт Транс'!$B$5:$M$10)),SUM($E59, $G59, $J59, $O59))</f>
        <v>518440</v>
      </c>
      <c r="N59" s="150" cm="1">
        <f t="array" aca="1" ref="N59" ca="1">IF(ISNUMBER(SEARCH("Транс",$C59)),_xlfn.XLOOKUP(1,('Фрахт Транс'!$A$5:$A$10=$D59)*1,_xlfn.XLOOKUP(1,('Фрахт Транс'!$B$3:$M$3=$S$2)*('Фрахт Транс'!$B$4:$M$4=N$2),'Фрахт Транс'!$B$5:$M$10)),SUM($F59, $H59, $K59, $P59))</f>
        <v>722727</v>
      </c>
      <c r="O59" s="150" cm="1">
        <f t="array" aca="1" ref="O59" ca="1">IFERROR(_xlfn.XLOOKUP(1,  (Охрана!$A$6:$A$14 = $D59) * 1,  _xlfn.XLOOKUP(1,  (Охрана!$B$5:$M$5 = O$2) * (Охрана!$B$4:$M$4 = $S$2), Охрана!$B$6:$M$14)), "-")</f>
        <v>2140</v>
      </c>
      <c r="P59" s="195" cm="1">
        <f t="array" aca="1" ref="P59" ca="1">IFERROR(_xlfn.XLOOKUP(1,  (Охрана!$A$6:$A$14 = $D59) * 1,  _xlfn.XLOOKUP(1,  (Охрана!$B$5:$M$5 = P$2) * (Охрана!$B$4:$M$4 = $S$2), Охрана!$B$6:$M$14)), "-")</f>
        <v>4427</v>
      </c>
      <c r="Q59" s="286"/>
      <c r="R59" s="4"/>
      <c r="AB59" s="5"/>
    </row>
    <row r="60" spans="1:29" ht="15.75" customHeight="1" thickBot="1" x14ac:dyDescent="0.3">
      <c r="A60" s="214" t="s">
        <v>18</v>
      </c>
      <c r="B60" s="291"/>
      <c r="C60" s="41" t="s">
        <v>35</v>
      </c>
      <c r="D60" s="40" t="s">
        <v>34</v>
      </c>
      <c r="E60" s="150" cm="1">
        <f t="array" ref="E60">IFERROR(_xlfn.XLOOKUP(1, (Фрахт!$A$5:$A$80 = $A60)* (Фрахт!$B$5:$B$80 = $C60) * (Фрахт!$C$5:$C$80 =$D60),  _xlfn.XLOOKUP(1,  (Фрахт!$D$4:$E$4 = E$2) * 1, Фрахт!$D$5:$E$80)) *  $S$1, "-")</f>
        <v>346500</v>
      </c>
      <c r="F60" s="150" cm="1">
        <f t="array" ref="F60">IFERROR(_xlfn.XLOOKUP(1, (Фрахт!$A$5:$A$80 = $A60)* (Фрахт!$B$5:$B$80 = $C60) * (Фрахт!$C$5:$C$80 =$D60),  _xlfn.XLOOKUP(1,  (Фрахт!$D$4:$E$4 = F$2) * 1, Фрахт!$D$5:$E$80)) *  $S$1, "-")</f>
        <v>504000</v>
      </c>
      <c r="G60" s="150" cm="1">
        <f t="array" aca="1" ref="G60" ca="1">IFERROR(_xlfn.XLOOKUP(1,  ('Drop off'!$A$6:$A$14 = $C60) * 1,  _xlfn.XLOOKUP(1,  ('Drop off'!$B$5:$I$5 = G$2) * ('Drop off'!$B$4:$I$4 = $S$2), 'Drop off'!$B$6:$I$14)) * $S$1, "-")</f>
        <v>56700</v>
      </c>
      <c r="H60" s="150" cm="1">
        <f t="array" aca="1" ref="H60" ca="1">IFERROR(_xlfn.XLOOKUP(1,  ('Drop off'!$A$6:$A$14 = $C60) * 1,  _xlfn.XLOOKUP(1,  ('Drop off'!$B$5:$I$5 = H$2) * ('Drop off'!$B$4:$I$4 = $S$2), 'Drop off'!$B$6:$I$14)) * $S$1, "-")</f>
        <v>37800</v>
      </c>
      <c r="I60" s="150" cm="1">
        <f t="array" aca="1" ref="I60" ca="1">IFERROR(_xlfn.XLOOKUP(1,  ('ж.д.'!$A$6:$A$14 = $D60) * 1,  _xlfn.XLOOKUP(1,  ('ж.д.'!$B$5:$M$5 = I$2) * ('ж.д.'!$B$4:$M$4 = $S$2), 'ж.д.'!$B$6:$M$14)), "-")</f>
        <v>103900</v>
      </c>
      <c r="J60" s="150" cm="1">
        <f t="array" aca="1" ref="J60" ca="1">IFERROR(_xlfn.XLOOKUP(1,  ('ж.д.'!$A$6:$A$14 = $D60) * 1,  _xlfn.XLOOKUP(1,  ('ж.д.'!$B$5:$M$5 = J$2) * ('ж.д.'!$B$4:$M$4 = $S$2), 'ж.д.'!$B$6:$M$14)), "-")</f>
        <v>114900</v>
      </c>
      <c r="K60" s="150" cm="1">
        <f t="array" aca="1" ref="K60" ca="1">IFERROR(_xlfn.XLOOKUP(1,  ('ж.д.'!$A$6:$A$14 = $D60) * 1,  _xlfn.XLOOKUP(1,  ('ж.д.'!$B$5:$M$5 = K$2) * ('ж.д.'!$B$4:$M$4 = $S$2), 'ж.д.'!$B$6:$M$14)), "-")</f>
        <v>182400</v>
      </c>
      <c r="L60" s="150" cm="1">
        <f t="array" aca="1" ref="L60" ca="1">IF(ISNUMBER(SEARCH("Транс",$C60)),_xlfn.XLOOKUP(1,('Фрахт Транс'!$A$5:$A$10=$D60)*1,_xlfn.XLOOKUP(1,('Фрахт Транс'!$B$3:$M$3 = $S$2)*('Фрахт Транс'!$B$4:$M$4=L$2),'Фрахт Транс'!$B$5:$M$10)),SUM($E60, $G60, $I60, $O60))</f>
        <v>509090</v>
      </c>
      <c r="M60" s="150" cm="1">
        <f t="array" aca="1" ref="M60" ca="1">IF(ISNUMBER(SEARCH("Транс",$C60)),_xlfn.XLOOKUP(1,('Фрахт Транс'!$A$5:$A$10=$D60)*1,_xlfn.XLOOKUP(1,('Фрахт Транс'!$B$3:$M$3=$S$2)*('Фрахт Транс'!$B$4:$M$4=M$2),'Фрахт Транс'!$B$5:$M$10)),SUM($E60, $G60, $J60, $O60))</f>
        <v>520090</v>
      </c>
      <c r="N60" s="150" cm="1">
        <f t="array" aca="1" ref="N60" ca="1">IF(ISNUMBER(SEARCH("Транс",$C60)),_xlfn.XLOOKUP(1,('Фрахт Транс'!$A$5:$A$10=$D60)*1,_xlfn.XLOOKUP(1,('Фрахт Транс'!$B$3:$M$3=$S$2)*('Фрахт Транс'!$B$4:$M$4=N$2),'Фрахт Транс'!$B$5:$M$10)),SUM($F60, $H60, $K60, $P60))</f>
        <v>728279</v>
      </c>
      <c r="O60" s="150" cm="1">
        <f t="array" aca="1" ref="O60" ca="1">IFERROR(_xlfn.XLOOKUP(1,  (Охрана!$A$6:$A$14 = $D60) * 1,  _xlfn.XLOOKUP(1,  (Охрана!$B$5:$M$5 = O$2) * (Охрана!$B$4:$M$4 = $S$2), Охрана!$B$6:$M$14)), "-")</f>
        <v>1990</v>
      </c>
      <c r="P60" s="195" cm="1">
        <f t="array" aca="1" ref="P60" ca="1">IFERROR(_xlfn.XLOOKUP(1,  (Охрана!$A$6:$A$14 = $D60) * 1,  _xlfn.XLOOKUP(1,  (Охрана!$B$5:$M$5 = P$2) * (Охрана!$B$4:$M$4 = $S$2), Охрана!$B$6:$M$14)), "-")</f>
        <v>4079</v>
      </c>
      <c r="Q60" s="286"/>
      <c r="R60" s="4"/>
      <c r="AB60" s="5"/>
    </row>
    <row r="61" spans="1:29" ht="15.75" customHeight="1" thickBot="1" x14ac:dyDescent="0.3">
      <c r="A61" s="214" t="s">
        <v>18</v>
      </c>
      <c r="B61" s="291"/>
      <c r="C61" s="41" t="s">
        <v>35</v>
      </c>
      <c r="D61" s="40" t="s">
        <v>10</v>
      </c>
      <c r="E61" s="150" cm="1">
        <f t="array" ref="E61">IFERROR(_xlfn.XLOOKUP(1, (Фрахт!$A$5:$A$80 = $A61)* (Фрахт!$B$5:$B$80 = $C61) * (Фрахт!$C$5:$C$80 =$D61),  _xlfn.XLOOKUP(1,  (Фрахт!$D$4:$E$4 = E$2) * 1, Фрахт!$D$5:$E$80)) *  $S$1, "-")</f>
        <v>346500</v>
      </c>
      <c r="F61" s="150" cm="1">
        <f t="array" ref="F61">IFERROR(_xlfn.XLOOKUP(1, (Фрахт!$A$5:$A$80 = $A61)* (Фрахт!$B$5:$B$80 = $C61) * (Фрахт!$C$5:$C$80 =$D61),  _xlfn.XLOOKUP(1,  (Фрахт!$D$4:$E$4 = F$2) * 1, Фрахт!$D$5:$E$80)) *  $S$1, "-")</f>
        <v>504000</v>
      </c>
      <c r="G61" s="150" cm="1">
        <f t="array" aca="1" ref="G61" ca="1">IFERROR(_xlfn.XLOOKUP(1,  ('Drop off'!$A$6:$A$14 = $C61) * 1,  _xlfn.XLOOKUP(1,  ('Drop off'!$B$5:$I$5 = G$2) * ('Drop off'!$B$4:$I$4 = $S$2), 'Drop off'!$B$6:$I$14)) * $S$1, "-")</f>
        <v>56700</v>
      </c>
      <c r="H61" s="150" cm="1">
        <f t="array" aca="1" ref="H61" ca="1">IFERROR(_xlfn.XLOOKUP(1,  ('Drop off'!$A$6:$A$14 = $C61) * 1,  _xlfn.XLOOKUP(1,  ('Drop off'!$B$5:$I$5 = H$2) * ('Drop off'!$B$4:$I$4 = $S$2), 'Drop off'!$B$6:$I$14)) * $S$1, "-")</f>
        <v>37800</v>
      </c>
      <c r="I61" s="150" cm="1">
        <f t="array" aca="1" ref="I61" ca="1">IFERROR(_xlfn.XLOOKUP(1,  ('ж.д.'!$A$6:$A$14 = $D61) * 1,  _xlfn.XLOOKUP(1,  ('ж.д.'!$B$5:$M$5 = I$2) * ('ж.д.'!$B$4:$M$4 = $S$2), 'ж.д.'!$B$6:$M$14)), "-")</f>
        <v>103000</v>
      </c>
      <c r="J61" s="150" cm="1">
        <f t="array" aca="1" ref="J61" ca="1">IFERROR(_xlfn.XLOOKUP(1,  ('ж.д.'!$A$6:$A$14 = $D61) * 1,  _xlfn.XLOOKUP(1,  ('ж.д.'!$B$5:$M$5 = J$2) * ('ж.д.'!$B$4:$M$4 = $S$2), 'ж.д.'!$B$6:$M$14)), "-")</f>
        <v>115325</v>
      </c>
      <c r="K61" s="150" cm="1">
        <f t="array" aca="1" ref="K61" ca="1">IFERROR(_xlfn.XLOOKUP(1,  ('ж.д.'!$A$6:$A$14 = $D61) * 1,  _xlfn.XLOOKUP(1,  ('ж.д.'!$B$5:$M$5 = K$2) * ('ж.д.'!$B$4:$M$4 = $S$2), 'ж.д.'!$B$6:$M$14)), "-")</f>
        <v>184000</v>
      </c>
      <c r="L61" s="150" cm="1">
        <f t="array" aca="1" ref="L61" ca="1">IF(ISNUMBER(SEARCH("Транс",$C61)),_xlfn.XLOOKUP(1,('Фрахт Транс'!$A$5:$A$10=$D61)*1,_xlfn.XLOOKUP(1,('Фрахт Транс'!$B$3:$M$3 = $S$2)*('Фрахт Транс'!$B$4:$M$4=L$2),'Фрахт Транс'!$B$5:$M$10)),SUM($E61, $G61, $I61, $O61))</f>
        <v>508940</v>
      </c>
      <c r="M61" s="150" cm="1">
        <f t="array" aca="1" ref="M61" ca="1">IF(ISNUMBER(SEARCH("Транс",$C61)),_xlfn.XLOOKUP(1,('Фрахт Транс'!$A$5:$A$10=$D61)*1,_xlfn.XLOOKUP(1,('Фрахт Транс'!$B$3:$M$3=$S$2)*('Фрахт Транс'!$B$4:$M$4=M$2),'Фрахт Транс'!$B$5:$M$10)),SUM($E61, $G61, $J61, $O61))</f>
        <v>521265</v>
      </c>
      <c r="N61" s="150" cm="1">
        <f t="array" aca="1" ref="N61" ca="1">IF(ISNUMBER(SEARCH("Транс",$C61)),_xlfn.XLOOKUP(1,('Фрахт Транс'!$A$5:$A$10=$D61)*1,_xlfn.XLOOKUP(1,('Фрахт Транс'!$B$3:$M$3=$S$2)*('Фрахт Транс'!$B$4:$M$4=N$2),'Фрахт Транс'!$B$5:$M$10)),SUM($F61, $H61, $K61, $P61))</f>
        <v>730629</v>
      </c>
      <c r="O61" s="150" cm="1">
        <f t="array" aca="1" ref="O61" ca="1">IFERROR(_xlfn.XLOOKUP(1,  (Охрана!$A$6:$A$14 = $D61) * 1,  _xlfn.XLOOKUP(1,  (Охрана!$B$5:$M$5 = O$2) * (Охрана!$B$4:$M$4 = $S$2), Охрана!$B$6:$M$14)), "-")</f>
        <v>2740</v>
      </c>
      <c r="P61" s="195" cm="1">
        <f t="array" aca="1" ref="P61" ca="1">IFERROR(_xlfn.XLOOKUP(1,  (Охрана!$A$6:$A$14 = $D61) * 1,  _xlfn.XLOOKUP(1,  (Охрана!$B$5:$M$5 = P$2) * (Охрана!$B$4:$M$4 = $S$2), Охрана!$B$6:$M$14)), "-")</f>
        <v>4829</v>
      </c>
      <c r="Q61" s="286"/>
      <c r="AB61" s="5"/>
    </row>
    <row r="62" spans="1:29" ht="15.75" customHeight="1" thickBot="1" x14ac:dyDescent="0.3">
      <c r="A62" s="214" t="s">
        <v>18</v>
      </c>
      <c r="B62" s="291"/>
      <c r="C62" s="41" t="s">
        <v>35</v>
      </c>
      <c r="D62" s="40" t="s">
        <v>7</v>
      </c>
      <c r="E62" s="150" cm="1">
        <f t="array" ref="E62">IFERROR(_xlfn.XLOOKUP(1, (Фрахт!$A$5:$A$80 = $A62)* (Фрахт!$B$5:$B$80 = $C62) * (Фрахт!$C$5:$C$80 =$D62),  _xlfn.XLOOKUP(1,  (Фрахт!$D$4:$E$4 = E$2) * 1, Фрахт!$D$5:$E$80)) *  $S$1, "-")</f>
        <v>346500</v>
      </c>
      <c r="F62" s="150" cm="1">
        <f t="array" ref="F62">IFERROR(_xlfn.XLOOKUP(1, (Фрахт!$A$5:$A$80 = $A62)* (Фрахт!$B$5:$B$80 = $C62) * (Фрахт!$C$5:$C$80 =$D62),  _xlfn.XLOOKUP(1,  (Фрахт!$D$4:$E$4 = F$2) * 1, Фрахт!$D$5:$E$80)) *  $S$1, "-")</f>
        <v>504000</v>
      </c>
      <c r="G62" s="150" cm="1">
        <f t="array" aca="1" ref="G62" ca="1">IFERROR(_xlfn.XLOOKUP(1,  ('Drop off'!$A$6:$A$14 = $C62) * 1,  _xlfn.XLOOKUP(1,  ('Drop off'!$B$5:$I$5 = G$2) * ('Drop off'!$B$4:$I$4 = $S$2), 'Drop off'!$B$6:$I$14)) * $S$1, "-")</f>
        <v>56700</v>
      </c>
      <c r="H62" s="150" cm="1">
        <f t="array" aca="1" ref="H62" ca="1">IFERROR(_xlfn.XLOOKUP(1,  ('Drop off'!$A$6:$A$14 = $C62) * 1,  _xlfn.XLOOKUP(1,  ('Drop off'!$B$5:$I$5 = H$2) * ('Drop off'!$B$4:$I$4 = $S$2), 'Drop off'!$B$6:$I$14)) * $S$1, "-")</f>
        <v>37800</v>
      </c>
      <c r="I62" s="150" cm="1">
        <f t="array" aca="1" ref="I62" ca="1">IFERROR(_xlfn.XLOOKUP(1,  ('ж.д.'!$A$6:$A$14 = $D62) * 1,  _xlfn.XLOOKUP(1,  ('ж.д.'!$B$5:$M$5 = I$2) * ('ж.д.'!$B$4:$M$4 = $S$2), 'ж.д.'!$B$6:$M$14)), "-")</f>
        <v>101000</v>
      </c>
      <c r="J62" s="150" cm="1">
        <f t="array" aca="1" ref="J62" ca="1">IFERROR(_xlfn.XLOOKUP(1,  ('ж.д.'!$A$6:$A$14 = $D62) * 1,  _xlfn.XLOOKUP(1,  ('ж.д.'!$B$5:$M$5 = J$2) * ('ж.д.'!$B$4:$M$4 = $S$2), 'ж.д.'!$B$6:$M$14)), "-")</f>
        <v>115000</v>
      </c>
      <c r="K62" s="150" cm="1">
        <f t="array" aca="1" ref="K62" ca="1">IFERROR(_xlfn.XLOOKUP(1,  ('ж.д.'!$A$6:$A$14 = $D62) * 1,  _xlfn.XLOOKUP(1,  ('ж.д.'!$B$5:$M$5 = K$2) * ('ж.д.'!$B$4:$M$4 = $S$2), 'ж.д.'!$B$6:$M$14)), "-")</f>
        <v>175000</v>
      </c>
      <c r="L62" s="150" cm="1">
        <f t="array" aca="1" ref="L62" ca="1">IF(ISNUMBER(SEARCH("Транс",$C62)),_xlfn.XLOOKUP(1,('Фрахт Транс'!$A$5:$A$10=$D62)*1,_xlfn.XLOOKUP(1,('Фрахт Транс'!$B$3:$M$3 = $S$2)*('Фрахт Транс'!$B$4:$M$4=L$2),'Фрахт Транс'!$B$5:$M$10)),SUM($E62, $G62, $I62, $O62))</f>
        <v>506600</v>
      </c>
      <c r="M62" s="150" cm="1">
        <f t="array" aca="1" ref="M62" ca="1">IF(ISNUMBER(SEARCH("Транс",$C62)),_xlfn.XLOOKUP(1,('Фрахт Транс'!$A$5:$A$10=$D62)*1,_xlfn.XLOOKUP(1,('Фрахт Транс'!$B$3:$M$3=$S$2)*('Фрахт Транс'!$B$4:$M$4=M$2),'Фрахт Транс'!$B$5:$M$10)),SUM($E62, $G62, $J62, $O62))</f>
        <v>520600</v>
      </c>
      <c r="N62" s="150" cm="1">
        <f t="array" aca="1" ref="N62" ca="1">IF(ISNUMBER(SEARCH("Транс",$C62)),_xlfn.XLOOKUP(1,('Фрахт Транс'!$A$5:$A$10=$D62)*1,_xlfn.XLOOKUP(1,('Фрахт Транс'!$B$3:$M$3=$S$2)*('Фрахт Транс'!$B$4:$M$4=N$2),'Фрахт Транс'!$B$5:$M$10)),SUM($F62, $H62, $K62, $P62))</f>
        <v>721700</v>
      </c>
      <c r="O62" s="150" cm="1">
        <f t="array" aca="1" ref="O62" ca="1">IFERROR(_xlfn.XLOOKUP(1,  (Охрана!$A$6:$A$14 = $D62) * 1,  _xlfn.XLOOKUP(1,  (Охрана!$B$5:$M$5 = O$2) * (Охрана!$B$4:$M$4 = $S$2), Охрана!$B$6:$M$14)), "-")</f>
        <v>2400</v>
      </c>
      <c r="P62" s="195" cm="1">
        <f t="array" aca="1" ref="P62" ca="1">IFERROR(_xlfn.XLOOKUP(1,  (Охрана!$A$6:$A$14 = $D62) * 1,  _xlfn.XLOOKUP(1,  (Охрана!$B$5:$M$5 = P$2) * (Охрана!$B$4:$M$4 = $S$2), Охрана!$B$6:$M$14)), "-")</f>
        <v>4900</v>
      </c>
      <c r="Q62" s="286"/>
      <c r="R62" s="4"/>
      <c r="AB62" s="5"/>
    </row>
    <row r="63" spans="1:29" ht="16.5" thickBot="1" x14ac:dyDescent="0.3">
      <c r="A63" s="214" t="s">
        <v>18</v>
      </c>
      <c r="B63" s="291"/>
      <c r="C63" s="50" t="s">
        <v>36</v>
      </c>
      <c r="D63" s="50" t="s">
        <v>21</v>
      </c>
      <c r="E63" s="151" cm="1">
        <f t="array" ref="E63">IFERROR(_xlfn.XLOOKUP(1, (Фрахт!$A$5:$A$80 = $A63)* (Фрахт!$B$5:$B$80 = $C63) * (Фрахт!$C$5:$C$80 =$D63),  _xlfn.XLOOKUP(1,  (Фрахт!$D$4:$E$4 = E$2) * 1, Фрахт!$D$5:$E$80)) *  $S$1, "-")</f>
        <v>275160</v>
      </c>
      <c r="F63" s="151" cm="1">
        <f t="array" ref="F63">IFERROR(_xlfn.XLOOKUP(1, (Фрахт!$A$5:$A$80 = $A63)* (Фрахт!$B$5:$B$80 = $C63) * (Фрахт!$C$5:$C$80 =$D63),  _xlfn.XLOOKUP(1,  (Фрахт!$D$4:$E$4 = F$2) * 1, Фрахт!$D$5:$E$80)) *  $S$1, "-")</f>
        <v>454320</v>
      </c>
      <c r="G63" s="151" cm="1">
        <f t="array" aca="1" ref="G63" ca="1">IFERROR(_xlfn.XLOOKUP(1,  ('Drop off'!$A$6:$A$14 = $C63) * 1,  _xlfn.XLOOKUP(1,  ('Drop off'!$B$5:$I$5 = G$2) * ('Drop off'!$B$4:$I$4 = $S$2), 'Drop off'!$B$6:$I$14)) * $S$1, "-")</f>
        <v>9000</v>
      </c>
      <c r="H63" s="151" cm="1">
        <f t="array" aca="1" ref="H63" ca="1">IFERROR(_xlfn.XLOOKUP(1,  ('Drop off'!$A$6:$A$14 = $C63) * 1,  _xlfn.XLOOKUP(1,  ('Drop off'!$B$5:$I$5 = H$2) * ('Drop off'!$B$4:$I$4 = $S$2), 'Drop off'!$B$6:$I$14)) * $S$1, "-")</f>
        <v>9000</v>
      </c>
      <c r="I63" s="151" cm="1">
        <f t="array" aca="1" ref="I63" ca="1">IFERROR(_xlfn.XLOOKUP(1,  ('ж.д.'!$A$6:$A$14 = $D63) * 1,  _xlfn.XLOOKUP(1,  ('ж.д.'!$B$5:$M$5 = I$2) * ('ж.д.'!$B$4:$M$4 = $S$2), 'ж.д.'!$B$6:$M$14)), "-")</f>
        <v>103900</v>
      </c>
      <c r="J63" s="151" cm="1">
        <f t="array" aca="1" ref="J63" ca="1">IFERROR(_xlfn.XLOOKUP(1,  ('ж.д.'!$A$6:$A$14 = $D63) * 1,  _xlfn.XLOOKUP(1,  ('ж.д.'!$B$5:$M$5 = J$2) * ('ж.д.'!$B$4:$M$4 = $S$2), 'ж.д.'!$B$6:$M$14)), "-")</f>
        <v>114900</v>
      </c>
      <c r="K63" s="151" cm="1">
        <f t="array" aca="1" ref="K63" ca="1">IFERROR(_xlfn.XLOOKUP(1,  ('ж.д.'!$A$6:$A$14 = $D63) * 1,  _xlfn.XLOOKUP(1,  ('ж.д.'!$B$5:$M$5 = K$2) * ('ж.д.'!$B$4:$M$4 = $S$2), 'ж.д.'!$B$6:$M$14)), "-")</f>
        <v>182400</v>
      </c>
      <c r="L63" s="151" cm="1">
        <f t="array" aca="1" ref="L63" ca="1">IF(ISNUMBER(SEARCH("Транс",$C63)),_xlfn.XLOOKUP(1,('Фрахт Транс'!$A$5:$A$10=$D63)*1,_xlfn.XLOOKUP(1,('Фрахт Транс'!$B$3:$M$3 = $S$2)*('Фрахт Транс'!$B$4:$M$4=L$2),'Фрахт Транс'!$B$5:$M$10)),SUM($E63, $G63, $I63, $O63))</f>
        <v>390050</v>
      </c>
      <c r="M63" s="151" cm="1">
        <f t="array" aca="1" ref="M63" ca="1">IF(ISNUMBER(SEARCH("Транс",$C63)),_xlfn.XLOOKUP(1,('Фрахт Транс'!$A$5:$A$10=$D63)*1,_xlfn.XLOOKUP(1,('Фрахт Транс'!$B$3:$M$3=$S$2)*('Фрахт Транс'!$B$4:$M$4=M$2),'Фрахт Транс'!$B$5:$M$10)),SUM($E63, $G63, $J63, $O63))</f>
        <v>401050</v>
      </c>
      <c r="N63" s="151" cm="1">
        <f t="array" aca="1" ref="N63" ca="1">IF(ISNUMBER(SEARCH("Транс",$C63)),_xlfn.XLOOKUP(1,('Фрахт Транс'!$A$5:$A$10=$D63)*1,_xlfn.XLOOKUP(1,('Фрахт Транс'!$B$3:$M$3=$S$2)*('Фрахт Транс'!$B$4:$M$4=N$2),'Фрахт Транс'!$B$5:$M$10)),SUM($F63, $H63, $K63, $P63))</f>
        <v>649799</v>
      </c>
      <c r="O63" s="151" cm="1">
        <f t="array" aca="1" ref="O63" ca="1">IFERROR(_xlfn.XLOOKUP(1,  (Охрана!$A$6:$A$14 = $D63) * 1,  _xlfn.XLOOKUP(1,  (Охрана!$B$5:$M$5 = O$2) * (Охрана!$B$4:$M$4 = $S$2), Охрана!$B$6:$M$14)), "-")</f>
        <v>1990</v>
      </c>
      <c r="P63" s="196" cm="1">
        <f t="array" aca="1" ref="P63" ca="1">IFERROR(_xlfn.XLOOKUP(1,  (Охрана!$A$6:$A$14 = $D63) * 1,  _xlfn.XLOOKUP(1,  (Охрана!$B$5:$M$5 = P$2) * (Охрана!$B$4:$M$4 = $S$2), Охрана!$B$6:$M$14)), "-")</f>
        <v>4079</v>
      </c>
      <c r="Q63" s="38"/>
      <c r="R63" s="71"/>
    </row>
    <row r="64" spans="1:29" ht="16.5" thickBot="1" x14ac:dyDescent="0.3">
      <c r="A64" s="214" t="s">
        <v>18</v>
      </c>
      <c r="B64" s="292"/>
      <c r="C64" s="56" t="s">
        <v>37</v>
      </c>
      <c r="D64" s="57" t="s">
        <v>11</v>
      </c>
      <c r="E64" s="165" t="str" cm="1">
        <f t="array" ref="E64">IFERROR(_xlfn.XLOOKUP(1, (Фрахт!$A$5:$A$80 = $A64)* (Фрахт!$B$5:$B$80 = $C64) * (Фрахт!$C$5:$C$80 =$D64),  _xlfn.XLOOKUP(1,  (Фрахт!$D$4:$E$4 = E$2) * 1, Фрахт!$D$5:$E$80)) *  $S$1, "-")</f>
        <v>-</v>
      </c>
      <c r="F64" s="165" t="str" cm="1">
        <f t="array" ref="F64">IFERROR(_xlfn.XLOOKUP(1, (Фрахт!$A$5:$A$80 = $A64)* (Фрахт!$B$5:$B$80 = $C64) * (Фрахт!$C$5:$C$80 =$D64),  _xlfn.XLOOKUP(1,  (Фрахт!$D$4:$E$4 = F$2) * 1, Фрахт!$D$5:$E$80)) *  $S$1, "-")</f>
        <v>-</v>
      </c>
      <c r="G64" s="165" cm="1">
        <f t="array" aca="1" ref="G64" ca="1">IFERROR(_xlfn.XLOOKUP(1,  ('Drop off'!$A$6:$A$14 = $C64) * 1,  _xlfn.XLOOKUP(1,  ('Drop off'!$B$5:$I$5 = G$2) * ('Drop off'!$B$4:$I$4 = $S$2), 'Drop off'!$B$6:$I$14)) * $S$1, "-")</f>
        <v>0</v>
      </c>
      <c r="H64" s="165" cm="1">
        <f t="array" aca="1" ref="H64" ca="1">IFERROR(_xlfn.XLOOKUP(1,  ('Drop off'!$A$6:$A$14 = $C64) * 1,  _xlfn.XLOOKUP(1,  ('Drop off'!$B$5:$I$5 = H$2) * ('Drop off'!$B$4:$I$4 = $S$2), 'Drop off'!$B$6:$I$14)) * $S$1, "-")</f>
        <v>0</v>
      </c>
      <c r="I64" s="165" cm="1">
        <f t="array" aca="1" ref="I64" ca="1">IFERROR(_xlfn.XLOOKUP(1,  ('ж.д.'!$A$6:$A$14 = $D64) * 1,  _xlfn.XLOOKUP(1,  ('ж.д.'!$B$5:$M$5 = I$2) * ('ж.д.'!$B$4:$M$4 = $S$2), 'ж.д.'!$B$6:$M$14)), "-")</f>
        <v>99200</v>
      </c>
      <c r="J64" s="165" cm="1">
        <f t="array" aca="1" ref="J64" ca="1">IFERROR(_xlfn.XLOOKUP(1,  ('ж.д.'!$A$6:$A$14 = $D64) * 1,  _xlfn.XLOOKUP(1,  ('ж.д.'!$B$5:$M$5 = J$2) * ('ж.д.'!$B$4:$M$4 = $S$2), 'ж.д.'!$B$6:$M$14)), "-")</f>
        <v>113100</v>
      </c>
      <c r="K64" s="165" cm="1">
        <f t="array" aca="1" ref="K64" ca="1">IFERROR(_xlfn.XLOOKUP(1,  ('ж.д.'!$A$6:$A$14 = $D64) * 1,  _xlfn.XLOOKUP(1,  ('ж.д.'!$B$5:$M$5 = K$2) * ('ж.д.'!$B$4:$M$4 = $S$2), 'ж.д.'!$B$6:$M$14)), "-")</f>
        <v>176500</v>
      </c>
      <c r="L64" s="165" cm="1">
        <f t="array" aca="1" ref="L64" ca="1">IF(ISNUMBER(SEARCH("Транс",$C64)),_xlfn.XLOOKUP(1,('Фрахт Транс'!$A$5:$A$10=$D64)*1,_xlfn.XLOOKUP(1,('Фрахт Транс'!$B$3:$M$3 = $S$2)*('Фрахт Транс'!$B$4:$M$4=L$2),'Фрахт Транс'!$B$5:$M$10)),SUM($E64, $G64, $I64, $O64))</f>
        <v>101340</v>
      </c>
      <c r="M64" s="165" cm="1">
        <f t="array" aca="1" ref="M64" ca="1">IF(ISNUMBER(SEARCH("Транс",$C64)),_xlfn.XLOOKUP(1,('Фрахт Транс'!$A$5:$A$10=$D64)*1,_xlfn.XLOOKUP(1,('Фрахт Транс'!$B$3:$M$3=$S$2)*('Фрахт Транс'!$B$4:$M$4=M$2),'Фрахт Транс'!$B$5:$M$10)),SUM($E64, $G64, $J64, $O64))</f>
        <v>115240</v>
      </c>
      <c r="N64" s="165" cm="1">
        <f t="array" aca="1" ref="N64" ca="1">IF(ISNUMBER(SEARCH("Транс",$C64)),_xlfn.XLOOKUP(1,('Фрахт Транс'!$A$5:$A$10=$D64)*1,_xlfn.XLOOKUP(1,('Фрахт Транс'!$B$3:$M$3=$S$2)*('Фрахт Транс'!$B$4:$M$4=N$2),'Фрахт Транс'!$B$5:$M$10)),SUM($F64, $H64, $K64, $P64))</f>
        <v>180927</v>
      </c>
      <c r="O64" s="165" cm="1">
        <f t="array" aca="1" ref="O64" ca="1">IFERROR(_xlfn.XLOOKUP(1,  (Охрана!$A$6:$A$14 = $D64) * 1,  _xlfn.XLOOKUP(1,  (Охрана!$B$5:$M$5 = O$2) * (Охрана!$B$4:$M$4 = $S$2), Охрана!$B$6:$M$14)), "-")</f>
        <v>2140</v>
      </c>
      <c r="P64" s="211" cm="1">
        <f t="array" aca="1" ref="P64" ca="1">IFERROR(_xlfn.XLOOKUP(1,  (Охрана!$A$6:$A$14 = $D64) * 1,  _xlfn.XLOOKUP(1,  (Охрана!$B$5:$M$5 = P$2) * (Охрана!$B$4:$M$4 = $S$2), Охрана!$B$6:$M$14)), "-")</f>
        <v>4427</v>
      </c>
      <c r="Q64" s="38"/>
      <c r="R64" s="71"/>
    </row>
  </sheetData>
  <mergeCells count="29">
    <mergeCell ref="O1:P1"/>
    <mergeCell ref="L1:N1"/>
    <mergeCell ref="B1:B2"/>
    <mergeCell ref="C1:C2"/>
    <mergeCell ref="D1:D2"/>
    <mergeCell ref="E1:F1"/>
    <mergeCell ref="G1:H1"/>
    <mergeCell ref="I1:K1"/>
    <mergeCell ref="Q49:Q52"/>
    <mergeCell ref="B46:B55"/>
    <mergeCell ref="B37:B45"/>
    <mergeCell ref="B3:B13"/>
    <mergeCell ref="Q4:Q5"/>
    <mergeCell ref="A1:A2"/>
    <mergeCell ref="R23:R24"/>
    <mergeCell ref="Q23:Q24"/>
    <mergeCell ref="B56:B64"/>
    <mergeCell ref="Q59:Q62"/>
    <mergeCell ref="Q17:Q20"/>
    <mergeCell ref="B26:B36"/>
    <mergeCell ref="B14:B25"/>
    <mergeCell ref="Q15:Q16"/>
    <mergeCell ref="Q27:Q28"/>
    <mergeCell ref="Q38:Q39"/>
    <mergeCell ref="Q47:Q48"/>
    <mergeCell ref="Q57:Q58"/>
    <mergeCell ref="Q6:Q9"/>
    <mergeCell ref="Q40:Q43"/>
    <mergeCell ref="Q29:Q32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Лист7"/>
  <dimension ref="A1:AB64"/>
  <sheetViews>
    <sheetView tabSelected="1" zoomScale="85" zoomScaleNormal="85" workbookViewId="0">
      <selection activeCell="I22" sqref="I22"/>
    </sheetView>
  </sheetViews>
  <sheetFormatPr defaultColWidth="9.140625" defaultRowHeight="15.75" x14ac:dyDescent="0.25"/>
  <cols>
    <col min="1" max="2" width="11.140625" style="1" bestFit="1" customWidth="1"/>
    <col min="3" max="3" width="21.5703125" style="1" customWidth="1"/>
    <col min="4" max="4" width="24" style="1" customWidth="1"/>
    <col min="5" max="8" width="14.42578125" style="16" customWidth="1"/>
    <col min="9" max="16" width="21.28515625" style="17" customWidth="1"/>
    <col min="17" max="17" width="9.7109375" style="37" customWidth="1"/>
    <col min="18" max="18" width="10.42578125" style="1" bestFit="1" customWidth="1"/>
    <col min="19" max="19" width="13.5703125" style="1" bestFit="1" customWidth="1"/>
    <col min="20" max="22" width="9.140625" style="1"/>
    <col min="23" max="23" width="11.85546875" style="1" customWidth="1"/>
    <col min="24" max="24" width="11.42578125" style="1" customWidth="1"/>
    <col min="25" max="16384" width="9.140625" style="1"/>
  </cols>
  <sheetData>
    <row r="1" spans="1:28" ht="21" x14ac:dyDescent="0.35">
      <c r="A1" s="278" t="s">
        <v>3</v>
      </c>
      <c r="B1" s="278" t="s">
        <v>3</v>
      </c>
      <c r="C1" s="303" t="s">
        <v>0</v>
      </c>
      <c r="D1" s="303" t="s">
        <v>6</v>
      </c>
      <c r="E1" s="297" t="s">
        <v>1</v>
      </c>
      <c r="F1" s="297"/>
      <c r="G1" s="297" t="s">
        <v>2</v>
      </c>
      <c r="H1" s="297"/>
      <c r="I1" s="298" t="s">
        <v>4</v>
      </c>
      <c r="J1" s="298"/>
      <c r="K1" s="298"/>
      <c r="L1" s="298" t="s">
        <v>5</v>
      </c>
      <c r="M1" s="298"/>
      <c r="N1" s="298"/>
      <c r="O1" s="298" t="s">
        <v>20</v>
      </c>
      <c r="P1" s="299"/>
      <c r="R1" s="244" t="s">
        <v>66</v>
      </c>
      <c r="S1" s="245">
        <v>60</v>
      </c>
    </row>
    <row r="2" spans="1:28" ht="21.75" thickBot="1" x14ac:dyDescent="0.4">
      <c r="A2" s="279"/>
      <c r="B2" s="279"/>
      <c r="C2" s="304"/>
      <c r="D2" s="304"/>
      <c r="E2" s="34">
        <v>20</v>
      </c>
      <c r="F2" s="34">
        <v>40</v>
      </c>
      <c r="G2" s="34">
        <v>20</v>
      </c>
      <c r="H2" s="34">
        <v>40</v>
      </c>
      <c r="I2" s="34" t="s">
        <v>9</v>
      </c>
      <c r="J2" s="34" t="s">
        <v>8</v>
      </c>
      <c r="K2" s="34">
        <v>40</v>
      </c>
      <c r="L2" s="34" t="s">
        <v>9</v>
      </c>
      <c r="M2" s="34" t="s">
        <v>8</v>
      </c>
      <c r="N2" s="34">
        <v>40</v>
      </c>
      <c r="O2" s="34">
        <v>20</v>
      </c>
      <c r="P2" s="35">
        <v>40</v>
      </c>
      <c r="R2" s="244" t="s">
        <v>65</v>
      </c>
      <c r="S2" s="244" t="str" cm="1">
        <f t="array" aca="1" ref="S2" ca="1">_xlfn.TEXTAFTER(CELL("filename", A1), "]")</f>
        <v>Екатеринбург</v>
      </c>
    </row>
    <row r="3" spans="1:28" ht="30.75" thickBot="1" x14ac:dyDescent="0.3">
      <c r="A3" s="213" t="s">
        <v>13</v>
      </c>
      <c r="B3" s="287" t="s">
        <v>13</v>
      </c>
      <c r="C3" s="63" t="s">
        <v>43</v>
      </c>
      <c r="D3" s="64" t="s">
        <v>44</v>
      </c>
      <c r="E3" s="168" t="str" cm="1">
        <f t="array" ref="E3">IFERROR(_xlfn.XLOOKUP(1, (Фрахт!$A$5:$A$80 = $A3)* (Фрахт!$B$5:$B$80 = $C3) * (Фрахт!$C$5:$C$80 =$D3),  _xlfn.XLOOKUP(1,  (Фрахт!$D$4:$E$4 = E$2) * 1, Фрахт!$D$5:$E$80)) *  $S$1, "-")</f>
        <v>-</v>
      </c>
      <c r="F3" s="168" t="str" cm="1">
        <f t="array" ref="F3">IFERROR(_xlfn.XLOOKUP(1, (Фрахт!$A$5:$A$80 = $A3)* (Фрахт!$B$5:$B$80 = $C3) * (Фрахт!$C$5:$C$80 =$D3),  _xlfn.XLOOKUP(1,  (Фрахт!$D$4:$E$4 = F$2) * 1, Фрахт!$D$5:$E$80)) *  $S$1, "-")</f>
        <v>-</v>
      </c>
      <c r="G3" s="168" cm="1">
        <f t="array" aca="1" ref="G3" ca="1">IFERROR(_xlfn.XLOOKUP(1,  ('Drop off'!$A$6:$A$14 = $C3) * 1,  _xlfn.XLOOKUP(1,  ('Drop off'!$B$5:$I$5 = G$2) * ('Drop off'!$B$4:$I$4 = $S$2), 'Drop off'!$B$6:$I$14)) * $S$1, "-")</f>
        <v>0</v>
      </c>
      <c r="H3" s="168" cm="1">
        <f t="array" aca="1" ref="H3" ca="1">IFERROR(_xlfn.XLOOKUP(1,  ('Drop off'!$A$6:$A$14 = $C3) * 1,  _xlfn.XLOOKUP(1,  ('Drop off'!$B$5:$I$5 = H$2) * ('Drop off'!$B$4:$I$4 = $S$2), 'Drop off'!$B$6:$I$14)) * $S$1, "-")</f>
        <v>0</v>
      </c>
      <c r="I3" s="168" t="str" cm="1">
        <f t="array" aca="1" ref="I3" ca="1">IFERROR(_xlfn.XLOOKUP(1,  ('ж.д.'!$A$6:$A$14 = $D3) * 1,  _xlfn.XLOOKUP(1,  ('ж.д.'!$B$5:$M$5 = I$2) * ('ж.д.'!$B$4:$M$4 = $S$2), 'ж.д.'!$B$6:$M$14)), "-")</f>
        <v>-</v>
      </c>
      <c r="J3" s="168" t="str" cm="1">
        <f t="array" aca="1" ref="J3" ca="1">IFERROR(_xlfn.XLOOKUP(1,  ('ж.д.'!$A$6:$A$14 = $D3) * 1,  _xlfn.XLOOKUP(1,  ('ж.д.'!$B$5:$M$5 = J$2) * ('ж.д.'!$B$4:$M$4 = $S$2), 'ж.д.'!$B$6:$M$14)), "-")</f>
        <v>-</v>
      </c>
      <c r="K3" s="168" t="str" cm="1">
        <f t="array" aca="1" ref="K3" ca="1">IFERROR(_xlfn.XLOOKUP(1,  ('ж.д.'!$A$6:$A$14 = $D3) * 1,  _xlfn.XLOOKUP(1,  ('ж.д.'!$B$5:$M$5 = K$2) * ('ж.д.'!$B$4:$M$4 = $S$2), 'ж.д.'!$B$6:$M$14)), "-")</f>
        <v>-</v>
      </c>
      <c r="L3" s="191" cm="1">
        <f t="array" aca="1" ref="L3" ca="1">IF(ISNUMBER(SEARCH("Транс",$C3)),_xlfn.XLOOKUP(1,('Фрахт Транс'!$A$5:$A$10=$D3)*1,_xlfn.XLOOKUP(1,('Фрахт Транс'!$B$3:$M$3 = $S$2)*('Фрахт Транс'!$B$4:$M$4=L$2),'Фрахт Транс'!$B$5:$M$10)),SUM($E3, $G3, $I3, $O3))</f>
        <v>336212</v>
      </c>
      <c r="M3" s="191" cm="1">
        <f t="array" aca="1" ref="M3" ca="1">IF(ISNUMBER(SEARCH("Транс",$C3)),_xlfn.XLOOKUP(1,('Фрахт Транс'!$A$5:$A$10=$D3)*1,_xlfn.XLOOKUP(1,('Фрахт Транс'!$B$3:$M$3=$S$2)*('Фрахт Транс'!$B$4:$M$4=M$2),'Фрахт Транс'!$B$5:$M$10)),SUM($E3, $G3, $J3, $O3))</f>
        <v>351706</v>
      </c>
      <c r="N3" s="191" cm="1">
        <f t="array" aca="1" ref="N3" ca="1">IF(ISNUMBER(SEARCH("Транс",$C3)),_xlfn.XLOOKUP(1,('Фрахт Транс'!$A$5:$A$10=$D3)*1,_xlfn.XLOOKUP(1,('Фрахт Транс'!$B$3:$M$3=$S$2)*('Фрахт Транс'!$B$4:$M$4=N$2),'Фрахт Транс'!$B$5:$M$10)),SUM($F3, $H3, $K3, $P3))</f>
        <v>535736</v>
      </c>
      <c r="O3" s="192" t="str" cm="1">
        <f t="array" aca="1" ref="O3" ca="1">IFERROR(_xlfn.XLOOKUP(1,  (Охрана!$A$6:$A$14 = $D3) * 1,  _xlfn.XLOOKUP(1,  (Охрана!$B$5:$M$5 = O$2) * (Охрана!$B$4:$M$4 = $S$2), Охрана!$B$6:$M$14)), "-")</f>
        <v>-</v>
      </c>
      <c r="P3" s="192" t="str" cm="1">
        <f t="array" aca="1" ref="P3" ca="1">IFERROR(_xlfn.XLOOKUP(1,  (Охрана!$A$6:$A$14 = $D3) * 1,  _xlfn.XLOOKUP(1,  (Охрана!$B$5:$M$5 = P$2) * (Охрана!$B$4:$M$4 = $S$2), Охрана!$B$6:$M$14)), "-")</f>
        <v>-</v>
      </c>
      <c r="Q3" s="38"/>
      <c r="R3" s="6"/>
      <c r="AB3" s="5"/>
    </row>
    <row r="4" spans="1:28" thickBot="1" x14ac:dyDescent="0.3">
      <c r="A4" s="213" t="s">
        <v>13</v>
      </c>
      <c r="B4" s="288"/>
      <c r="C4" s="42" t="s">
        <v>12</v>
      </c>
      <c r="D4" s="32" t="s">
        <v>30</v>
      </c>
      <c r="E4" s="149" cm="1">
        <f t="array" ref="E4">IFERROR(_xlfn.XLOOKUP(1, (Фрахт!$A$5:$A$80 = $A4)* (Фрахт!$B$5:$B$80 = $C4) * (Фрахт!$C$5:$C$80 =$D4),  _xlfn.XLOOKUP(1,  (Фрахт!$D$4:$E$4 = E$2) * 1, Фрахт!$D$5:$E$80)) *  $S$1, "-")</f>
        <v>330000</v>
      </c>
      <c r="F4" s="149" cm="1">
        <f t="array" ref="F4">IFERROR(_xlfn.XLOOKUP(1, (Фрахт!$A$5:$A$80 = $A4)* (Фрахт!$B$5:$B$80 = $C4) * (Фрахт!$C$5:$C$80 =$D4),  _xlfn.XLOOKUP(1,  (Фрахт!$D$4:$E$4 = F$2) * 1, Фрахт!$D$5:$E$80)) *  $S$1, "-")</f>
        <v>450000</v>
      </c>
      <c r="G4" s="149" cm="1">
        <f t="array" aca="1" ref="G4" ca="1">IFERROR(_xlfn.XLOOKUP(1,  ('Drop off'!$A$6:$A$14 = $C4) * 1,  _xlfn.XLOOKUP(1,  ('Drop off'!$B$5:$I$5 = G$2) * ('Drop off'!$B$4:$I$4 = $S$2), 'Drop off'!$B$6:$I$14)) * $S$1, "-")</f>
        <v>0</v>
      </c>
      <c r="H4" s="149" cm="1">
        <f t="array" aca="1" ref="H4" ca="1">IFERROR(_xlfn.XLOOKUP(1,  ('Drop off'!$A$6:$A$14 = $C4) * 1,  _xlfn.XLOOKUP(1,  ('Drop off'!$B$5:$I$5 = H$2) * ('Drop off'!$B$4:$I$4 = $S$2), 'Drop off'!$B$6:$I$14)) * $S$1, "-")</f>
        <v>0</v>
      </c>
      <c r="I4" s="149" cm="1">
        <f t="array" aca="1" ref="I4" ca="1">IFERROR(_xlfn.XLOOKUP(1,  ('ж.д.'!$A$6:$A$14 = $D4) * 1,  _xlfn.XLOOKUP(1,  ('ж.д.'!$B$5:$M$5 = I$2) * ('ж.д.'!$B$4:$M$4 = $S$2), 'ж.д.'!$B$6:$M$14)), "-")</f>
        <v>97300</v>
      </c>
      <c r="J4" s="149" cm="1">
        <f t="array" aca="1" ref="J4" ca="1">IFERROR(_xlfn.XLOOKUP(1,  ('ж.д.'!$A$6:$A$14 = $D4) * 1,  _xlfn.XLOOKUP(1,  ('ж.д.'!$B$5:$M$5 = J$2) * ('ж.д.'!$B$4:$M$4 = $S$2), 'ж.д.'!$B$6:$M$14)), "-")</f>
        <v>109595</v>
      </c>
      <c r="K4" s="149" cm="1">
        <f t="array" aca="1" ref="K4" ca="1">IFERROR(_xlfn.XLOOKUP(1,  ('ж.д.'!$A$6:$A$14 = $D4) * 1,  _xlfn.XLOOKUP(1,  ('ж.д.'!$B$5:$M$5 = K$2) * ('ж.д.'!$B$4:$M$4 = $S$2), 'ж.д.'!$B$6:$M$14)), "-")</f>
        <v>195500</v>
      </c>
      <c r="L4" s="149" cm="1">
        <f t="array" aca="1" ref="L4" ca="1">IF(ISNUMBER(SEARCH("Транс",$C4)),_xlfn.XLOOKUP(1,('Фрахт Транс'!$A$5:$A$10=$D4)*1,_xlfn.XLOOKUP(1,('Фрахт Транс'!$B$3:$M$3 = $S$2)*('Фрахт Транс'!$B$4:$M$4=L$2),'Фрахт Транс'!$B$5:$M$10)),SUM($E4, $G4, $I4, $O4))</f>
        <v>430489</v>
      </c>
      <c r="M4" s="149" cm="1">
        <f t="array" aca="1" ref="M4" ca="1">IF(ISNUMBER(SEARCH("Транс",$C4)),_xlfn.XLOOKUP(1,('Фрахт Транс'!$A$5:$A$10=$D4)*1,_xlfn.XLOOKUP(1,('Фрахт Транс'!$B$3:$M$3=$S$2)*('Фрахт Транс'!$B$4:$M$4=M$2),'Фрахт Транс'!$B$5:$M$10)),SUM($E4, $G4, $J4, $O4))</f>
        <v>442784</v>
      </c>
      <c r="N4" s="149" cm="1">
        <f t="array" aca="1" ref="N4" ca="1">IF(ISNUMBER(SEARCH("Транс",$C4)),_xlfn.XLOOKUP(1,('Фрахт Транс'!$A$5:$A$10=$D4)*1,_xlfn.XLOOKUP(1,('Фрахт Транс'!$B$3:$M$3=$S$2)*('Фрахт Транс'!$B$4:$M$4=N$2),'Фрахт Транс'!$B$5:$M$10)),SUM($F4, $H4, $K4, $P4))</f>
        <v>651189</v>
      </c>
      <c r="O4" s="149" cm="1">
        <f t="array" aca="1" ref="O4" ca="1">IFERROR(_xlfn.XLOOKUP(1,  (Охрана!$A$6:$A$14 = $D4) * 1,  _xlfn.XLOOKUP(1,  (Охрана!$B$5:$M$5 = O$2) * (Охрана!$B$4:$M$4 = $S$2), Охрана!$B$6:$M$14)), "-")</f>
        <v>3189</v>
      </c>
      <c r="P4" s="194" cm="1">
        <f t="array" aca="1" ref="P4" ca="1">IFERROR(_xlfn.XLOOKUP(1,  (Охрана!$A$6:$A$14 = $D4) * 1,  _xlfn.XLOOKUP(1,  (Охрана!$B$5:$M$5 = P$2) * (Охрана!$B$4:$M$4 = $S$2), Охрана!$B$6:$M$14)), "-")</f>
        <v>5689</v>
      </c>
      <c r="Q4" s="282"/>
      <c r="R4" s="91"/>
      <c r="AB4" s="5"/>
    </row>
    <row r="5" spans="1:28" thickBot="1" x14ac:dyDescent="0.3">
      <c r="A5" s="213" t="s">
        <v>13</v>
      </c>
      <c r="B5" s="288"/>
      <c r="C5" s="42" t="s">
        <v>12</v>
      </c>
      <c r="D5" s="32" t="s">
        <v>55</v>
      </c>
      <c r="E5" s="149" cm="1">
        <f t="array" ref="E5">IFERROR(_xlfn.XLOOKUP(1, (Фрахт!$A$5:$A$80 = $A5)* (Фрахт!$B$5:$B$80 = $C5) * (Фрахт!$C$5:$C$80 =$D5),  _xlfn.XLOOKUP(1,  (Фрахт!$D$4:$E$4 = E$2) * 1, Фрахт!$D$5:$E$80)) *  $S$1, "-")</f>
        <v>330000</v>
      </c>
      <c r="F5" s="149" cm="1">
        <f t="array" ref="F5">IFERROR(_xlfn.XLOOKUP(1, (Фрахт!$A$5:$A$80 = $A5)* (Фрахт!$B$5:$B$80 = $C5) * (Фрахт!$C$5:$C$80 =$D5),  _xlfn.XLOOKUP(1,  (Фрахт!$D$4:$E$4 = F$2) * 1, Фрахт!$D$5:$E$80)) *  $S$1, "-")</f>
        <v>450000</v>
      </c>
      <c r="G5" s="149" cm="1">
        <f t="array" aca="1" ref="G5" ca="1">IFERROR(_xlfn.XLOOKUP(1,  ('Drop off'!$A$6:$A$14 = $C5) * 1,  _xlfn.XLOOKUP(1,  ('Drop off'!$B$5:$I$5 = G$2) * ('Drop off'!$B$4:$I$4 = $S$2), 'Drop off'!$B$6:$I$14)) * $S$1, "-")</f>
        <v>0</v>
      </c>
      <c r="H5" s="149" cm="1">
        <f t="array" aca="1" ref="H5" ca="1">IFERROR(_xlfn.XLOOKUP(1,  ('Drop off'!$A$6:$A$14 = $C5) * 1,  _xlfn.XLOOKUP(1,  ('Drop off'!$B$5:$I$5 = H$2) * ('Drop off'!$B$4:$I$4 = $S$2), 'Drop off'!$B$6:$I$14)) * $S$1, "-")</f>
        <v>0</v>
      </c>
      <c r="I5" s="149" cm="1">
        <f t="array" aca="1" ref="I5" ca="1">IFERROR(_xlfn.XLOOKUP(1,  ('ж.д.'!$A$6:$A$14 = $D5) * 1,  _xlfn.XLOOKUP(1,  ('ж.д.'!$B$5:$M$5 = I$2) * ('ж.д.'!$B$4:$M$4 = $S$2), 'ж.д.'!$B$6:$M$14)), "-")</f>
        <v>102705</v>
      </c>
      <c r="J5" s="149" cm="1">
        <f t="array" aca="1" ref="J5" ca="1">IFERROR(_xlfn.XLOOKUP(1,  ('ж.д.'!$A$6:$A$14 = $D5) * 1,  _xlfn.XLOOKUP(1,  ('ж.д.'!$B$5:$M$5 = J$2) * ('ж.д.'!$B$4:$M$4 = $S$2), 'ж.д.'!$B$6:$M$14)), "-")</f>
        <v>117975</v>
      </c>
      <c r="K5" s="149" cm="1">
        <f t="array" aca="1" ref="K5" ca="1">IFERROR(_xlfn.XLOOKUP(1,  ('ж.д.'!$A$6:$A$14 = $D5) * 1,  _xlfn.XLOOKUP(1,  ('ж.д.'!$B$5:$M$5 = K$2) * ('ж.д.'!$B$4:$M$4 = $S$2), 'ж.д.'!$B$6:$M$14)), "-")</f>
        <v>205870</v>
      </c>
      <c r="L5" s="149" cm="1">
        <f t="array" aca="1" ref="L5" ca="1">IF(ISNUMBER(SEARCH("Транс",$C5)),_xlfn.XLOOKUP(1,('Фрахт Транс'!$A$5:$A$10=$D5)*1,_xlfn.XLOOKUP(1,('Фрахт Транс'!$B$3:$M$3 = $S$2)*('Фрахт Транс'!$B$4:$M$4=L$2),'Фрахт Транс'!$B$5:$M$10)),SUM($E5, $G5, $I5, $O5))</f>
        <v>435894</v>
      </c>
      <c r="M5" s="149" cm="1">
        <f t="array" aca="1" ref="M5" ca="1">IF(ISNUMBER(SEARCH("Транс",$C5)),_xlfn.XLOOKUP(1,('Фрахт Транс'!$A$5:$A$10=$D5)*1,_xlfn.XLOOKUP(1,('Фрахт Транс'!$B$3:$M$3=$S$2)*('Фрахт Транс'!$B$4:$M$4=M$2),'Фрахт Транс'!$B$5:$M$10)),SUM($E5, $G5, $J5, $O5))</f>
        <v>451164</v>
      </c>
      <c r="N5" s="149" cm="1">
        <f t="array" aca="1" ref="N5" ca="1">IF(ISNUMBER(SEARCH("Транс",$C5)),_xlfn.XLOOKUP(1,('Фрахт Транс'!$A$5:$A$10=$D5)*1,_xlfn.XLOOKUP(1,('Фрахт Транс'!$B$3:$M$3=$S$2)*('Фрахт Транс'!$B$4:$M$4=N$2),'Фрахт Транс'!$B$5:$M$10)),SUM($F5, $H5, $K5, $P5))</f>
        <v>661559</v>
      </c>
      <c r="O5" s="149" cm="1">
        <f t="array" aca="1" ref="O5" ca="1">IFERROR(_xlfn.XLOOKUP(1,  (Охрана!$A$6:$A$14 = $D5) * 1,  _xlfn.XLOOKUP(1,  (Охрана!$B$5:$M$5 = O$2) * (Охрана!$B$4:$M$4 = $S$2), Охрана!$B$6:$M$14)), "-")</f>
        <v>3189</v>
      </c>
      <c r="P5" s="194" cm="1">
        <f t="array" aca="1" ref="P5" ca="1">IFERROR(_xlfn.XLOOKUP(1,  (Охрана!$A$6:$A$14 = $D5) * 1,  _xlfn.XLOOKUP(1,  (Охрана!$B$5:$M$5 = P$2) * (Охрана!$B$4:$M$4 = $S$2), Охрана!$B$6:$M$14)), "-")</f>
        <v>5689</v>
      </c>
      <c r="Q5" s="282"/>
      <c r="R5" s="3"/>
      <c r="AB5" s="5"/>
    </row>
    <row r="6" spans="1:28" ht="15" customHeight="1" thickBot="1" x14ac:dyDescent="0.3">
      <c r="A6" s="213" t="s">
        <v>13</v>
      </c>
      <c r="B6" s="288"/>
      <c r="C6" s="41" t="s">
        <v>35</v>
      </c>
      <c r="D6" s="40" t="s">
        <v>11</v>
      </c>
      <c r="E6" s="150" cm="1">
        <f t="array" ref="E6">IFERROR(_xlfn.XLOOKUP(1, (Фрахт!$A$5:$A$80 = $A6)* (Фрахт!$B$5:$B$80 = $C6) * (Фрахт!$C$5:$C$80 =$D6),  _xlfn.XLOOKUP(1,  (Фрахт!$D$4:$E$4 = E$2) * 1, Фрахт!$D$5:$E$80)) *  $S$1, "-")</f>
        <v>283500</v>
      </c>
      <c r="F6" s="150" cm="1">
        <f t="array" ref="F6">IFERROR(_xlfn.XLOOKUP(1, (Фрахт!$A$5:$A$80 = $A6)* (Фрахт!$B$5:$B$80 = $C6) * (Фрахт!$C$5:$C$80 =$D6),  _xlfn.XLOOKUP(1,  (Фрахт!$D$4:$E$4 = F$2) * 1, Фрахт!$D$5:$E$80)) *  $S$1, "-")</f>
        <v>472500</v>
      </c>
      <c r="G6" s="150" cm="1">
        <f t="array" aca="1" ref="G6" ca="1">IFERROR(_xlfn.XLOOKUP(1,  ('Drop off'!$A$6:$A$14 = $C6) * 1,  _xlfn.XLOOKUP(1,  ('Drop off'!$B$5:$I$5 = G$2) * ('Drop off'!$B$4:$I$4 = $S$2), 'Drop off'!$B$6:$I$14)) * $S$1, "-")</f>
        <v>37800</v>
      </c>
      <c r="H6" s="150" cm="1">
        <f t="array" aca="1" ref="H6" ca="1">IFERROR(_xlfn.XLOOKUP(1,  ('Drop off'!$A$6:$A$14 = $C6) * 1,  _xlfn.XLOOKUP(1,  ('Drop off'!$B$5:$I$5 = H$2) * ('Drop off'!$B$4:$I$4 = $S$2), 'Drop off'!$B$6:$I$14)) * $S$1, "-")</f>
        <v>56700</v>
      </c>
      <c r="I6" s="150" cm="1">
        <f t="array" aca="1" ref="I6" ca="1">IFERROR(_xlfn.XLOOKUP(1,  ('ж.д.'!$A$6:$A$14 = $D6) * 1,  _xlfn.XLOOKUP(1,  ('ж.д.'!$B$5:$M$5 = I$2) * ('ж.д.'!$B$4:$M$4 = $S$2), 'ж.д.'!$B$6:$M$14)), "-")</f>
        <v>105900</v>
      </c>
      <c r="J6" s="150" cm="1">
        <f t="array" aca="1" ref="J6" ca="1">IFERROR(_xlfn.XLOOKUP(1,  ('ж.д.'!$A$6:$A$14 = $D6) * 1,  _xlfn.XLOOKUP(1,  ('ж.д.'!$B$5:$M$5 = J$2) * ('ж.д.'!$B$4:$M$4 = $S$2), 'ж.д.'!$B$6:$M$14)), "-")</f>
        <v>122100</v>
      </c>
      <c r="K6" s="150" cm="1">
        <f t="array" aca="1" ref="K6" ca="1">IFERROR(_xlfn.XLOOKUP(1,  ('ж.д.'!$A$6:$A$14 = $D6) * 1,  _xlfn.XLOOKUP(1,  ('ж.д.'!$B$5:$M$5 = K$2) * ('ж.д.'!$B$4:$M$4 = $S$2), 'ж.д.'!$B$6:$M$14)), "-")</f>
        <v>196200</v>
      </c>
      <c r="L6" s="150" cm="1">
        <f t="array" aca="1" ref="L6" ca="1">IF(ISNUMBER(SEARCH("Транс",$C6)),_xlfn.XLOOKUP(1,('Фрахт Транс'!$A$5:$A$10=$D6)*1,_xlfn.XLOOKUP(1,('Фрахт Транс'!$B$3:$M$3 = $S$2)*('Фрахт Транс'!$B$4:$M$4=L$2),'Фрахт Транс'!$B$5:$M$10)),SUM($E6, $G6, $I6, $O6))</f>
        <v>429639</v>
      </c>
      <c r="M6" s="150" cm="1">
        <f t="array" aca="1" ref="M6" ca="1">IF(ISNUMBER(SEARCH("Транс",$C6)),_xlfn.XLOOKUP(1,('Фрахт Транс'!$A$5:$A$10=$D6)*1,_xlfn.XLOOKUP(1,('Фрахт Транс'!$B$3:$M$3=$S$2)*('Фрахт Транс'!$B$4:$M$4=M$2),'Фрахт Транс'!$B$5:$M$10)),SUM($E6, $G6, $J6, $O6))</f>
        <v>445839</v>
      </c>
      <c r="N6" s="150" cm="1">
        <f t="array" aca="1" ref="N6" ca="1">IF(ISNUMBER(SEARCH("Транс",$C6)),_xlfn.XLOOKUP(1,('Фрахт Транс'!$A$5:$A$10=$D6)*1,_xlfn.XLOOKUP(1,('Фрахт Транс'!$B$3:$M$3=$S$2)*('Фрахт Транс'!$B$4:$M$4=N$2),'Фрахт Транс'!$B$5:$M$10)),SUM($F6, $H6, $K6, $P6))</f>
        <v>730339</v>
      </c>
      <c r="O6" s="150" cm="1">
        <f t="array" aca="1" ref="O6" ca="1">IFERROR(_xlfn.XLOOKUP(1,  (Охрана!$A$6:$A$14 = $D6) * 1,  _xlfn.XLOOKUP(1,  (Охрана!$B$5:$M$5 = O$2) * (Охрана!$B$4:$M$4 = $S$2), Охрана!$B$6:$M$14)), "-")</f>
        <v>2439</v>
      </c>
      <c r="P6" s="195" cm="1">
        <f t="array" aca="1" ref="P6" ca="1">IFERROR(_xlfn.XLOOKUP(1,  (Охрана!$A$6:$A$14 = $D6) * 1,  _xlfn.XLOOKUP(1,  (Охрана!$B$5:$M$5 = P$2) * (Охрана!$B$4:$M$4 = $S$2), Охрана!$B$6:$M$14)), "-")</f>
        <v>4939</v>
      </c>
      <c r="Q6" s="286"/>
      <c r="R6" s="4"/>
      <c r="AB6" s="5"/>
    </row>
    <row r="7" spans="1:28" ht="15" customHeight="1" thickBot="1" x14ac:dyDescent="0.3">
      <c r="A7" s="213" t="s">
        <v>13</v>
      </c>
      <c r="B7" s="288"/>
      <c r="C7" s="41" t="s">
        <v>35</v>
      </c>
      <c r="D7" s="40" t="s">
        <v>34</v>
      </c>
      <c r="E7" s="150" cm="1">
        <f t="array" ref="E7">IFERROR(_xlfn.XLOOKUP(1, (Фрахт!$A$5:$A$80 = $A7)* (Фрахт!$B$5:$B$80 = $C7) * (Фрахт!$C$5:$C$80 =$D7),  _xlfn.XLOOKUP(1,  (Фрахт!$D$4:$E$4 = E$2) * 1, Фрахт!$D$5:$E$80)) *  $S$1, "-")</f>
        <v>283500</v>
      </c>
      <c r="F7" s="150" cm="1">
        <f t="array" ref="F7">IFERROR(_xlfn.XLOOKUP(1, (Фрахт!$A$5:$A$80 = $A7)* (Фрахт!$B$5:$B$80 = $C7) * (Фрахт!$C$5:$C$80 =$D7),  _xlfn.XLOOKUP(1,  (Фрахт!$D$4:$E$4 = F$2) * 1, Фрахт!$D$5:$E$80)) *  $S$1, "-")</f>
        <v>472500</v>
      </c>
      <c r="G7" s="150" cm="1">
        <f t="array" aca="1" ref="G7" ca="1">IFERROR(_xlfn.XLOOKUP(1,  ('Drop off'!$A$6:$A$14 = $C7) * 1,  _xlfn.XLOOKUP(1,  ('Drop off'!$B$5:$I$5 = G$2) * ('Drop off'!$B$4:$I$4 = $S$2), 'Drop off'!$B$6:$I$14)) * $S$1, "-")</f>
        <v>37800</v>
      </c>
      <c r="H7" s="150" cm="1">
        <f t="array" aca="1" ref="H7" ca="1">IFERROR(_xlfn.XLOOKUP(1,  ('Drop off'!$A$6:$A$14 = $C7) * 1,  _xlfn.XLOOKUP(1,  ('Drop off'!$B$5:$I$5 = H$2) * ('Drop off'!$B$4:$I$4 = $S$2), 'Drop off'!$B$6:$I$14)) * $S$1, "-")</f>
        <v>56700</v>
      </c>
      <c r="I7" s="150" cm="1">
        <f t="array" aca="1" ref="I7" ca="1">IFERROR(_xlfn.XLOOKUP(1,  ('ж.д.'!$A$6:$A$14 = $D7) * 1,  _xlfn.XLOOKUP(1,  ('ж.д.'!$B$5:$M$5 = I$2) * ('ж.д.'!$B$4:$M$4 = $S$2), 'ж.д.'!$B$6:$M$14)), "-")</f>
        <v>108400</v>
      </c>
      <c r="J7" s="150" cm="1">
        <f t="array" aca="1" ref="J7" ca="1">IFERROR(_xlfn.XLOOKUP(1,  ('ж.д.'!$A$6:$A$14 = $D7) * 1,  _xlfn.XLOOKUP(1,  ('ж.д.'!$B$5:$M$5 = J$2) * ('ж.д.'!$B$4:$M$4 = $S$2), 'ж.д.'!$B$6:$M$14)), "-")</f>
        <v>122400</v>
      </c>
      <c r="K7" s="150" cm="1">
        <f t="array" aca="1" ref="K7" ca="1">IFERROR(_xlfn.XLOOKUP(1,  ('ж.д.'!$A$6:$A$14 = $D7) * 1,  _xlfn.XLOOKUP(1,  ('ж.д.'!$B$5:$M$5 = K$2) * ('ж.д.'!$B$4:$M$4 = $S$2), 'ж.д.'!$B$6:$M$14)), "-")</f>
        <v>200400</v>
      </c>
      <c r="L7" s="150" cm="1">
        <f t="array" aca="1" ref="L7" ca="1">IF(ISNUMBER(SEARCH("Транс",$C7)),_xlfn.XLOOKUP(1,('Фрахт Транс'!$A$5:$A$10=$D7)*1,_xlfn.XLOOKUP(1,('Фрахт Транс'!$B$3:$M$3 = $S$2)*('Фрахт Транс'!$B$4:$M$4=L$2),'Фрахт Транс'!$B$5:$M$10)),SUM($E7, $G7, $I7, $O7))</f>
        <v>432139</v>
      </c>
      <c r="M7" s="150" cm="1">
        <f t="array" aca="1" ref="M7" ca="1">IF(ISNUMBER(SEARCH("Транс",$C7)),_xlfn.XLOOKUP(1,('Фрахт Транс'!$A$5:$A$10=$D7)*1,_xlfn.XLOOKUP(1,('Фрахт Транс'!$B$3:$M$3=$S$2)*('Фрахт Транс'!$B$4:$M$4=M$2),'Фрахт Транс'!$B$5:$M$10)),SUM($E7, $G7, $J7, $O7))</f>
        <v>446139</v>
      </c>
      <c r="N7" s="150" cm="1">
        <f t="array" aca="1" ref="N7" ca="1">IF(ISNUMBER(SEARCH("Транс",$C7)),_xlfn.XLOOKUP(1,('Фрахт Транс'!$A$5:$A$10=$D7)*1,_xlfn.XLOOKUP(1,('Фрахт Транс'!$B$3:$M$3=$S$2)*('Фрахт Транс'!$B$4:$M$4=N$2),'Фрахт Транс'!$B$5:$M$10)),SUM($F7, $H7, $K7, $P7))</f>
        <v>734539</v>
      </c>
      <c r="O7" s="150" cm="1">
        <f t="array" aca="1" ref="O7" ca="1">IFERROR(_xlfn.XLOOKUP(1,  (Охрана!$A$6:$A$14 = $D7) * 1,  _xlfn.XLOOKUP(1,  (Охрана!$B$5:$M$5 = O$2) * (Охрана!$B$4:$M$4 = $S$2), Охрана!$B$6:$M$14)), "-")</f>
        <v>2439</v>
      </c>
      <c r="P7" s="195" cm="1">
        <f t="array" aca="1" ref="P7" ca="1">IFERROR(_xlfn.XLOOKUP(1,  (Охрана!$A$6:$A$14 = $D7) * 1,  _xlfn.XLOOKUP(1,  (Охрана!$B$5:$M$5 = P$2) * (Охрана!$B$4:$M$4 = $S$2), Охрана!$B$6:$M$14)), "-")</f>
        <v>4939</v>
      </c>
      <c r="Q7" s="286"/>
      <c r="R7" s="4"/>
      <c r="AB7" s="5"/>
    </row>
    <row r="8" spans="1:28" ht="15" customHeight="1" thickBot="1" x14ac:dyDescent="0.3">
      <c r="A8" s="213" t="s">
        <v>13</v>
      </c>
      <c r="B8" s="288"/>
      <c r="C8" s="41" t="s">
        <v>35</v>
      </c>
      <c r="D8" s="40" t="s">
        <v>10</v>
      </c>
      <c r="E8" s="150" cm="1">
        <f t="array" ref="E8">IFERROR(_xlfn.XLOOKUP(1, (Фрахт!$A$5:$A$80 = $A8)* (Фрахт!$B$5:$B$80 = $C8) * (Фрахт!$C$5:$C$80 =$D8),  _xlfn.XLOOKUP(1,  (Фрахт!$D$4:$E$4 = E$2) * 1, Фрахт!$D$5:$E$80)) *  $S$1, "-")</f>
        <v>283500</v>
      </c>
      <c r="F8" s="150" cm="1">
        <f t="array" ref="F8">IFERROR(_xlfn.XLOOKUP(1, (Фрахт!$A$5:$A$80 = $A8)* (Фрахт!$B$5:$B$80 = $C8) * (Фрахт!$C$5:$C$80 =$D8),  _xlfn.XLOOKUP(1,  (Фрахт!$D$4:$E$4 = F$2) * 1, Фрахт!$D$5:$E$80)) *  $S$1, "-")</f>
        <v>472500</v>
      </c>
      <c r="G8" s="150" cm="1">
        <f t="array" aca="1" ref="G8" ca="1">IFERROR(_xlfn.XLOOKUP(1,  ('Drop off'!$A$6:$A$14 = $C8) * 1,  _xlfn.XLOOKUP(1,  ('Drop off'!$B$5:$I$5 = G$2) * ('Drop off'!$B$4:$I$4 = $S$2), 'Drop off'!$B$6:$I$14)) * $S$1, "-")</f>
        <v>37800</v>
      </c>
      <c r="H8" s="150" cm="1">
        <f t="array" aca="1" ref="H8" ca="1">IFERROR(_xlfn.XLOOKUP(1,  ('Drop off'!$A$6:$A$14 = $C8) * 1,  _xlfn.XLOOKUP(1,  ('Drop off'!$B$5:$I$5 = H$2) * ('Drop off'!$B$4:$I$4 = $S$2), 'Drop off'!$B$6:$I$14)) * $S$1, "-")</f>
        <v>56700</v>
      </c>
      <c r="I8" s="150" cm="1">
        <f t="array" aca="1" ref="I8" ca="1">IFERROR(_xlfn.XLOOKUP(1,  ('ж.д.'!$A$6:$A$14 = $D8) * 1,  _xlfn.XLOOKUP(1,  ('ж.д.'!$B$5:$M$5 = I$2) * ('ж.д.'!$B$4:$M$4 = $S$2), 'ж.д.'!$B$6:$M$14)), "-")</f>
        <v>109000</v>
      </c>
      <c r="J8" s="150" cm="1">
        <f t="array" aca="1" ref="J8" ca="1">IFERROR(_xlfn.XLOOKUP(1,  ('ж.д.'!$A$6:$A$14 = $D8) * 1,  _xlfn.XLOOKUP(1,  ('ж.д.'!$B$5:$M$5 = J$2) * ('ж.д.'!$B$4:$M$4 = $S$2), 'ж.д.'!$B$6:$M$14)), "-")</f>
        <v>122755</v>
      </c>
      <c r="K8" s="150" cm="1">
        <f t="array" aca="1" ref="K8" ca="1">IFERROR(_xlfn.XLOOKUP(1,  ('ж.д.'!$A$6:$A$14 = $D8) * 1,  _xlfn.XLOOKUP(1,  ('ж.д.'!$B$5:$M$5 = K$2) * ('ж.д.'!$B$4:$M$4 = $S$2), 'ж.д.'!$B$6:$M$14)), "-")</f>
        <v>203500</v>
      </c>
      <c r="L8" s="150" cm="1">
        <f t="array" aca="1" ref="L8" ca="1">IF(ISNUMBER(SEARCH("Транс",$C8)),_xlfn.XLOOKUP(1,('Фрахт Транс'!$A$5:$A$10=$D8)*1,_xlfn.XLOOKUP(1,('Фрахт Транс'!$B$3:$M$3 = $S$2)*('Фрахт Транс'!$B$4:$M$4=L$2),'Фрахт Транс'!$B$5:$M$10)),SUM($E8, $G8, $I8, $O8))</f>
        <v>433489</v>
      </c>
      <c r="M8" s="150" cm="1">
        <f t="array" aca="1" ref="M8" ca="1">IF(ISNUMBER(SEARCH("Транс",$C8)),_xlfn.XLOOKUP(1,('Фрахт Транс'!$A$5:$A$10=$D8)*1,_xlfn.XLOOKUP(1,('Фрахт Транс'!$B$3:$M$3=$S$2)*('Фрахт Транс'!$B$4:$M$4=M$2),'Фрахт Транс'!$B$5:$M$10)),SUM($E8, $G8, $J8, $O8))</f>
        <v>447244</v>
      </c>
      <c r="N8" s="150" cm="1">
        <f t="array" aca="1" ref="N8" ca="1">IF(ISNUMBER(SEARCH("Транс",$C8)),_xlfn.XLOOKUP(1,('Фрахт Транс'!$A$5:$A$10=$D8)*1,_xlfn.XLOOKUP(1,('Фрахт Транс'!$B$3:$M$3=$S$2)*('Фрахт Транс'!$B$4:$M$4=N$2),'Фрахт Транс'!$B$5:$M$10)),SUM($F8, $H8, $K8, $P8))</f>
        <v>738389</v>
      </c>
      <c r="O8" s="150" cm="1">
        <f t="array" aca="1" ref="O8" ca="1">IFERROR(_xlfn.XLOOKUP(1,  (Охрана!$A$6:$A$14 = $D8) * 1,  _xlfn.XLOOKUP(1,  (Охрана!$B$5:$M$5 = O$2) * (Охрана!$B$4:$M$4 = $S$2), Охрана!$B$6:$M$14)), "-")</f>
        <v>3189</v>
      </c>
      <c r="P8" s="195" cm="1">
        <f t="array" aca="1" ref="P8" ca="1">IFERROR(_xlfn.XLOOKUP(1,  (Охрана!$A$6:$A$14 = $D8) * 1,  _xlfn.XLOOKUP(1,  (Охрана!$B$5:$M$5 = P$2) * (Охрана!$B$4:$M$4 = $S$2), Охрана!$B$6:$M$14)), "-")</f>
        <v>5689</v>
      </c>
      <c r="Q8" s="286"/>
      <c r="AB8" s="5"/>
    </row>
    <row r="9" spans="1:28" ht="15" customHeight="1" thickBot="1" x14ac:dyDescent="0.3">
      <c r="A9" s="213" t="s">
        <v>13</v>
      </c>
      <c r="B9" s="288"/>
      <c r="C9" s="41" t="s">
        <v>35</v>
      </c>
      <c r="D9" s="40" t="s">
        <v>7</v>
      </c>
      <c r="E9" s="150" cm="1">
        <f t="array" ref="E9">IFERROR(_xlfn.XLOOKUP(1, (Фрахт!$A$5:$A$80 = $A9)* (Фрахт!$B$5:$B$80 = $C9) * (Фрахт!$C$5:$C$80 =$D9),  _xlfn.XLOOKUP(1,  (Фрахт!$D$4:$E$4 = E$2) * 1, Фрахт!$D$5:$E$80)) *  $S$1, "-")</f>
        <v>283500</v>
      </c>
      <c r="F9" s="150" cm="1">
        <f t="array" ref="F9">IFERROR(_xlfn.XLOOKUP(1, (Фрахт!$A$5:$A$80 = $A9)* (Фрахт!$B$5:$B$80 = $C9) * (Фрахт!$C$5:$C$80 =$D9),  _xlfn.XLOOKUP(1,  (Фрахт!$D$4:$E$4 = F$2) * 1, Фрахт!$D$5:$E$80)) *  $S$1, "-")</f>
        <v>472500</v>
      </c>
      <c r="G9" s="150" cm="1">
        <f t="array" aca="1" ref="G9" ca="1">IFERROR(_xlfn.XLOOKUP(1,  ('Drop off'!$A$6:$A$14 = $C9) * 1,  _xlfn.XLOOKUP(1,  ('Drop off'!$B$5:$I$5 = G$2) * ('Drop off'!$B$4:$I$4 = $S$2), 'Drop off'!$B$6:$I$14)) * $S$1, "-")</f>
        <v>37800</v>
      </c>
      <c r="H9" s="150" cm="1">
        <f t="array" aca="1" ref="H9" ca="1">IFERROR(_xlfn.XLOOKUP(1,  ('Drop off'!$A$6:$A$14 = $C9) * 1,  _xlfn.XLOOKUP(1,  ('Drop off'!$B$5:$I$5 = H$2) * ('Drop off'!$B$4:$I$4 = $S$2), 'Drop off'!$B$6:$I$14)) * $S$1, "-")</f>
        <v>56700</v>
      </c>
      <c r="I9" s="150" cm="1">
        <f t="array" aca="1" ref="I9" ca="1">IFERROR(_xlfn.XLOOKUP(1,  ('ж.д.'!$A$6:$A$14 = $D9) * 1,  _xlfn.XLOOKUP(1,  ('ж.д.'!$B$5:$M$5 = I$2) * ('ж.д.'!$B$4:$M$4 = $S$2), 'ж.д.'!$B$6:$M$14)), "-")</f>
        <v>105000</v>
      </c>
      <c r="J9" s="150" cm="1">
        <f t="array" aca="1" ref="J9" ca="1">IFERROR(_xlfn.XLOOKUP(1,  ('ж.д.'!$A$6:$A$14 = $D9) * 1,  _xlfn.XLOOKUP(1,  ('ж.д.'!$B$5:$M$5 = J$2) * ('ж.д.'!$B$4:$M$4 = $S$2), 'ж.д.'!$B$6:$M$14)), "-")</f>
        <v>120000</v>
      </c>
      <c r="K9" s="150" cm="1">
        <f t="array" aca="1" ref="K9" ca="1">IFERROR(_xlfn.XLOOKUP(1,  ('ж.д.'!$A$6:$A$14 = $D9) * 1,  _xlfn.XLOOKUP(1,  ('ж.д.'!$B$5:$M$5 = K$2) * ('ж.д.'!$B$4:$M$4 = $S$2), 'ж.д.'!$B$6:$M$14)), "-")</f>
        <v>192000</v>
      </c>
      <c r="L9" s="150" cm="1">
        <f t="array" aca="1" ref="L9" ca="1">IF(ISNUMBER(SEARCH("Транс",$C9)),_xlfn.XLOOKUP(1,('Фрахт Транс'!$A$5:$A$10=$D9)*1,_xlfn.XLOOKUP(1,('Фрахт Транс'!$B$3:$M$3 = $S$2)*('Фрахт Транс'!$B$4:$M$4=L$2),'Фрахт Транс'!$B$5:$M$10)),SUM($E9, $G9, $I9, $O9))</f>
        <v>429300</v>
      </c>
      <c r="M9" s="150" cm="1">
        <f t="array" aca="1" ref="M9" ca="1">IF(ISNUMBER(SEARCH("Транс",$C9)),_xlfn.XLOOKUP(1,('Фрахт Транс'!$A$5:$A$10=$D9)*1,_xlfn.XLOOKUP(1,('Фрахт Транс'!$B$3:$M$3=$S$2)*('Фрахт Транс'!$B$4:$M$4=M$2),'Фрахт Транс'!$B$5:$M$10)),SUM($E9, $G9, $J9, $O9))</f>
        <v>444300</v>
      </c>
      <c r="N9" s="150" cm="1">
        <f t="array" aca="1" ref="N9" ca="1">IF(ISNUMBER(SEARCH("Транс",$C9)),_xlfn.XLOOKUP(1,('Фрахт Транс'!$A$5:$A$10=$D9)*1,_xlfn.XLOOKUP(1,('Фрахт Транс'!$B$3:$M$3=$S$2)*('Фрахт Транс'!$B$4:$M$4=N$2),'Фрахт Транс'!$B$5:$M$10)),SUM($F9, $H9, $K9, $P9))</f>
        <v>727200</v>
      </c>
      <c r="O9" s="150" cm="1">
        <f t="array" aca="1" ref="O9" ca="1">IFERROR(_xlfn.XLOOKUP(1,  (Охрана!$A$6:$A$14 = $D9) * 1,  _xlfn.XLOOKUP(1,  (Охрана!$B$5:$M$5 = O$2) * (Охрана!$B$4:$M$4 = $S$2), Охрана!$B$6:$M$14)), "-")</f>
        <v>3000</v>
      </c>
      <c r="P9" s="195" cm="1">
        <f t="array" aca="1" ref="P9" ca="1">IFERROR(_xlfn.XLOOKUP(1,  (Охрана!$A$6:$A$14 = $D9) * 1,  _xlfn.XLOOKUP(1,  (Охрана!$B$5:$M$5 = P$2) * (Охрана!$B$4:$M$4 = $S$2), Охрана!$B$6:$M$14)), "-")</f>
        <v>6000</v>
      </c>
      <c r="Q9" s="286"/>
      <c r="R9" s="4"/>
      <c r="AB9" s="5"/>
    </row>
    <row r="10" spans="1:28" ht="16.5" thickBot="1" x14ac:dyDescent="0.3">
      <c r="A10" s="213" t="s">
        <v>13</v>
      </c>
      <c r="B10" s="288"/>
      <c r="C10" s="50" t="s">
        <v>36</v>
      </c>
      <c r="D10" s="50" t="s">
        <v>21</v>
      </c>
      <c r="E10" s="151" cm="1">
        <f t="array" ref="E10">IFERROR(_xlfn.XLOOKUP(1, (Фрахт!$A$5:$A$80 = $A10)* (Фрахт!$B$5:$B$80 = $C10) * (Фрахт!$C$5:$C$80 =$D10),  _xlfn.XLOOKUP(1,  (Фрахт!$D$4:$E$4 = E$2) * 1, Фрахт!$D$5:$E$80)) *  $S$1, "-")</f>
        <v>260160</v>
      </c>
      <c r="F10" s="151" cm="1">
        <f t="array" ref="F10">IFERROR(_xlfn.XLOOKUP(1, (Фрахт!$A$5:$A$80 = $A10)* (Фрахт!$B$5:$B$80 = $C10) * (Фрахт!$C$5:$C$80 =$D10),  _xlfn.XLOOKUP(1,  (Фрахт!$D$4:$E$4 = F$2) * 1, Фрахт!$D$5:$E$80)) *  $S$1, "-")</f>
        <v>436320</v>
      </c>
      <c r="G10" s="151" cm="1">
        <f t="array" aca="1" ref="G10" ca="1">IFERROR(_xlfn.XLOOKUP(1,  ('Drop off'!$A$6:$A$14 = $C10) * 1,  _xlfn.XLOOKUP(1,  ('Drop off'!$B$5:$I$5 = G$2) * ('Drop off'!$B$4:$I$4 = $S$2), 'Drop off'!$B$6:$I$14)) * $S$1, "-")</f>
        <v>18000</v>
      </c>
      <c r="H10" s="151" cm="1">
        <f t="array" aca="1" ref="H10" ca="1">IFERROR(_xlfn.XLOOKUP(1,  ('Drop off'!$A$6:$A$14 = $C10) * 1,  _xlfn.XLOOKUP(1,  ('Drop off'!$B$5:$I$5 = H$2) * ('Drop off'!$B$4:$I$4 = $S$2), 'Drop off'!$B$6:$I$14)) * $S$1, "-")</f>
        <v>18000</v>
      </c>
      <c r="I10" s="151" cm="1">
        <f t="array" aca="1" ref="I10" ca="1">IFERROR(_xlfn.XLOOKUP(1,  ('ж.д.'!$A$6:$A$14 = $D10) * 1,  _xlfn.XLOOKUP(1,  ('ж.д.'!$B$5:$M$5 = I$2) * ('ж.д.'!$B$4:$M$4 = $S$2), 'ж.д.'!$B$6:$M$14)), "-")</f>
        <v>108400</v>
      </c>
      <c r="J10" s="151" cm="1">
        <f t="array" aca="1" ref="J10" ca="1">IFERROR(_xlfn.XLOOKUP(1,  ('ж.д.'!$A$6:$A$14 = $D10) * 1,  _xlfn.XLOOKUP(1,  ('ж.д.'!$B$5:$M$5 = J$2) * ('ж.д.'!$B$4:$M$4 = $S$2), 'ж.д.'!$B$6:$M$14)), "-")</f>
        <v>122400</v>
      </c>
      <c r="K10" s="151" cm="1">
        <f t="array" aca="1" ref="K10" ca="1">IFERROR(_xlfn.XLOOKUP(1,  ('ж.д.'!$A$6:$A$14 = $D10) * 1,  _xlfn.XLOOKUP(1,  ('ж.д.'!$B$5:$M$5 = K$2) * ('ж.д.'!$B$4:$M$4 = $S$2), 'ж.д.'!$B$6:$M$14)), "-")</f>
        <v>200400</v>
      </c>
      <c r="L10" s="151" cm="1">
        <f t="array" aca="1" ref="L10" ca="1">IF(ISNUMBER(SEARCH("Транс",$C10)),_xlfn.XLOOKUP(1,('Фрахт Транс'!$A$5:$A$10=$D10)*1,_xlfn.XLOOKUP(1,('Фрахт Транс'!$B$3:$M$3 = $S$2)*('Фрахт Транс'!$B$4:$M$4=L$2),'Фрахт Транс'!$B$5:$M$10)),SUM($E10, $G10, $I10, $O10))</f>
        <v>388999</v>
      </c>
      <c r="M10" s="151" cm="1">
        <f t="array" aca="1" ref="M10" ca="1">IF(ISNUMBER(SEARCH("Транс",$C10)),_xlfn.XLOOKUP(1,('Фрахт Транс'!$A$5:$A$10=$D10)*1,_xlfn.XLOOKUP(1,('Фрахт Транс'!$B$3:$M$3=$S$2)*('Фрахт Транс'!$B$4:$M$4=M$2),'Фрахт Транс'!$B$5:$M$10)),SUM($E10, $G10, $J10, $O10))</f>
        <v>402999</v>
      </c>
      <c r="N10" s="151" cm="1">
        <f t="array" aca="1" ref="N10" ca="1">IF(ISNUMBER(SEARCH("Транс",$C10)),_xlfn.XLOOKUP(1,('Фрахт Транс'!$A$5:$A$10=$D10)*1,_xlfn.XLOOKUP(1,('Фрахт Транс'!$B$3:$M$3=$S$2)*('Фрахт Транс'!$B$4:$M$4=N$2),'Фрахт Транс'!$B$5:$M$10)),SUM($F10, $H10, $K10, $P10))</f>
        <v>659659</v>
      </c>
      <c r="O10" s="151" cm="1">
        <f t="array" aca="1" ref="O10" ca="1">IFERROR(_xlfn.XLOOKUP(1,  (Охрана!$A$6:$A$14 = $D10) * 1,  _xlfn.XLOOKUP(1,  (Охрана!$B$5:$M$5 = O$2) * (Охрана!$B$4:$M$4 = $S$2), Охрана!$B$6:$M$14)), "-")</f>
        <v>2439</v>
      </c>
      <c r="P10" s="196" cm="1">
        <f t="array" aca="1" ref="P10" ca="1">IFERROR(_xlfn.XLOOKUP(1,  (Охрана!$A$6:$A$14 = $D10) * 1,  _xlfn.XLOOKUP(1,  (Охрана!$B$5:$M$5 = P$2) * (Охрана!$B$4:$M$4 = $S$2), Охрана!$B$6:$M$14)), "-")</f>
        <v>4939</v>
      </c>
      <c r="Q10" s="38"/>
      <c r="R10" s="71"/>
      <c r="AB10" s="5"/>
    </row>
    <row r="11" spans="1:28" ht="16.5" thickBot="1" x14ac:dyDescent="0.3">
      <c r="A11" s="213" t="s">
        <v>13</v>
      </c>
      <c r="B11" s="288"/>
      <c r="C11" s="58" t="s">
        <v>37</v>
      </c>
      <c r="D11" s="55" t="s">
        <v>11</v>
      </c>
      <c r="E11" s="228" cm="1">
        <f t="array" ref="E11">IFERROR(_xlfn.XLOOKUP(1, (Фрахт!$A$5:$A$80 = $A11)* (Фрахт!$B$5:$B$80 = $C11) * (Фрахт!$C$5:$C$80 =$D11),  _xlfn.XLOOKUP(1,  (Фрахт!$D$4:$E$4 = E$2) * 1, Фрахт!$D$5:$E$80)) *  $S$1, "-")</f>
        <v>216000</v>
      </c>
      <c r="F11" s="228" cm="1">
        <f t="array" ref="F11">IFERROR(_xlfn.XLOOKUP(1, (Фрахт!$A$5:$A$80 = $A11)* (Фрахт!$B$5:$B$80 = $C11) * (Фрахт!$C$5:$C$80 =$D11),  _xlfn.XLOOKUP(1,  (Фрахт!$D$4:$E$4 = F$2) * 1, Фрахт!$D$5:$E$80)) *  $S$1, "-")</f>
        <v>384000</v>
      </c>
      <c r="G11" s="228" cm="1">
        <f t="array" aca="1" ref="G11" ca="1">IFERROR(_xlfn.XLOOKUP(1,  ('Drop off'!$A$6:$A$14 = $C11) * 1,  _xlfn.XLOOKUP(1,  ('Drop off'!$B$5:$I$5 = G$2) * ('Drop off'!$B$4:$I$4 = $S$2), 'Drop off'!$B$6:$I$14)) * $S$1, "-")</f>
        <v>0</v>
      </c>
      <c r="H11" s="228" cm="1">
        <f t="array" aca="1" ref="H11" ca="1">IFERROR(_xlfn.XLOOKUP(1,  ('Drop off'!$A$6:$A$14 = $C11) * 1,  _xlfn.XLOOKUP(1,  ('Drop off'!$B$5:$I$5 = H$2) * ('Drop off'!$B$4:$I$4 = $S$2), 'Drop off'!$B$6:$I$14)) * $S$1, "-")</f>
        <v>0</v>
      </c>
      <c r="I11" s="228" cm="1">
        <f t="array" aca="1" ref="I11" ca="1">IFERROR(_xlfn.XLOOKUP(1,  ('ж.д.'!$A$6:$A$14 = $D11) * 1,  _xlfn.XLOOKUP(1,  ('ж.д.'!$B$5:$M$5 = I$2) * ('ж.д.'!$B$4:$M$4 = $S$2), 'ж.д.'!$B$6:$M$14)), "-")</f>
        <v>105900</v>
      </c>
      <c r="J11" s="228" cm="1">
        <f t="array" aca="1" ref="J11" ca="1">IFERROR(_xlfn.XLOOKUP(1,  ('ж.д.'!$A$6:$A$14 = $D11) * 1,  _xlfn.XLOOKUP(1,  ('ж.д.'!$B$5:$M$5 = J$2) * ('ж.д.'!$B$4:$M$4 = $S$2), 'ж.д.'!$B$6:$M$14)), "-")</f>
        <v>122100</v>
      </c>
      <c r="K11" s="228" cm="1">
        <f t="array" aca="1" ref="K11" ca="1">IFERROR(_xlfn.XLOOKUP(1,  ('ж.д.'!$A$6:$A$14 = $D11) * 1,  _xlfn.XLOOKUP(1,  ('ж.д.'!$B$5:$M$5 = K$2) * ('ж.д.'!$B$4:$M$4 = $S$2), 'ж.д.'!$B$6:$M$14)), "-")</f>
        <v>196200</v>
      </c>
      <c r="L11" s="228" cm="1">
        <f t="array" aca="1" ref="L11" ca="1">IF(ISNUMBER(SEARCH("Транс",$C11)),_xlfn.XLOOKUP(1,('Фрахт Транс'!$A$5:$A$10=$D11)*1,_xlfn.XLOOKUP(1,('Фрахт Транс'!$B$3:$M$3 = $S$2)*('Фрахт Транс'!$B$4:$M$4=L$2),'Фрахт Транс'!$B$5:$M$10)),SUM($E11, $G11, $I11, $O11))</f>
        <v>324339</v>
      </c>
      <c r="M11" s="228" cm="1">
        <f t="array" aca="1" ref="M11" ca="1">IF(ISNUMBER(SEARCH("Транс",$C11)),_xlfn.XLOOKUP(1,('Фрахт Транс'!$A$5:$A$10=$D11)*1,_xlfn.XLOOKUP(1,('Фрахт Транс'!$B$3:$M$3=$S$2)*('Фрахт Транс'!$B$4:$M$4=M$2),'Фрахт Транс'!$B$5:$M$10)),SUM($E11, $G11, $J11, $O11))</f>
        <v>340539</v>
      </c>
      <c r="N11" s="228" cm="1">
        <f t="array" aca="1" ref="N11" ca="1">IF(ISNUMBER(SEARCH("Транс",$C11)),_xlfn.XLOOKUP(1,('Фрахт Транс'!$A$5:$A$10=$D11)*1,_xlfn.XLOOKUP(1,('Фрахт Транс'!$B$3:$M$3=$S$2)*('Фрахт Транс'!$B$4:$M$4=N$2),'Фрахт Транс'!$B$5:$M$10)),SUM($F11, $H11, $K11, $P11))</f>
        <v>585139</v>
      </c>
      <c r="O11" s="228" cm="1">
        <f t="array" aca="1" ref="O11" ca="1">IFERROR(_xlfn.XLOOKUP(1,  (Охрана!$A$6:$A$14 = $D11) * 1,  _xlfn.XLOOKUP(1,  (Охрана!$B$5:$M$5 = O$2) * (Охрана!$B$4:$M$4 = $S$2), Охрана!$B$6:$M$14)), "-")</f>
        <v>2439</v>
      </c>
      <c r="P11" s="229" cm="1">
        <f t="array" aca="1" ref="P11" ca="1">IFERROR(_xlfn.XLOOKUP(1,  (Охрана!$A$6:$A$14 = $D11) * 1,  _xlfn.XLOOKUP(1,  (Охрана!$B$5:$M$5 = P$2) * (Охрана!$B$4:$M$4 = $S$2), Охрана!$B$6:$M$14)), "-")</f>
        <v>4939</v>
      </c>
      <c r="Q11" s="38"/>
      <c r="R11" s="71"/>
      <c r="AB11" s="5"/>
    </row>
    <row r="12" spans="1:28" ht="16.5" thickBot="1" x14ac:dyDescent="0.3">
      <c r="A12" s="213" t="s">
        <v>13</v>
      </c>
      <c r="B12" s="288"/>
      <c r="C12" s="84" t="s">
        <v>54</v>
      </c>
      <c r="D12" s="85" t="s">
        <v>34</v>
      </c>
      <c r="E12" s="155" t="str" cm="1">
        <f t="array" ref="E12">IFERROR(_xlfn.XLOOKUP(1, (Фрахт!$A$5:$A$80 = $A12)* (Фрахт!$B$5:$B$80 = $C12) * (Фрахт!$C$5:$C$80 =$D12),  _xlfn.XLOOKUP(1,  (Фрахт!$D$4:$E$4 = E$2) * 1, Фрахт!$D$5:$E$80)) *  $S$1, "-")</f>
        <v>-</v>
      </c>
      <c r="F12" s="155" t="str" cm="1">
        <f t="array" ref="F12">IFERROR(_xlfn.XLOOKUP(1, (Фрахт!$A$5:$A$80 = $A12)* (Фрахт!$B$5:$B$80 = $C12) * (Фрахт!$C$5:$C$80 =$D12),  _xlfn.XLOOKUP(1,  (Фрахт!$D$4:$E$4 = F$2) * 1, Фрахт!$D$5:$E$80)) *  $S$1, "-")</f>
        <v>-</v>
      </c>
      <c r="G12" s="155" cm="1">
        <f t="array" aca="1" ref="G12" ca="1">IFERROR(_xlfn.XLOOKUP(1,  ('Drop off'!$A$6:$A$14 = $C12) * 1,  _xlfn.XLOOKUP(1,  ('Drop off'!$B$5:$I$5 = G$2) * ('Drop off'!$B$4:$I$4 = $S$2), 'Drop off'!$B$6:$I$14)) * $S$1, "-")</f>
        <v>27000</v>
      </c>
      <c r="H12" s="155" cm="1">
        <f t="array" aca="1" ref="H12" ca="1">IFERROR(_xlfn.XLOOKUP(1,  ('Drop off'!$A$6:$A$14 = $C12) * 1,  _xlfn.XLOOKUP(1,  ('Drop off'!$B$5:$I$5 = H$2) * ('Drop off'!$B$4:$I$4 = $S$2), 'Drop off'!$B$6:$I$14)) * $S$1, "-")</f>
        <v>27000</v>
      </c>
      <c r="I12" s="155" cm="1">
        <f t="array" aca="1" ref="I12" ca="1">IFERROR(_xlfn.XLOOKUP(1,  ('ж.д.'!$A$6:$A$14 = $D12) * 1,  _xlfn.XLOOKUP(1,  ('ж.д.'!$B$5:$M$5 = I$2) * ('ж.д.'!$B$4:$M$4 = $S$2), 'ж.д.'!$B$6:$M$14)), "-")</f>
        <v>108400</v>
      </c>
      <c r="J12" s="155" cm="1">
        <f t="array" aca="1" ref="J12" ca="1">IFERROR(_xlfn.XLOOKUP(1,  ('ж.д.'!$A$6:$A$14 = $D12) * 1,  _xlfn.XLOOKUP(1,  ('ж.д.'!$B$5:$M$5 = J$2) * ('ж.д.'!$B$4:$M$4 = $S$2), 'ж.д.'!$B$6:$M$14)), "-")</f>
        <v>122400</v>
      </c>
      <c r="K12" s="155" cm="1">
        <f t="array" aca="1" ref="K12" ca="1">IFERROR(_xlfn.XLOOKUP(1,  ('ж.д.'!$A$6:$A$14 = $D12) * 1,  _xlfn.XLOOKUP(1,  ('ж.д.'!$B$5:$M$5 = K$2) * ('ж.д.'!$B$4:$M$4 = $S$2), 'ж.д.'!$B$6:$M$14)), "-")</f>
        <v>200400</v>
      </c>
      <c r="L12" s="155" cm="1">
        <f t="array" aca="1" ref="L12" ca="1">IF(ISNUMBER(SEARCH("Транс",$C12)),_xlfn.XLOOKUP(1,('Фрахт Транс'!$A$5:$A$10=$D12)*1,_xlfn.XLOOKUP(1,('Фрахт Транс'!$B$3:$M$3 = $S$2)*('Фрахт Транс'!$B$4:$M$4=L$2),'Фрахт Транс'!$B$5:$M$10)),SUM($E12, $G12, $I12, $O12))</f>
        <v>137839</v>
      </c>
      <c r="M12" s="155" cm="1">
        <f t="array" aca="1" ref="M12" ca="1">IF(ISNUMBER(SEARCH("Транс",$C12)),_xlfn.XLOOKUP(1,('Фрахт Транс'!$A$5:$A$10=$D12)*1,_xlfn.XLOOKUP(1,('Фрахт Транс'!$B$3:$M$3=$S$2)*('Фрахт Транс'!$B$4:$M$4=M$2),'Фрахт Транс'!$B$5:$M$10)),SUM($E12, $G12, $J12, $O12))</f>
        <v>151839</v>
      </c>
      <c r="N12" s="155" cm="1">
        <f t="array" aca="1" ref="N12" ca="1">IF(ISNUMBER(SEARCH("Транс",$C12)),_xlfn.XLOOKUP(1,('Фрахт Транс'!$A$5:$A$10=$D12)*1,_xlfn.XLOOKUP(1,('Фрахт Транс'!$B$3:$M$3=$S$2)*('Фрахт Транс'!$B$4:$M$4=N$2),'Фрахт Транс'!$B$5:$M$10)),SUM($F12, $H12, $K12, $P12))</f>
        <v>232339</v>
      </c>
      <c r="O12" s="155" cm="1">
        <f t="array" aca="1" ref="O12" ca="1">IFERROR(_xlfn.XLOOKUP(1,  (Охрана!$A$6:$A$14 = $D12) * 1,  _xlfn.XLOOKUP(1,  (Охрана!$B$5:$M$5 = O$2) * (Охрана!$B$4:$M$4 = $S$2), Охрана!$B$6:$M$14)), "-")</f>
        <v>2439</v>
      </c>
      <c r="P12" s="200" cm="1">
        <f t="array" aca="1" ref="P12" ca="1">IFERROR(_xlfn.XLOOKUP(1,  (Охрана!$A$6:$A$14 = $D12) * 1,  _xlfn.XLOOKUP(1,  (Охрана!$B$5:$M$5 = P$2) * (Охрана!$B$4:$M$4 = $S$2), Охрана!$B$6:$M$14)), "-")</f>
        <v>4939</v>
      </c>
      <c r="Q12" s="38"/>
      <c r="R12" s="3"/>
      <c r="AB12" s="5"/>
    </row>
    <row r="13" spans="1:28" ht="16.5" thickBot="1" x14ac:dyDescent="0.3">
      <c r="A13" s="213" t="s">
        <v>13</v>
      </c>
      <c r="B13" s="289"/>
      <c r="C13" s="76" t="s">
        <v>53</v>
      </c>
      <c r="D13" s="77" t="s">
        <v>7</v>
      </c>
      <c r="E13" s="156" cm="1">
        <f t="array" ref="E13">IFERROR(_xlfn.XLOOKUP(1, (Фрахт!$A$5:$A$80 = $A13)* (Фрахт!$B$5:$B$80 = $C13) * (Фрахт!$C$5:$C$80 =$D13),  _xlfn.XLOOKUP(1,  (Фрахт!$D$4:$E$4 = E$2) * 1, Фрахт!$D$5:$E$80)) *  $S$1, "-")</f>
        <v>315000</v>
      </c>
      <c r="F13" s="156" cm="1">
        <f t="array" ref="F13">IFERROR(_xlfn.XLOOKUP(1, (Фрахт!$A$5:$A$80 = $A13)* (Фрахт!$B$5:$B$80 = $C13) * (Фрахт!$C$5:$C$80 =$D13),  _xlfn.XLOOKUP(1,  (Фрахт!$D$4:$E$4 = F$2) * 1, Фрахт!$D$5:$E$80)) *  $S$1, "-")</f>
        <v>420000</v>
      </c>
      <c r="G13" s="156" cm="1">
        <f t="array" aca="1" ref="G13" ca="1">IFERROR(_xlfn.XLOOKUP(1,  ('Drop off'!$A$6:$A$14 = $C13) * 1,  _xlfn.XLOOKUP(1,  ('Drop off'!$B$5:$I$5 = G$2) * ('Drop off'!$B$4:$I$4 = $S$2), 'Drop off'!$B$6:$I$14)) * $S$1, "-")</f>
        <v>0</v>
      </c>
      <c r="H13" s="156" cm="1">
        <f t="array" aca="1" ref="H13" ca="1">IFERROR(_xlfn.XLOOKUP(1,  ('Drop off'!$A$6:$A$14 = $C13) * 1,  _xlfn.XLOOKUP(1,  ('Drop off'!$B$5:$I$5 = H$2) * ('Drop off'!$B$4:$I$4 = $S$2), 'Drop off'!$B$6:$I$14)) * $S$1, "-")</f>
        <v>0</v>
      </c>
      <c r="I13" s="156" cm="1">
        <f t="array" aca="1" ref="I13" ca="1">IFERROR(_xlfn.XLOOKUP(1,  ('ж.д.'!$A$6:$A$14 = $D13) * 1,  _xlfn.XLOOKUP(1,  ('ж.д.'!$B$5:$M$5 = I$2) * ('ж.д.'!$B$4:$M$4 = $S$2), 'ж.д.'!$B$6:$M$14)), "-")</f>
        <v>105000</v>
      </c>
      <c r="J13" s="156" cm="1">
        <f t="array" aca="1" ref="J13" ca="1">IFERROR(_xlfn.XLOOKUP(1,  ('ж.д.'!$A$6:$A$14 = $D13) * 1,  _xlfn.XLOOKUP(1,  ('ж.д.'!$B$5:$M$5 = J$2) * ('ж.д.'!$B$4:$M$4 = $S$2), 'ж.д.'!$B$6:$M$14)), "-")</f>
        <v>120000</v>
      </c>
      <c r="K13" s="156" cm="1">
        <f t="array" aca="1" ref="K13" ca="1">IFERROR(_xlfn.XLOOKUP(1,  ('ж.д.'!$A$6:$A$14 = $D13) * 1,  _xlfn.XLOOKUP(1,  ('ж.д.'!$B$5:$M$5 = K$2) * ('ж.д.'!$B$4:$M$4 = $S$2), 'ж.д.'!$B$6:$M$14)), "-")</f>
        <v>192000</v>
      </c>
      <c r="L13" s="156" cm="1">
        <f t="array" aca="1" ref="L13" ca="1">IF(ISNUMBER(SEARCH("Транс",$C13)),_xlfn.XLOOKUP(1,('Фрахт Транс'!$A$5:$A$10=$D13)*1,_xlfn.XLOOKUP(1,('Фрахт Транс'!$B$3:$M$3 = $S$2)*('Фрахт Транс'!$B$4:$M$4=L$2),'Фрахт Транс'!$B$5:$M$10)),SUM($E13, $G13, $I13, $O13))</f>
        <v>423000</v>
      </c>
      <c r="M13" s="156" cm="1">
        <f t="array" aca="1" ref="M13" ca="1">IF(ISNUMBER(SEARCH("Транс",$C13)),_xlfn.XLOOKUP(1,('Фрахт Транс'!$A$5:$A$10=$D13)*1,_xlfn.XLOOKUP(1,('Фрахт Транс'!$B$3:$M$3=$S$2)*('Фрахт Транс'!$B$4:$M$4=M$2),'Фрахт Транс'!$B$5:$M$10)),SUM($E13, $G13, $J13, $O13))</f>
        <v>438000</v>
      </c>
      <c r="N13" s="156" cm="1">
        <f t="array" aca="1" ref="N13" ca="1">IF(ISNUMBER(SEARCH("Транс",$C13)),_xlfn.XLOOKUP(1,('Фрахт Транс'!$A$5:$A$10=$D13)*1,_xlfn.XLOOKUP(1,('Фрахт Транс'!$B$3:$M$3=$S$2)*('Фрахт Транс'!$B$4:$M$4=N$2),'Фрахт Транс'!$B$5:$M$10)),SUM($F13, $H13, $K13, $P13))</f>
        <v>618000</v>
      </c>
      <c r="O13" s="156" cm="1">
        <f t="array" aca="1" ref="O13" ca="1">IFERROR(_xlfn.XLOOKUP(1,  (Охрана!$A$6:$A$14 = $D13) * 1,  _xlfn.XLOOKUP(1,  (Охрана!$B$5:$M$5 = O$2) * (Охрана!$B$4:$M$4 = $S$2), Охрана!$B$6:$M$14)), "-")</f>
        <v>3000</v>
      </c>
      <c r="P13" s="201" cm="1">
        <f t="array" aca="1" ref="P13" ca="1">IFERROR(_xlfn.XLOOKUP(1,  (Охрана!$A$6:$A$14 = $D13) * 1,  _xlfn.XLOOKUP(1,  (Охрана!$B$5:$M$5 = P$2) * (Охрана!$B$4:$M$4 = $S$2), Охрана!$B$6:$M$14)), "-")</f>
        <v>6000</v>
      </c>
      <c r="Q13" s="38"/>
      <c r="R13" s="71"/>
      <c r="AB13" s="5"/>
    </row>
    <row r="14" spans="1:28" ht="30.75" thickBot="1" x14ac:dyDescent="0.3">
      <c r="A14" s="214" t="s">
        <v>14</v>
      </c>
      <c r="B14" s="290" t="s">
        <v>14</v>
      </c>
      <c r="C14" s="63" t="s">
        <v>43</v>
      </c>
      <c r="D14" s="64" t="s">
        <v>45</v>
      </c>
      <c r="E14" s="148" t="str" cm="1">
        <f t="array" ref="E14">IFERROR(_xlfn.XLOOKUP(1, (Фрахт!$A$5:$A$80 = $A14)* (Фрахт!$B$5:$B$80 = $C14) * (Фрахт!$C$5:$C$80 =$D14),  _xlfn.XLOOKUP(1,  (Фрахт!$D$4:$E$4 = E$2) * 1, Фрахт!$D$5:$E$80)) *  $S$1, "-")</f>
        <v>-</v>
      </c>
      <c r="F14" s="148" t="str" cm="1">
        <f t="array" ref="F14">IFERROR(_xlfn.XLOOKUP(1, (Фрахт!$A$5:$A$80 = $A14)* (Фрахт!$B$5:$B$80 = $C14) * (Фрахт!$C$5:$C$80 =$D14),  _xlfn.XLOOKUP(1,  (Фрахт!$D$4:$E$4 = F$2) * 1, Фрахт!$D$5:$E$80)) *  $S$1, "-")</f>
        <v>-</v>
      </c>
      <c r="G14" s="148" cm="1">
        <f t="array" aca="1" ref="G14" ca="1">IFERROR(_xlfn.XLOOKUP(1,  ('Drop off'!$A$6:$A$14 = $C14) * 1,  _xlfn.XLOOKUP(1,  ('Drop off'!$B$5:$I$5 = G$2) * ('Drop off'!$B$4:$I$4 = $S$2), 'Drop off'!$B$6:$I$14)) * $S$1, "-")</f>
        <v>0</v>
      </c>
      <c r="H14" s="148" cm="1">
        <f t="array" aca="1" ref="H14" ca="1">IFERROR(_xlfn.XLOOKUP(1,  ('Drop off'!$A$6:$A$14 = $C14) * 1,  _xlfn.XLOOKUP(1,  ('Drop off'!$B$5:$I$5 = H$2) * ('Drop off'!$B$4:$I$4 = $S$2), 'Drop off'!$B$6:$I$14)) * $S$1, "-")</f>
        <v>0</v>
      </c>
      <c r="I14" s="148" t="str" cm="1">
        <f t="array" aca="1" ref="I14" ca="1">IFERROR(_xlfn.XLOOKUP(1,  ('ж.д.'!$A$6:$A$14 = $D14) * 1,  _xlfn.XLOOKUP(1,  ('ж.д.'!$B$5:$M$5 = I$2) * ('ж.д.'!$B$4:$M$4 = $S$2), 'ж.д.'!$B$6:$M$14)), "-")</f>
        <v>-</v>
      </c>
      <c r="J14" s="148" t="str" cm="1">
        <f t="array" aca="1" ref="J14" ca="1">IFERROR(_xlfn.XLOOKUP(1,  ('ж.д.'!$A$6:$A$14 = $D14) * 1,  _xlfn.XLOOKUP(1,  ('ж.д.'!$B$5:$M$5 = J$2) * ('ж.д.'!$B$4:$M$4 = $S$2), 'ж.д.'!$B$6:$M$14)), "-")</f>
        <v>-</v>
      </c>
      <c r="K14" s="148" t="str" cm="1">
        <f t="array" aca="1" ref="K14" ca="1">IFERROR(_xlfn.XLOOKUP(1,  ('ж.д.'!$A$6:$A$14 = $D14) * 1,  _xlfn.XLOOKUP(1,  ('ж.д.'!$B$5:$M$5 = K$2) * ('ж.д.'!$B$4:$M$4 = $S$2), 'ж.д.'!$B$6:$M$14)), "-")</f>
        <v>-</v>
      </c>
      <c r="L14" s="148" cm="1">
        <f t="array" aca="1" ref="L14" ca="1">IF(ISNUMBER(SEARCH("Транс",$C14)),_xlfn.XLOOKUP(1,('Фрахт Транс'!$A$5:$A$10=$D14)*1,_xlfn.XLOOKUP(1,('Фрахт Транс'!$B$3:$M$3 = $S$2)*('Фрахт Транс'!$B$4:$M$4=L$2),'Фрахт Транс'!$B$5:$M$10)),SUM($E14, $G14, $I14, $O14))</f>
        <v>338042</v>
      </c>
      <c r="M14" s="148" cm="1">
        <f t="array" aca="1" ref="M14" ca="1">IF(ISNUMBER(SEARCH("Транс",$C14)),_xlfn.XLOOKUP(1,('Фрахт Транс'!$A$5:$A$10=$D14)*1,_xlfn.XLOOKUP(1,('Фрахт Транс'!$B$3:$M$3=$S$2)*('Фрахт Транс'!$B$4:$M$4=M$2),'Фрахт Транс'!$B$5:$M$10)),SUM($E14, $G14, $J14, $O14))</f>
        <v>353536</v>
      </c>
      <c r="N14" s="148" cm="1">
        <f t="array" aca="1" ref="N14" ca="1">IF(ISNUMBER(SEARCH("Транс",$C14)),_xlfn.XLOOKUP(1,('Фрахт Транс'!$A$5:$A$10=$D14)*1,_xlfn.XLOOKUP(1,('Фрахт Транс'!$B$3:$M$3=$S$2)*('Фрахт Транс'!$B$4:$M$4=N$2),'Фрахт Транс'!$B$5:$M$10)),SUM($F14, $H14, $K14, $P14))</f>
        <v>489376</v>
      </c>
      <c r="O14" s="148" t="str" cm="1">
        <f t="array" aca="1" ref="O14" ca="1">IFERROR(_xlfn.XLOOKUP(1,  (Охрана!$A$6:$A$14 = $D14) * 1,  _xlfn.XLOOKUP(1,  (Охрана!$B$5:$M$5 = O$2) * (Охрана!$B$4:$M$4 = $S$2), Охрана!$B$6:$M$14)), "-")</f>
        <v>-</v>
      </c>
      <c r="P14" s="230" t="str" cm="1">
        <f t="array" aca="1" ref="P14" ca="1">IFERROR(_xlfn.XLOOKUP(1,  (Охрана!$A$6:$A$14 = $D14) * 1,  _xlfn.XLOOKUP(1,  (Охрана!$B$5:$M$5 = P$2) * (Охрана!$B$4:$M$4 = $S$2), Охрана!$B$6:$M$14)), "-")</f>
        <v>-</v>
      </c>
      <c r="Q14" s="38"/>
      <c r="R14" s="6"/>
      <c r="AB14" s="5"/>
    </row>
    <row r="15" spans="1:28" ht="15" customHeight="1" thickBot="1" x14ac:dyDescent="0.3">
      <c r="A15" s="214" t="s">
        <v>14</v>
      </c>
      <c r="B15" s="291"/>
      <c r="C15" s="42" t="s">
        <v>12</v>
      </c>
      <c r="D15" s="32" t="s">
        <v>30</v>
      </c>
      <c r="E15" s="149" cm="1">
        <f t="array" ref="E15">IFERROR(_xlfn.XLOOKUP(1, (Фрахт!$A$5:$A$80 = $A15)* (Фрахт!$B$5:$B$80 = $C15) * (Фрахт!$C$5:$C$80 =$D15),  _xlfn.XLOOKUP(1,  (Фрахт!$D$4:$E$4 = E$2) * 1, Фрахт!$D$5:$E$80)) *  $S$1, "-")</f>
        <v>330000</v>
      </c>
      <c r="F15" s="149" cm="1">
        <f t="array" ref="F15">IFERROR(_xlfn.XLOOKUP(1, (Фрахт!$A$5:$A$80 = $A15)* (Фрахт!$B$5:$B$80 = $C15) * (Фрахт!$C$5:$C$80 =$D15),  _xlfn.XLOOKUP(1,  (Фрахт!$D$4:$E$4 = F$2) * 1, Фрахт!$D$5:$E$80)) *  $S$1, "-")</f>
        <v>450000</v>
      </c>
      <c r="G15" s="149" cm="1">
        <f t="array" aca="1" ref="G15" ca="1">IFERROR(_xlfn.XLOOKUP(1,  ('Drop off'!$A$6:$A$14 = $C15) * 1,  _xlfn.XLOOKUP(1,  ('Drop off'!$B$5:$I$5 = G$2) * ('Drop off'!$B$4:$I$4 = $S$2), 'Drop off'!$B$6:$I$14)) * $S$1, "-")</f>
        <v>0</v>
      </c>
      <c r="H15" s="149" cm="1">
        <f t="array" aca="1" ref="H15" ca="1">IFERROR(_xlfn.XLOOKUP(1,  ('Drop off'!$A$6:$A$14 = $C15) * 1,  _xlfn.XLOOKUP(1,  ('Drop off'!$B$5:$I$5 = H$2) * ('Drop off'!$B$4:$I$4 = $S$2), 'Drop off'!$B$6:$I$14)) * $S$1, "-")</f>
        <v>0</v>
      </c>
      <c r="I15" s="149" cm="1">
        <f t="array" aca="1" ref="I15" ca="1">IFERROR(_xlfn.XLOOKUP(1,  ('ж.д.'!$A$6:$A$14 = $D15) * 1,  _xlfn.XLOOKUP(1,  ('ж.д.'!$B$5:$M$5 = I$2) * ('ж.д.'!$B$4:$M$4 = $S$2), 'ж.д.'!$B$6:$M$14)), "-")</f>
        <v>97300</v>
      </c>
      <c r="J15" s="149" cm="1">
        <f t="array" aca="1" ref="J15" ca="1">IFERROR(_xlfn.XLOOKUP(1,  ('ж.д.'!$A$6:$A$14 = $D15) * 1,  _xlfn.XLOOKUP(1,  ('ж.д.'!$B$5:$M$5 = J$2) * ('ж.д.'!$B$4:$M$4 = $S$2), 'ж.д.'!$B$6:$M$14)), "-")</f>
        <v>109595</v>
      </c>
      <c r="K15" s="149" cm="1">
        <f t="array" aca="1" ref="K15" ca="1">IFERROR(_xlfn.XLOOKUP(1,  ('ж.д.'!$A$6:$A$14 = $D15) * 1,  _xlfn.XLOOKUP(1,  ('ж.д.'!$B$5:$M$5 = K$2) * ('ж.д.'!$B$4:$M$4 = $S$2), 'ж.д.'!$B$6:$M$14)), "-")</f>
        <v>195500</v>
      </c>
      <c r="L15" s="149" cm="1">
        <f t="array" aca="1" ref="L15" ca="1">IF(ISNUMBER(SEARCH("Транс",$C15)),_xlfn.XLOOKUP(1,('Фрахт Транс'!$A$5:$A$10=$D15)*1,_xlfn.XLOOKUP(1,('Фрахт Транс'!$B$3:$M$3 = $S$2)*('Фрахт Транс'!$B$4:$M$4=L$2),'Фрахт Транс'!$B$5:$M$10)),SUM($E15, $G15, $I15, $O15))</f>
        <v>430489</v>
      </c>
      <c r="M15" s="149" cm="1">
        <f t="array" aca="1" ref="M15" ca="1">IF(ISNUMBER(SEARCH("Транс",$C15)),_xlfn.XLOOKUP(1,('Фрахт Транс'!$A$5:$A$10=$D15)*1,_xlfn.XLOOKUP(1,('Фрахт Транс'!$B$3:$M$3=$S$2)*('Фрахт Транс'!$B$4:$M$4=M$2),'Фрахт Транс'!$B$5:$M$10)),SUM($E15, $G15, $J15, $O15))</f>
        <v>442784</v>
      </c>
      <c r="N15" s="149" cm="1">
        <f t="array" aca="1" ref="N15" ca="1">IF(ISNUMBER(SEARCH("Транс",$C15)),_xlfn.XLOOKUP(1,('Фрахт Транс'!$A$5:$A$10=$D15)*1,_xlfn.XLOOKUP(1,('Фрахт Транс'!$B$3:$M$3=$S$2)*('Фрахт Транс'!$B$4:$M$4=N$2),'Фрахт Транс'!$B$5:$M$10)),SUM($F15, $H15, $K15, $P15))</f>
        <v>651189</v>
      </c>
      <c r="O15" s="149" cm="1">
        <f t="array" aca="1" ref="O15" ca="1">IFERROR(_xlfn.XLOOKUP(1,  (Охрана!$A$6:$A$14 = $D15) * 1,  _xlfn.XLOOKUP(1,  (Охрана!$B$5:$M$5 = O$2) * (Охрана!$B$4:$M$4 = $S$2), Охрана!$B$6:$M$14)), "-")</f>
        <v>3189</v>
      </c>
      <c r="P15" s="194" cm="1">
        <f t="array" aca="1" ref="P15" ca="1">IFERROR(_xlfn.XLOOKUP(1,  (Охрана!$A$6:$A$14 = $D15) * 1,  _xlfn.XLOOKUP(1,  (Охрана!$B$5:$M$5 = P$2) * (Охрана!$B$4:$M$4 = $S$2), Охрана!$B$6:$M$14)), "-")</f>
        <v>5689</v>
      </c>
      <c r="Q15" s="282"/>
      <c r="R15" s="91"/>
      <c r="AB15" s="5"/>
    </row>
    <row r="16" spans="1:28" ht="15" customHeight="1" thickBot="1" x14ac:dyDescent="0.3">
      <c r="A16" s="214" t="s">
        <v>14</v>
      </c>
      <c r="B16" s="291"/>
      <c r="C16" s="42" t="s">
        <v>12</v>
      </c>
      <c r="D16" s="32" t="s">
        <v>55</v>
      </c>
      <c r="E16" s="149" cm="1">
        <f t="array" ref="E16">IFERROR(_xlfn.XLOOKUP(1, (Фрахт!$A$5:$A$80 = $A16)* (Фрахт!$B$5:$B$80 = $C16) * (Фрахт!$C$5:$C$80 =$D16),  _xlfn.XLOOKUP(1,  (Фрахт!$D$4:$E$4 = E$2) * 1, Фрахт!$D$5:$E$80)) *  $S$1, "-")</f>
        <v>330000</v>
      </c>
      <c r="F16" s="149" cm="1">
        <f t="array" ref="F16">IFERROR(_xlfn.XLOOKUP(1, (Фрахт!$A$5:$A$80 = $A16)* (Фрахт!$B$5:$B$80 = $C16) * (Фрахт!$C$5:$C$80 =$D16),  _xlfn.XLOOKUP(1,  (Фрахт!$D$4:$E$4 = F$2) * 1, Фрахт!$D$5:$E$80)) *  $S$1, "-")</f>
        <v>450000</v>
      </c>
      <c r="G16" s="149" cm="1">
        <f t="array" aca="1" ref="G16" ca="1">IFERROR(_xlfn.XLOOKUP(1,  ('Drop off'!$A$6:$A$14 = $C16) * 1,  _xlfn.XLOOKUP(1,  ('Drop off'!$B$5:$I$5 = G$2) * ('Drop off'!$B$4:$I$4 = $S$2), 'Drop off'!$B$6:$I$14)) * $S$1, "-")</f>
        <v>0</v>
      </c>
      <c r="H16" s="149" cm="1">
        <f t="array" aca="1" ref="H16" ca="1">IFERROR(_xlfn.XLOOKUP(1,  ('Drop off'!$A$6:$A$14 = $C16) * 1,  _xlfn.XLOOKUP(1,  ('Drop off'!$B$5:$I$5 = H$2) * ('Drop off'!$B$4:$I$4 = $S$2), 'Drop off'!$B$6:$I$14)) * $S$1, "-")</f>
        <v>0</v>
      </c>
      <c r="I16" s="149" cm="1">
        <f t="array" aca="1" ref="I16" ca="1">IFERROR(_xlfn.XLOOKUP(1,  ('ж.д.'!$A$6:$A$14 = $D16) * 1,  _xlfn.XLOOKUP(1,  ('ж.д.'!$B$5:$M$5 = I$2) * ('ж.д.'!$B$4:$M$4 = $S$2), 'ж.д.'!$B$6:$M$14)), "-")</f>
        <v>102705</v>
      </c>
      <c r="J16" s="149" cm="1">
        <f t="array" aca="1" ref="J16" ca="1">IFERROR(_xlfn.XLOOKUP(1,  ('ж.д.'!$A$6:$A$14 = $D16) * 1,  _xlfn.XLOOKUP(1,  ('ж.д.'!$B$5:$M$5 = J$2) * ('ж.д.'!$B$4:$M$4 = $S$2), 'ж.д.'!$B$6:$M$14)), "-")</f>
        <v>117975</v>
      </c>
      <c r="K16" s="149" cm="1">
        <f t="array" aca="1" ref="K16" ca="1">IFERROR(_xlfn.XLOOKUP(1,  ('ж.д.'!$A$6:$A$14 = $D16) * 1,  _xlfn.XLOOKUP(1,  ('ж.д.'!$B$5:$M$5 = K$2) * ('ж.д.'!$B$4:$M$4 = $S$2), 'ж.д.'!$B$6:$M$14)), "-")</f>
        <v>205870</v>
      </c>
      <c r="L16" s="149" cm="1">
        <f t="array" aca="1" ref="L16" ca="1">IF(ISNUMBER(SEARCH("Транс",$C16)),_xlfn.XLOOKUP(1,('Фрахт Транс'!$A$5:$A$10=$D16)*1,_xlfn.XLOOKUP(1,('Фрахт Транс'!$B$3:$M$3 = $S$2)*('Фрахт Транс'!$B$4:$M$4=L$2),'Фрахт Транс'!$B$5:$M$10)),SUM($E16, $G16, $I16, $O16))</f>
        <v>435894</v>
      </c>
      <c r="M16" s="149" cm="1">
        <f t="array" aca="1" ref="M16" ca="1">IF(ISNUMBER(SEARCH("Транс",$C16)),_xlfn.XLOOKUP(1,('Фрахт Транс'!$A$5:$A$10=$D16)*1,_xlfn.XLOOKUP(1,('Фрахт Транс'!$B$3:$M$3=$S$2)*('Фрахт Транс'!$B$4:$M$4=M$2),'Фрахт Транс'!$B$5:$M$10)),SUM($E16, $G16, $J16, $O16))</f>
        <v>451164</v>
      </c>
      <c r="N16" s="149" cm="1">
        <f t="array" aca="1" ref="N16" ca="1">IF(ISNUMBER(SEARCH("Транс",$C16)),_xlfn.XLOOKUP(1,('Фрахт Транс'!$A$5:$A$10=$D16)*1,_xlfn.XLOOKUP(1,('Фрахт Транс'!$B$3:$M$3=$S$2)*('Фрахт Транс'!$B$4:$M$4=N$2),'Фрахт Транс'!$B$5:$M$10)),SUM($F16, $H16, $K16, $P16))</f>
        <v>661559</v>
      </c>
      <c r="O16" s="149" cm="1">
        <f t="array" aca="1" ref="O16" ca="1">IFERROR(_xlfn.XLOOKUP(1,  (Охрана!$A$6:$A$14 = $D16) * 1,  _xlfn.XLOOKUP(1,  (Охрана!$B$5:$M$5 = O$2) * (Охрана!$B$4:$M$4 = $S$2), Охрана!$B$6:$M$14)), "-")</f>
        <v>3189</v>
      </c>
      <c r="P16" s="194" cm="1">
        <f t="array" aca="1" ref="P16" ca="1">IFERROR(_xlfn.XLOOKUP(1,  (Охрана!$A$6:$A$14 = $D16) * 1,  _xlfn.XLOOKUP(1,  (Охрана!$B$5:$M$5 = P$2) * (Охрана!$B$4:$M$4 = $S$2), Охрана!$B$6:$M$14)), "-")</f>
        <v>5689</v>
      </c>
      <c r="Q16" s="282"/>
      <c r="R16" s="3"/>
      <c r="AB16" s="5"/>
    </row>
    <row r="17" spans="1:28" ht="15" customHeight="1" thickBot="1" x14ac:dyDescent="0.3">
      <c r="A17" s="214" t="s">
        <v>14</v>
      </c>
      <c r="B17" s="291"/>
      <c r="C17" s="41" t="s">
        <v>35</v>
      </c>
      <c r="D17" s="40" t="s">
        <v>11</v>
      </c>
      <c r="E17" s="150" cm="1">
        <f t="array" ref="E17">IFERROR(_xlfn.XLOOKUP(1, (Фрахт!$A$5:$A$80 = $A17)* (Фрахт!$B$5:$B$80 = $C17) * (Фрахт!$C$5:$C$80 =$D17),  _xlfn.XLOOKUP(1,  (Фрахт!$D$4:$E$4 = E$2) * 1, Фрахт!$D$5:$E$80)) *  $S$1, "-")</f>
        <v>283500</v>
      </c>
      <c r="F17" s="150" cm="1">
        <f t="array" ref="F17">IFERROR(_xlfn.XLOOKUP(1, (Фрахт!$A$5:$A$80 = $A17)* (Фрахт!$B$5:$B$80 = $C17) * (Фрахт!$C$5:$C$80 =$D17),  _xlfn.XLOOKUP(1,  (Фрахт!$D$4:$E$4 = F$2) * 1, Фрахт!$D$5:$E$80)) *  $S$1, "-")</f>
        <v>472500</v>
      </c>
      <c r="G17" s="150" cm="1">
        <f t="array" aca="1" ref="G17" ca="1">IFERROR(_xlfn.XLOOKUP(1,  ('Drop off'!$A$6:$A$14 = $C17) * 1,  _xlfn.XLOOKUP(1,  ('Drop off'!$B$5:$I$5 = G$2) * ('Drop off'!$B$4:$I$4 = $S$2), 'Drop off'!$B$6:$I$14)) * $S$1, "-")</f>
        <v>37800</v>
      </c>
      <c r="H17" s="150" cm="1">
        <f t="array" aca="1" ref="H17" ca="1">IFERROR(_xlfn.XLOOKUP(1,  ('Drop off'!$A$6:$A$14 = $C17) * 1,  _xlfn.XLOOKUP(1,  ('Drop off'!$B$5:$I$5 = H$2) * ('Drop off'!$B$4:$I$4 = $S$2), 'Drop off'!$B$6:$I$14)) * $S$1, "-")</f>
        <v>56700</v>
      </c>
      <c r="I17" s="150" cm="1">
        <f t="array" aca="1" ref="I17" ca="1">IFERROR(_xlfn.XLOOKUP(1,  ('ж.д.'!$A$6:$A$14 = $D17) * 1,  _xlfn.XLOOKUP(1,  ('ж.д.'!$B$5:$M$5 = I$2) * ('ж.д.'!$B$4:$M$4 = $S$2), 'ж.д.'!$B$6:$M$14)), "-")</f>
        <v>105900</v>
      </c>
      <c r="J17" s="150" cm="1">
        <f t="array" aca="1" ref="J17" ca="1">IFERROR(_xlfn.XLOOKUP(1,  ('ж.д.'!$A$6:$A$14 = $D17) * 1,  _xlfn.XLOOKUP(1,  ('ж.д.'!$B$5:$M$5 = J$2) * ('ж.д.'!$B$4:$M$4 = $S$2), 'ж.д.'!$B$6:$M$14)), "-")</f>
        <v>122100</v>
      </c>
      <c r="K17" s="150" cm="1">
        <f t="array" aca="1" ref="K17" ca="1">IFERROR(_xlfn.XLOOKUP(1,  ('ж.д.'!$A$6:$A$14 = $D17) * 1,  _xlfn.XLOOKUP(1,  ('ж.д.'!$B$5:$M$5 = K$2) * ('ж.д.'!$B$4:$M$4 = $S$2), 'ж.д.'!$B$6:$M$14)), "-")</f>
        <v>196200</v>
      </c>
      <c r="L17" s="150" cm="1">
        <f t="array" aca="1" ref="L17" ca="1">IF(ISNUMBER(SEARCH("Транс",$C17)),_xlfn.XLOOKUP(1,('Фрахт Транс'!$A$5:$A$10=$D17)*1,_xlfn.XLOOKUP(1,('Фрахт Транс'!$B$3:$M$3 = $S$2)*('Фрахт Транс'!$B$4:$M$4=L$2),'Фрахт Транс'!$B$5:$M$10)),SUM($E17, $G17, $I17, $O17))</f>
        <v>429639</v>
      </c>
      <c r="M17" s="150" cm="1">
        <f t="array" aca="1" ref="M17" ca="1">IF(ISNUMBER(SEARCH("Транс",$C17)),_xlfn.XLOOKUP(1,('Фрахт Транс'!$A$5:$A$10=$D17)*1,_xlfn.XLOOKUP(1,('Фрахт Транс'!$B$3:$M$3=$S$2)*('Фрахт Транс'!$B$4:$M$4=M$2),'Фрахт Транс'!$B$5:$M$10)),SUM($E17, $G17, $J17, $O17))</f>
        <v>445839</v>
      </c>
      <c r="N17" s="150" cm="1">
        <f t="array" aca="1" ref="N17" ca="1">IF(ISNUMBER(SEARCH("Транс",$C17)),_xlfn.XLOOKUP(1,('Фрахт Транс'!$A$5:$A$10=$D17)*1,_xlfn.XLOOKUP(1,('Фрахт Транс'!$B$3:$M$3=$S$2)*('Фрахт Транс'!$B$4:$M$4=N$2),'Фрахт Транс'!$B$5:$M$10)),SUM($F17, $H17, $K17, $P17))</f>
        <v>730339</v>
      </c>
      <c r="O17" s="150" cm="1">
        <f t="array" aca="1" ref="O17" ca="1">IFERROR(_xlfn.XLOOKUP(1,  (Охрана!$A$6:$A$14 = $D17) * 1,  _xlfn.XLOOKUP(1,  (Охрана!$B$5:$M$5 = O$2) * (Охрана!$B$4:$M$4 = $S$2), Охрана!$B$6:$M$14)), "-")</f>
        <v>2439</v>
      </c>
      <c r="P17" s="195" cm="1">
        <f t="array" aca="1" ref="P17" ca="1">IFERROR(_xlfn.XLOOKUP(1,  (Охрана!$A$6:$A$14 = $D17) * 1,  _xlfn.XLOOKUP(1,  (Охрана!$B$5:$M$5 = P$2) * (Охрана!$B$4:$M$4 = $S$2), Охрана!$B$6:$M$14)), "-")</f>
        <v>4939</v>
      </c>
      <c r="Q17" s="286"/>
      <c r="R17" s="4"/>
      <c r="AB17" s="5"/>
    </row>
    <row r="18" spans="1:28" ht="15" customHeight="1" thickBot="1" x14ac:dyDescent="0.3">
      <c r="A18" s="214" t="s">
        <v>14</v>
      </c>
      <c r="B18" s="291"/>
      <c r="C18" s="41" t="s">
        <v>35</v>
      </c>
      <c r="D18" s="40" t="s">
        <v>34</v>
      </c>
      <c r="E18" s="150" cm="1">
        <f t="array" ref="E18">IFERROR(_xlfn.XLOOKUP(1, (Фрахт!$A$5:$A$80 = $A18)* (Фрахт!$B$5:$B$80 = $C18) * (Фрахт!$C$5:$C$80 =$D18),  _xlfn.XLOOKUP(1,  (Фрахт!$D$4:$E$4 = E$2) * 1, Фрахт!$D$5:$E$80)) *  $S$1, "-")</f>
        <v>283500</v>
      </c>
      <c r="F18" s="150" cm="1">
        <f t="array" ref="F18">IFERROR(_xlfn.XLOOKUP(1, (Фрахт!$A$5:$A$80 = $A18)* (Фрахт!$B$5:$B$80 = $C18) * (Фрахт!$C$5:$C$80 =$D18),  _xlfn.XLOOKUP(1,  (Фрахт!$D$4:$E$4 = F$2) * 1, Фрахт!$D$5:$E$80)) *  $S$1, "-")</f>
        <v>472500</v>
      </c>
      <c r="G18" s="150" cm="1">
        <f t="array" aca="1" ref="G18" ca="1">IFERROR(_xlfn.XLOOKUP(1,  ('Drop off'!$A$6:$A$14 = $C18) * 1,  _xlfn.XLOOKUP(1,  ('Drop off'!$B$5:$I$5 = G$2) * ('Drop off'!$B$4:$I$4 = $S$2), 'Drop off'!$B$6:$I$14)) * $S$1, "-")</f>
        <v>37800</v>
      </c>
      <c r="H18" s="150" cm="1">
        <f t="array" aca="1" ref="H18" ca="1">IFERROR(_xlfn.XLOOKUP(1,  ('Drop off'!$A$6:$A$14 = $C18) * 1,  _xlfn.XLOOKUP(1,  ('Drop off'!$B$5:$I$5 = H$2) * ('Drop off'!$B$4:$I$4 = $S$2), 'Drop off'!$B$6:$I$14)) * $S$1, "-")</f>
        <v>56700</v>
      </c>
      <c r="I18" s="150" cm="1">
        <f t="array" aca="1" ref="I18" ca="1">IFERROR(_xlfn.XLOOKUP(1,  ('ж.д.'!$A$6:$A$14 = $D18) * 1,  _xlfn.XLOOKUP(1,  ('ж.д.'!$B$5:$M$5 = I$2) * ('ж.д.'!$B$4:$M$4 = $S$2), 'ж.д.'!$B$6:$M$14)), "-")</f>
        <v>108400</v>
      </c>
      <c r="J18" s="150" cm="1">
        <f t="array" aca="1" ref="J18" ca="1">IFERROR(_xlfn.XLOOKUP(1,  ('ж.д.'!$A$6:$A$14 = $D18) * 1,  _xlfn.XLOOKUP(1,  ('ж.д.'!$B$5:$M$5 = J$2) * ('ж.д.'!$B$4:$M$4 = $S$2), 'ж.д.'!$B$6:$M$14)), "-")</f>
        <v>122400</v>
      </c>
      <c r="K18" s="150" cm="1">
        <f t="array" aca="1" ref="K18" ca="1">IFERROR(_xlfn.XLOOKUP(1,  ('ж.д.'!$A$6:$A$14 = $D18) * 1,  _xlfn.XLOOKUP(1,  ('ж.д.'!$B$5:$M$5 = K$2) * ('ж.д.'!$B$4:$M$4 = $S$2), 'ж.д.'!$B$6:$M$14)), "-")</f>
        <v>200400</v>
      </c>
      <c r="L18" s="150" cm="1">
        <f t="array" aca="1" ref="L18" ca="1">IF(ISNUMBER(SEARCH("Транс",$C18)),_xlfn.XLOOKUP(1,('Фрахт Транс'!$A$5:$A$10=$D18)*1,_xlfn.XLOOKUP(1,('Фрахт Транс'!$B$3:$M$3 = $S$2)*('Фрахт Транс'!$B$4:$M$4=L$2),'Фрахт Транс'!$B$5:$M$10)),SUM($E18, $G18, $I18, $O18))</f>
        <v>432139</v>
      </c>
      <c r="M18" s="150" cm="1">
        <f t="array" aca="1" ref="M18" ca="1">IF(ISNUMBER(SEARCH("Транс",$C18)),_xlfn.XLOOKUP(1,('Фрахт Транс'!$A$5:$A$10=$D18)*1,_xlfn.XLOOKUP(1,('Фрахт Транс'!$B$3:$M$3=$S$2)*('Фрахт Транс'!$B$4:$M$4=M$2),'Фрахт Транс'!$B$5:$M$10)),SUM($E18, $G18, $J18, $O18))</f>
        <v>446139</v>
      </c>
      <c r="N18" s="150" cm="1">
        <f t="array" aca="1" ref="N18" ca="1">IF(ISNUMBER(SEARCH("Транс",$C18)),_xlfn.XLOOKUP(1,('Фрахт Транс'!$A$5:$A$10=$D18)*1,_xlfn.XLOOKUP(1,('Фрахт Транс'!$B$3:$M$3=$S$2)*('Фрахт Транс'!$B$4:$M$4=N$2),'Фрахт Транс'!$B$5:$M$10)),SUM($F18, $H18, $K18, $P18))</f>
        <v>734539</v>
      </c>
      <c r="O18" s="150" cm="1">
        <f t="array" aca="1" ref="O18" ca="1">IFERROR(_xlfn.XLOOKUP(1,  (Охрана!$A$6:$A$14 = $D18) * 1,  _xlfn.XLOOKUP(1,  (Охрана!$B$5:$M$5 = O$2) * (Охрана!$B$4:$M$4 = $S$2), Охрана!$B$6:$M$14)), "-")</f>
        <v>2439</v>
      </c>
      <c r="P18" s="195" cm="1">
        <f t="array" aca="1" ref="P18" ca="1">IFERROR(_xlfn.XLOOKUP(1,  (Охрана!$A$6:$A$14 = $D18) * 1,  _xlfn.XLOOKUP(1,  (Охрана!$B$5:$M$5 = P$2) * (Охрана!$B$4:$M$4 = $S$2), Охрана!$B$6:$M$14)), "-")</f>
        <v>4939</v>
      </c>
      <c r="Q18" s="286"/>
      <c r="R18" s="4"/>
      <c r="AB18" s="5"/>
    </row>
    <row r="19" spans="1:28" ht="15" customHeight="1" thickBot="1" x14ac:dyDescent="0.3">
      <c r="A19" s="214" t="s">
        <v>14</v>
      </c>
      <c r="B19" s="291"/>
      <c r="C19" s="41" t="s">
        <v>35</v>
      </c>
      <c r="D19" s="40" t="s">
        <v>10</v>
      </c>
      <c r="E19" s="150" cm="1">
        <f t="array" ref="E19">IFERROR(_xlfn.XLOOKUP(1, (Фрахт!$A$5:$A$80 = $A19)* (Фрахт!$B$5:$B$80 = $C19) * (Фрахт!$C$5:$C$80 =$D19),  _xlfn.XLOOKUP(1,  (Фрахт!$D$4:$E$4 = E$2) * 1, Фрахт!$D$5:$E$80)) *  $S$1, "-")</f>
        <v>283500</v>
      </c>
      <c r="F19" s="150" cm="1">
        <f t="array" ref="F19">IFERROR(_xlfn.XLOOKUP(1, (Фрахт!$A$5:$A$80 = $A19)* (Фрахт!$B$5:$B$80 = $C19) * (Фрахт!$C$5:$C$80 =$D19),  _xlfn.XLOOKUP(1,  (Фрахт!$D$4:$E$4 = F$2) * 1, Фрахт!$D$5:$E$80)) *  $S$1, "-")</f>
        <v>472500</v>
      </c>
      <c r="G19" s="150" cm="1">
        <f t="array" aca="1" ref="G19" ca="1">IFERROR(_xlfn.XLOOKUP(1,  ('Drop off'!$A$6:$A$14 = $C19) * 1,  _xlfn.XLOOKUP(1,  ('Drop off'!$B$5:$I$5 = G$2) * ('Drop off'!$B$4:$I$4 = $S$2), 'Drop off'!$B$6:$I$14)) * $S$1, "-")</f>
        <v>37800</v>
      </c>
      <c r="H19" s="150" cm="1">
        <f t="array" aca="1" ref="H19" ca="1">IFERROR(_xlfn.XLOOKUP(1,  ('Drop off'!$A$6:$A$14 = $C19) * 1,  _xlfn.XLOOKUP(1,  ('Drop off'!$B$5:$I$5 = H$2) * ('Drop off'!$B$4:$I$4 = $S$2), 'Drop off'!$B$6:$I$14)) * $S$1, "-")</f>
        <v>56700</v>
      </c>
      <c r="I19" s="150" cm="1">
        <f t="array" aca="1" ref="I19" ca="1">IFERROR(_xlfn.XLOOKUP(1,  ('ж.д.'!$A$6:$A$14 = $D19) * 1,  _xlfn.XLOOKUP(1,  ('ж.д.'!$B$5:$M$5 = I$2) * ('ж.д.'!$B$4:$M$4 = $S$2), 'ж.д.'!$B$6:$M$14)), "-")</f>
        <v>109000</v>
      </c>
      <c r="J19" s="150" cm="1">
        <f t="array" aca="1" ref="J19" ca="1">IFERROR(_xlfn.XLOOKUP(1,  ('ж.д.'!$A$6:$A$14 = $D19) * 1,  _xlfn.XLOOKUP(1,  ('ж.д.'!$B$5:$M$5 = J$2) * ('ж.д.'!$B$4:$M$4 = $S$2), 'ж.д.'!$B$6:$M$14)), "-")</f>
        <v>122755</v>
      </c>
      <c r="K19" s="150" cm="1">
        <f t="array" aca="1" ref="K19" ca="1">IFERROR(_xlfn.XLOOKUP(1,  ('ж.д.'!$A$6:$A$14 = $D19) * 1,  _xlfn.XLOOKUP(1,  ('ж.д.'!$B$5:$M$5 = K$2) * ('ж.д.'!$B$4:$M$4 = $S$2), 'ж.д.'!$B$6:$M$14)), "-")</f>
        <v>203500</v>
      </c>
      <c r="L19" s="150" cm="1">
        <f t="array" aca="1" ref="L19" ca="1">IF(ISNUMBER(SEARCH("Транс",$C19)),_xlfn.XLOOKUP(1,('Фрахт Транс'!$A$5:$A$10=$D19)*1,_xlfn.XLOOKUP(1,('Фрахт Транс'!$B$3:$M$3 = $S$2)*('Фрахт Транс'!$B$4:$M$4=L$2),'Фрахт Транс'!$B$5:$M$10)),SUM($E19, $G19, $I19, $O19))</f>
        <v>433489</v>
      </c>
      <c r="M19" s="150" cm="1">
        <f t="array" aca="1" ref="M19" ca="1">IF(ISNUMBER(SEARCH("Транс",$C19)),_xlfn.XLOOKUP(1,('Фрахт Транс'!$A$5:$A$10=$D19)*1,_xlfn.XLOOKUP(1,('Фрахт Транс'!$B$3:$M$3=$S$2)*('Фрахт Транс'!$B$4:$M$4=M$2),'Фрахт Транс'!$B$5:$M$10)),SUM($E19, $G19, $J19, $O19))</f>
        <v>447244</v>
      </c>
      <c r="N19" s="150" cm="1">
        <f t="array" aca="1" ref="N19" ca="1">IF(ISNUMBER(SEARCH("Транс",$C19)),_xlfn.XLOOKUP(1,('Фрахт Транс'!$A$5:$A$10=$D19)*1,_xlfn.XLOOKUP(1,('Фрахт Транс'!$B$3:$M$3=$S$2)*('Фрахт Транс'!$B$4:$M$4=N$2),'Фрахт Транс'!$B$5:$M$10)),SUM($F19, $H19, $K19, $P19))</f>
        <v>738389</v>
      </c>
      <c r="O19" s="150" cm="1">
        <f t="array" aca="1" ref="O19" ca="1">IFERROR(_xlfn.XLOOKUP(1,  (Охрана!$A$6:$A$14 = $D19) * 1,  _xlfn.XLOOKUP(1,  (Охрана!$B$5:$M$5 = O$2) * (Охрана!$B$4:$M$4 = $S$2), Охрана!$B$6:$M$14)), "-")</f>
        <v>3189</v>
      </c>
      <c r="P19" s="195" cm="1">
        <f t="array" aca="1" ref="P19" ca="1">IFERROR(_xlfn.XLOOKUP(1,  (Охрана!$A$6:$A$14 = $D19) * 1,  _xlfn.XLOOKUP(1,  (Охрана!$B$5:$M$5 = P$2) * (Охрана!$B$4:$M$4 = $S$2), Охрана!$B$6:$M$14)), "-")</f>
        <v>5689</v>
      </c>
      <c r="Q19" s="286"/>
      <c r="AB19" s="5"/>
    </row>
    <row r="20" spans="1:28" ht="15.75" customHeight="1" thickBot="1" x14ac:dyDescent="0.3">
      <c r="A20" s="214" t="s">
        <v>14</v>
      </c>
      <c r="B20" s="291"/>
      <c r="C20" s="41" t="s">
        <v>35</v>
      </c>
      <c r="D20" s="40" t="s">
        <v>7</v>
      </c>
      <c r="E20" s="150" cm="1">
        <f t="array" ref="E20">IFERROR(_xlfn.XLOOKUP(1, (Фрахт!$A$5:$A$80 = $A20)* (Фрахт!$B$5:$B$80 = $C20) * (Фрахт!$C$5:$C$80 =$D20),  _xlfn.XLOOKUP(1,  (Фрахт!$D$4:$E$4 = E$2) * 1, Фрахт!$D$5:$E$80)) *  $S$1, "-")</f>
        <v>283500</v>
      </c>
      <c r="F20" s="150" cm="1">
        <f t="array" ref="F20">IFERROR(_xlfn.XLOOKUP(1, (Фрахт!$A$5:$A$80 = $A20)* (Фрахт!$B$5:$B$80 = $C20) * (Фрахт!$C$5:$C$80 =$D20),  _xlfn.XLOOKUP(1,  (Фрахт!$D$4:$E$4 = F$2) * 1, Фрахт!$D$5:$E$80)) *  $S$1, "-")</f>
        <v>472500</v>
      </c>
      <c r="G20" s="150" cm="1">
        <f t="array" aca="1" ref="G20" ca="1">IFERROR(_xlfn.XLOOKUP(1,  ('Drop off'!$A$6:$A$14 = $C20) * 1,  _xlfn.XLOOKUP(1,  ('Drop off'!$B$5:$I$5 = G$2) * ('Drop off'!$B$4:$I$4 = $S$2), 'Drop off'!$B$6:$I$14)) * $S$1, "-")</f>
        <v>37800</v>
      </c>
      <c r="H20" s="150" cm="1">
        <f t="array" aca="1" ref="H20" ca="1">IFERROR(_xlfn.XLOOKUP(1,  ('Drop off'!$A$6:$A$14 = $C20) * 1,  _xlfn.XLOOKUP(1,  ('Drop off'!$B$5:$I$5 = H$2) * ('Drop off'!$B$4:$I$4 = $S$2), 'Drop off'!$B$6:$I$14)) * $S$1, "-")</f>
        <v>56700</v>
      </c>
      <c r="I20" s="150" cm="1">
        <f t="array" aca="1" ref="I20" ca="1">IFERROR(_xlfn.XLOOKUP(1,  ('ж.д.'!$A$6:$A$14 = $D20) * 1,  _xlfn.XLOOKUP(1,  ('ж.д.'!$B$5:$M$5 = I$2) * ('ж.д.'!$B$4:$M$4 = $S$2), 'ж.д.'!$B$6:$M$14)), "-")</f>
        <v>105000</v>
      </c>
      <c r="J20" s="150" cm="1">
        <f t="array" aca="1" ref="J20" ca="1">IFERROR(_xlfn.XLOOKUP(1,  ('ж.д.'!$A$6:$A$14 = $D20) * 1,  _xlfn.XLOOKUP(1,  ('ж.д.'!$B$5:$M$5 = J$2) * ('ж.д.'!$B$4:$M$4 = $S$2), 'ж.д.'!$B$6:$M$14)), "-")</f>
        <v>120000</v>
      </c>
      <c r="K20" s="150" cm="1">
        <f t="array" aca="1" ref="K20" ca="1">IFERROR(_xlfn.XLOOKUP(1,  ('ж.д.'!$A$6:$A$14 = $D20) * 1,  _xlfn.XLOOKUP(1,  ('ж.д.'!$B$5:$M$5 = K$2) * ('ж.д.'!$B$4:$M$4 = $S$2), 'ж.д.'!$B$6:$M$14)), "-")</f>
        <v>192000</v>
      </c>
      <c r="L20" s="150" cm="1">
        <f t="array" aca="1" ref="L20" ca="1">IF(ISNUMBER(SEARCH("Транс",$C20)),_xlfn.XLOOKUP(1,('Фрахт Транс'!$A$5:$A$10=$D20)*1,_xlfn.XLOOKUP(1,('Фрахт Транс'!$B$3:$M$3 = $S$2)*('Фрахт Транс'!$B$4:$M$4=L$2),'Фрахт Транс'!$B$5:$M$10)),SUM($E20, $G20, $I20, $O20))</f>
        <v>429300</v>
      </c>
      <c r="M20" s="150" cm="1">
        <f t="array" aca="1" ref="M20" ca="1">IF(ISNUMBER(SEARCH("Транс",$C20)),_xlfn.XLOOKUP(1,('Фрахт Транс'!$A$5:$A$10=$D20)*1,_xlfn.XLOOKUP(1,('Фрахт Транс'!$B$3:$M$3=$S$2)*('Фрахт Транс'!$B$4:$M$4=M$2),'Фрахт Транс'!$B$5:$M$10)),SUM($E20, $G20, $J20, $O20))</f>
        <v>444300</v>
      </c>
      <c r="N20" s="150" cm="1">
        <f t="array" aca="1" ref="N20" ca="1">IF(ISNUMBER(SEARCH("Транс",$C20)),_xlfn.XLOOKUP(1,('Фрахт Транс'!$A$5:$A$10=$D20)*1,_xlfn.XLOOKUP(1,('Фрахт Транс'!$B$3:$M$3=$S$2)*('Фрахт Транс'!$B$4:$M$4=N$2),'Фрахт Транс'!$B$5:$M$10)),SUM($F20, $H20, $K20, $P20))</f>
        <v>727200</v>
      </c>
      <c r="O20" s="150" cm="1">
        <f t="array" aca="1" ref="O20" ca="1">IFERROR(_xlfn.XLOOKUP(1,  (Охрана!$A$6:$A$14 = $D20) * 1,  _xlfn.XLOOKUP(1,  (Охрана!$B$5:$M$5 = O$2) * (Охрана!$B$4:$M$4 = $S$2), Охрана!$B$6:$M$14)), "-")</f>
        <v>3000</v>
      </c>
      <c r="P20" s="195" cm="1">
        <f t="array" aca="1" ref="P20" ca="1">IFERROR(_xlfn.XLOOKUP(1,  (Охрана!$A$6:$A$14 = $D20) * 1,  _xlfn.XLOOKUP(1,  (Охрана!$B$5:$M$5 = P$2) * (Охрана!$B$4:$M$4 = $S$2), Охрана!$B$6:$M$14)), "-")</f>
        <v>6000</v>
      </c>
      <c r="Q20" s="286"/>
      <c r="R20" s="4"/>
      <c r="AB20" s="5"/>
    </row>
    <row r="21" spans="1:28" ht="16.5" thickBot="1" x14ac:dyDescent="0.3">
      <c r="A21" s="214" t="s">
        <v>14</v>
      </c>
      <c r="B21" s="291"/>
      <c r="C21" s="50" t="s">
        <v>40</v>
      </c>
      <c r="D21" s="50" t="s">
        <v>21</v>
      </c>
      <c r="E21" s="151" cm="1">
        <f t="array" ref="E21">IFERROR(_xlfn.XLOOKUP(1, (Фрахт!$A$5:$A$80 = $A21)* (Фрахт!$B$5:$B$80 = $C21) * (Фрахт!$C$5:$C$80 =$D21),  _xlfn.XLOOKUP(1,  (Фрахт!$D$4:$E$4 = E$2) * 1, Фрахт!$D$5:$E$80)) *  $S$1, "-")</f>
        <v>245160</v>
      </c>
      <c r="F21" s="151" cm="1">
        <f t="array" ref="F21">IFERROR(_xlfn.XLOOKUP(1, (Фрахт!$A$5:$A$80 = $A21)* (Фрахт!$B$5:$B$80 = $C21) * (Фрахт!$C$5:$C$80 =$D21),  _xlfn.XLOOKUP(1,  (Фрахт!$D$4:$E$4 = F$2) * 1, Фрахт!$D$5:$E$80)) *  $S$1, "-")</f>
        <v>412320</v>
      </c>
      <c r="G21" s="151" t="str" cm="1">
        <f t="array" aca="1" ref="G21" ca="1">IFERROR(_xlfn.XLOOKUP(1,  ('Drop off'!$A$6:$A$14 = $C21) * 1,  _xlfn.XLOOKUP(1,  ('Drop off'!$B$5:$I$5 = G$2) * ('Drop off'!$B$4:$I$4 = $S$2), 'Drop off'!$B$6:$I$14)) * $S$1, "-")</f>
        <v>-</v>
      </c>
      <c r="H21" s="151" t="str" cm="1">
        <f t="array" aca="1" ref="H21" ca="1">IFERROR(_xlfn.XLOOKUP(1,  ('Drop off'!$A$6:$A$14 = $C21) * 1,  _xlfn.XLOOKUP(1,  ('Drop off'!$B$5:$I$5 = H$2) * ('Drop off'!$B$4:$I$4 = $S$2), 'Drop off'!$B$6:$I$14)) * $S$1, "-")</f>
        <v>-</v>
      </c>
      <c r="I21" s="151" cm="1">
        <f t="array" aca="1" ref="I21" ca="1">IFERROR(_xlfn.XLOOKUP(1,  ('ж.д.'!$A$6:$A$14 = $D21) * 1,  _xlfn.XLOOKUP(1,  ('ж.д.'!$B$5:$M$5 = I$2) * ('ж.д.'!$B$4:$M$4 = $S$2), 'ж.д.'!$B$6:$M$14)), "-")</f>
        <v>108400</v>
      </c>
      <c r="J21" s="151" cm="1">
        <f t="array" aca="1" ref="J21" ca="1">IFERROR(_xlfn.XLOOKUP(1,  ('ж.д.'!$A$6:$A$14 = $D21) * 1,  _xlfn.XLOOKUP(1,  ('ж.д.'!$B$5:$M$5 = J$2) * ('ж.д.'!$B$4:$M$4 = $S$2), 'ж.д.'!$B$6:$M$14)), "-")</f>
        <v>122400</v>
      </c>
      <c r="K21" s="151" cm="1">
        <f t="array" aca="1" ref="K21" ca="1">IFERROR(_xlfn.XLOOKUP(1,  ('ж.д.'!$A$6:$A$14 = $D21) * 1,  _xlfn.XLOOKUP(1,  ('ж.д.'!$B$5:$M$5 = K$2) * ('ж.д.'!$B$4:$M$4 = $S$2), 'ж.д.'!$B$6:$M$14)), "-")</f>
        <v>200400</v>
      </c>
      <c r="L21" s="151" cm="1">
        <f t="array" aca="1" ref="L21" ca="1">IF(ISNUMBER(SEARCH("Транс",$C21)),_xlfn.XLOOKUP(1,('Фрахт Транс'!$A$5:$A$10=$D21)*1,_xlfn.XLOOKUP(1,('Фрахт Транс'!$B$3:$M$3 = $S$2)*('Фрахт Транс'!$B$4:$M$4=L$2),'Фрахт Транс'!$B$5:$M$10)),SUM($E21, $G21, $I21, $O21))</f>
        <v>355999</v>
      </c>
      <c r="M21" s="151" cm="1">
        <f t="array" aca="1" ref="M21" ca="1">IF(ISNUMBER(SEARCH("Транс",$C21)),_xlfn.XLOOKUP(1,('Фрахт Транс'!$A$5:$A$10=$D21)*1,_xlfn.XLOOKUP(1,('Фрахт Транс'!$B$3:$M$3=$S$2)*('Фрахт Транс'!$B$4:$M$4=M$2),'Фрахт Транс'!$B$5:$M$10)),SUM($E21, $G21, $J21, $O21))</f>
        <v>369999</v>
      </c>
      <c r="N21" s="151" cm="1">
        <f t="array" aca="1" ref="N21" ca="1">IF(ISNUMBER(SEARCH("Транс",$C21)),_xlfn.XLOOKUP(1,('Фрахт Транс'!$A$5:$A$10=$D21)*1,_xlfn.XLOOKUP(1,('Фрахт Транс'!$B$3:$M$3=$S$2)*('Фрахт Транс'!$B$4:$M$4=N$2),'Фрахт Транс'!$B$5:$M$10)),SUM($F21, $H21, $K21, $P21))</f>
        <v>617659</v>
      </c>
      <c r="O21" s="151" cm="1">
        <f t="array" aca="1" ref="O21" ca="1">IFERROR(_xlfn.XLOOKUP(1,  (Охрана!$A$6:$A$14 = $D21) * 1,  _xlfn.XLOOKUP(1,  (Охрана!$B$5:$M$5 = O$2) * (Охрана!$B$4:$M$4 = $S$2), Охрана!$B$6:$M$14)), "-")</f>
        <v>2439</v>
      </c>
      <c r="P21" s="196" cm="1">
        <f t="array" aca="1" ref="P21" ca="1">IFERROR(_xlfn.XLOOKUP(1,  (Охрана!$A$6:$A$14 = $D21) * 1,  _xlfn.XLOOKUP(1,  (Охрана!$B$5:$M$5 = P$2) * (Охрана!$B$4:$M$4 = $S$2), Охрана!$B$6:$M$14)), "-")</f>
        <v>4939</v>
      </c>
      <c r="Q21" s="38"/>
      <c r="R21" s="71"/>
      <c r="AB21" s="5"/>
    </row>
    <row r="22" spans="1:28" ht="16.5" thickBot="1" x14ac:dyDescent="0.3">
      <c r="A22" s="214" t="s">
        <v>14</v>
      </c>
      <c r="B22" s="291"/>
      <c r="C22" s="69" t="s">
        <v>51</v>
      </c>
      <c r="D22" s="70" t="s">
        <v>11</v>
      </c>
      <c r="E22" s="166" t="str" cm="1">
        <f t="array" ref="E22">IFERROR(_xlfn.XLOOKUP(1, (Фрахт!$A$5:$A$80 = $A22)* (Фрахт!$B$5:$B$80 = $C22) * (Фрахт!$C$5:$C$80 =$D22),  _xlfn.XLOOKUP(1,  (Фрахт!$D$4:$E$4 = E$2) * 1, Фрахт!$D$5:$E$80)) *  $S$1, "-")</f>
        <v>-</v>
      </c>
      <c r="F22" s="166" t="str" cm="1">
        <f t="array" ref="F22">IFERROR(_xlfn.XLOOKUP(1, (Фрахт!$A$5:$A$80 = $A22)* (Фрахт!$B$5:$B$80 = $C22) * (Фрахт!$C$5:$C$80 =$D22),  _xlfn.XLOOKUP(1,  (Фрахт!$D$4:$E$4 = F$2) * 1, Фрахт!$D$5:$E$80)) *  $S$1, "-")</f>
        <v>-</v>
      </c>
      <c r="G22" s="166" t="str" cm="1">
        <f t="array" aca="1" ref="G22" ca="1">IFERROR(_xlfn.XLOOKUP(1,  ('Drop off'!$A$6:$A$14 = $C22) * 1,  _xlfn.XLOOKUP(1,  ('Drop off'!$B$5:$I$5 = G$2) * ('Drop off'!$B$4:$I$4 = $S$2), 'Drop off'!$B$6:$I$14)) * $S$1, "-")</f>
        <v>-</v>
      </c>
      <c r="H22" s="166" t="str" cm="1">
        <f t="array" aca="1" ref="H22" ca="1">IFERROR(_xlfn.XLOOKUP(1,  ('Drop off'!$A$6:$A$14 = $C22) * 1,  _xlfn.XLOOKUP(1,  ('Drop off'!$B$5:$I$5 = H$2) * ('Drop off'!$B$4:$I$4 = $S$2), 'Drop off'!$B$6:$I$14)) * $S$1, "-")</f>
        <v>-</v>
      </c>
      <c r="I22" s="166" cm="1">
        <f t="array" aca="1" ref="I22" ca="1">IFERROR(_xlfn.XLOOKUP(1,  ('ж.д.'!$A$6:$A$14 = $D22) * 1,  _xlfn.XLOOKUP(1,  ('ж.д.'!$B$5:$M$5 = I$2) * ('ж.д.'!$B$4:$M$4 = $S$2), 'ж.д.'!$B$6:$M$14)), "-")</f>
        <v>105900</v>
      </c>
      <c r="J22" s="166" cm="1">
        <f t="array" aca="1" ref="J22" ca="1">IFERROR(_xlfn.XLOOKUP(1,  ('ж.д.'!$A$6:$A$14 = $D22) * 1,  _xlfn.XLOOKUP(1,  ('ж.д.'!$B$5:$M$5 = J$2) * ('ж.д.'!$B$4:$M$4 = $S$2), 'ж.д.'!$B$6:$M$14)), "-")</f>
        <v>122100</v>
      </c>
      <c r="K22" s="166" cm="1">
        <f t="array" aca="1" ref="K22" ca="1">IFERROR(_xlfn.XLOOKUP(1,  ('ж.д.'!$A$6:$A$14 = $D22) * 1,  _xlfn.XLOOKUP(1,  ('ж.д.'!$B$5:$M$5 = K$2) * ('ж.д.'!$B$4:$M$4 = $S$2), 'ж.д.'!$B$6:$M$14)), "-")</f>
        <v>196200</v>
      </c>
      <c r="L22" s="166" cm="1">
        <f t="array" aca="1" ref="L22" ca="1">IF(ISNUMBER(SEARCH("Транс",$C22)),_xlfn.XLOOKUP(1,('Фрахт Транс'!$A$5:$A$10=$D22)*1,_xlfn.XLOOKUP(1,('Фрахт Транс'!$B$3:$M$3 = $S$2)*('Фрахт Транс'!$B$4:$M$4=L$2),'Фрахт Транс'!$B$5:$M$10)),SUM($E22, $G22, $I22, $O22))</f>
        <v>108339</v>
      </c>
      <c r="M22" s="166" cm="1">
        <f t="array" aca="1" ref="M22" ca="1">IF(ISNUMBER(SEARCH("Транс",$C22)),_xlfn.XLOOKUP(1,('Фрахт Транс'!$A$5:$A$10=$D22)*1,_xlfn.XLOOKUP(1,('Фрахт Транс'!$B$3:$M$3=$S$2)*('Фрахт Транс'!$B$4:$M$4=M$2),'Фрахт Транс'!$B$5:$M$10)),SUM($E22, $G22, $J22, $O22))</f>
        <v>124539</v>
      </c>
      <c r="N22" s="166" cm="1">
        <f t="array" aca="1" ref="N22" ca="1">IF(ISNUMBER(SEARCH("Транс",$C22)),_xlfn.XLOOKUP(1,('Фрахт Транс'!$A$5:$A$10=$D22)*1,_xlfn.XLOOKUP(1,('Фрахт Транс'!$B$3:$M$3=$S$2)*('Фрахт Транс'!$B$4:$M$4=N$2),'Фрахт Транс'!$B$5:$M$10)),SUM($F22, $H22, $K22, $P22))</f>
        <v>201139</v>
      </c>
      <c r="O22" s="166" cm="1">
        <f t="array" aca="1" ref="O22" ca="1">IFERROR(_xlfn.XLOOKUP(1,  (Охрана!$A$6:$A$14 = $D22) * 1,  _xlfn.XLOOKUP(1,  (Охрана!$B$5:$M$5 = O$2) * (Охрана!$B$4:$M$4 = $S$2), Охрана!$B$6:$M$14)), "-")</f>
        <v>2439</v>
      </c>
      <c r="P22" s="207" cm="1">
        <f t="array" aca="1" ref="P22" ca="1">IFERROR(_xlfn.XLOOKUP(1,  (Охрана!$A$6:$A$14 = $D22) * 1,  _xlfn.XLOOKUP(1,  (Охрана!$B$5:$M$5 = P$2) * (Охрана!$B$4:$M$4 = $S$2), Охрана!$B$6:$M$14)), "-")</f>
        <v>4939</v>
      </c>
      <c r="Q22" s="38"/>
      <c r="R22" s="71"/>
      <c r="AB22" s="5"/>
    </row>
    <row r="23" spans="1:28" thickBot="1" x14ac:dyDescent="0.3">
      <c r="A23" s="214" t="s">
        <v>14</v>
      </c>
      <c r="B23" s="291"/>
      <c r="C23" s="58" t="s">
        <v>52</v>
      </c>
      <c r="D23" s="55" t="s">
        <v>11</v>
      </c>
      <c r="E23" s="228" t="str" cm="1">
        <f t="array" ref="E23">IFERROR(_xlfn.XLOOKUP(1, (Фрахт!$A$5:$A$80 = $A23)* (Фрахт!$B$5:$B$80 = $C23) * (Фрахт!$C$5:$C$80 =$D23),  _xlfn.XLOOKUP(1,  (Фрахт!$D$4:$E$4 = E$2) * 1, Фрахт!$D$5:$E$80)) *  $S$1, "-")</f>
        <v>-</v>
      </c>
      <c r="F23" s="228" t="str" cm="1">
        <f t="array" ref="F23">IFERROR(_xlfn.XLOOKUP(1, (Фрахт!$A$5:$A$80 = $A23)* (Фрахт!$B$5:$B$80 = $C23) * (Фрахт!$C$5:$C$80 =$D23),  _xlfn.XLOOKUP(1,  (Фрахт!$D$4:$E$4 = F$2) * 1, Фрахт!$D$5:$E$80)) *  $S$1, "-")</f>
        <v>-</v>
      </c>
      <c r="G23" s="228" cm="1">
        <f t="array" aca="1" ref="G23" ca="1">IFERROR(_xlfn.XLOOKUP(1,  ('Drop off'!$A$6:$A$14 = $C23) * 1,  _xlfn.XLOOKUP(1,  ('Drop off'!$B$5:$I$5 = G$2) * ('Drop off'!$B$4:$I$4 = $S$2), 'Drop off'!$B$6:$I$14)) * $S$1, "-")</f>
        <v>0</v>
      </c>
      <c r="H23" s="228" cm="1">
        <f t="array" aca="1" ref="H23" ca="1">IFERROR(_xlfn.XLOOKUP(1,  ('Drop off'!$A$6:$A$14 = $C23) * 1,  _xlfn.XLOOKUP(1,  ('Drop off'!$B$5:$I$5 = H$2) * ('Drop off'!$B$4:$I$4 = $S$2), 'Drop off'!$B$6:$I$14)) * $S$1, "-")</f>
        <v>0</v>
      </c>
      <c r="I23" s="228" cm="1">
        <f t="array" aca="1" ref="I23" ca="1">IFERROR(_xlfn.XLOOKUP(1,  ('ж.д.'!$A$6:$A$14 = $D23) * 1,  _xlfn.XLOOKUP(1,  ('ж.д.'!$B$5:$M$5 = I$2) * ('ж.д.'!$B$4:$M$4 = $S$2), 'ж.д.'!$B$6:$M$14)), "-")</f>
        <v>105900</v>
      </c>
      <c r="J23" s="228" cm="1">
        <f t="array" aca="1" ref="J23" ca="1">IFERROR(_xlfn.XLOOKUP(1,  ('ж.д.'!$A$6:$A$14 = $D23) * 1,  _xlfn.XLOOKUP(1,  ('ж.д.'!$B$5:$M$5 = J$2) * ('ж.д.'!$B$4:$M$4 = $S$2), 'ж.д.'!$B$6:$M$14)), "-")</f>
        <v>122100</v>
      </c>
      <c r="K23" s="228" cm="1">
        <f t="array" aca="1" ref="K23" ca="1">IFERROR(_xlfn.XLOOKUP(1,  ('ж.д.'!$A$6:$A$14 = $D23) * 1,  _xlfn.XLOOKUP(1,  ('ж.д.'!$B$5:$M$5 = K$2) * ('ж.д.'!$B$4:$M$4 = $S$2), 'ж.д.'!$B$6:$M$14)), "-")</f>
        <v>196200</v>
      </c>
      <c r="L23" s="228" cm="1">
        <f t="array" aca="1" ref="L23" ca="1">IF(ISNUMBER(SEARCH("Транс",$C23)),_xlfn.XLOOKUP(1,('Фрахт Транс'!$A$5:$A$10=$D23)*1,_xlfn.XLOOKUP(1,('Фрахт Транс'!$B$3:$M$3 = $S$2)*('Фрахт Транс'!$B$4:$M$4=L$2),'Фрахт Транс'!$B$5:$M$10)),SUM($E23, $G23, $I23, $O23))</f>
        <v>108339</v>
      </c>
      <c r="M23" s="228" cm="1">
        <f t="array" aca="1" ref="M23" ca="1">IF(ISNUMBER(SEARCH("Транс",$C23)),_xlfn.XLOOKUP(1,('Фрахт Транс'!$A$5:$A$10=$D23)*1,_xlfn.XLOOKUP(1,('Фрахт Транс'!$B$3:$M$3=$S$2)*('Фрахт Транс'!$B$4:$M$4=M$2),'Фрахт Транс'!$B$5:$M$10)),SUM($E23, $G23, $J23, $O23))</f>
        <v>124539</v>
      </c>
      <c r="N23" s="228" cm="1">
        <f t="array" aca="1" ref="N23" ca="1">IF(ISNUMBER(SEARCH("Транс",$C23)),_xlfn.XLOOKUP(1,('Фрахт Транс'!$A$5:$A$10=$D23)*1,_xlfn.XLOOKUP(1,('Фрахт Транс'!$B$3:$M$3=$S$2)*('Фрахт Транс'!$B$4:$M$4=N$2),'Фрахт Транс'!$B$5:$M$10)),SUM($F23, $H23, $K23, $P23))</f>
        <v>201139</v>
      </c>
      <c r="O23" s="228" cm="1">
        <f t="array" aca="1" ref="O23" ca="1">IFERROR(_xlfn.XLOOKUP(1,  (Охрана!$A$6:$A$14 = $D23) * 1,  _xlfn.XLOOKUP(1,  (Охрана!$B$5:$M$5 = O$2) * (Охрана!$B$4:$M$4 = $S$2), Охрана!$B$6:$M$14)), "-")</f>
        <v>2439</v>
      </c>
      <c r="P23" s="229" cm="1">
        <f t="array" aca="1" ref="P23" ca="1">IFERROR(_xlfn.XLOOKUP(1,  (Охрана!$A$6:$A$14 = $D23) * 1,  _xlfn.XLOOKUP(1,  (Охрана!$B$5:$M$5 = P$2) * (Охрана!$B$4:$M$4 = $S$2), Охрана!$B$6:$M$14)), "-")</f>
        <v>4939</v>
      </c>
      <c r="Q23" s="282"/>
      <c r="R23" s="283"/>
      <c r="AB23" s="5"/>
    </row>
    <row r="24" spans="1:28" thickBot="1" x14ac:dyDescent="0.3">
      <c r="A24" s="214" t="s">
        <v>14</v>
      </c>
      <c r="B24" s="291"/>
      <c r="C24" s="58" t="s">
        <v>37</v>
      </c>
      <c r="D24" s="55" t="s">
        <v>11</v>
      </c>
      <c r="E24" s="228" cm="1">
        <f t="array" ref="E24">IFERROR(_xlfn.XLOOKUP(1, (Фрахт!$A$5:$A$80 = $A24)* (Фрахт!$B$5:$B$80 = $C24) * (Фрахт!$C$5:$C$80 =$D24),  _xlfn.XLOOKUP(1,  (Фрахт!$D$4:$E$4 = E$2) * 1, Фрахт!$D$5:$E$80)) *  $S$1, "-")</f>
        <v>216000</v>
      </c>
      <c r="F24" s="228" cm="1">
        <f t="array" ref="F24">IFERROR(_xlfn.XLOOKUP(1, (Фрахт!$A$5:$A$80 = $A24)* (Фрахт!$B$5:$B$80 = $C24) * (Фрахт!$C$5:$C$80 =$D24),  _xlfn.XLOOKUP(1,  (Фрахт!$D$4:$E$4 = F$2) * 1, Фрахт!$D$5:$E$80)) *  $S$1, "-")</f>
        <v>360000</v>
      </c>
      <c r="G24" s="228" cm="1">
        <f t="array" aca="1" ref="G24" ca="1">IFERROR(_xlfn.XLOOKUP(1,  ('Drop off'!$A$6:$A$14 = $C24) * 1,  _xlfn.XLOOKUP(1,  ('Drop off'!$B$5:$I$5 = G$2) * ('Drop off'!$B$4:$I$4 = $S$2), 'Drop off'!$B$6:$I$14)) * $S$1, "-")</f>
        <v>0</v>
      </c>
      <c r="H24" s="228" cm="1">
        <f t="array" aca="1" ref="H24" ca="1">IFERROR(_xlfn.XLOOKUP(1,  ('Drop off'!$A$6:$A$14 = $C24) * 1,  _xlfn.XLOOKUP(1,  ('Drop off'!$B$5:$I$5 = H$2) * ('Drop off'!$B$4:$I$4 = $S$2), 'Drop off'!$B$6:$I$14)) * $S$1, "-")</f>
        <v>0</v>
      </c>
      <c r="I24" s="228" cm="1">
        <f t="array" aca="1" ref="I24" ca="1">IFERROR(_xlfn.XLOOKUP(1,  ('ж.д.'!$A$6:$A$14 = $D24) * 1,  _xlfn.XLOOKUP(1,  ('ж.д.'!$B$5:$M$5 = I$2) * ('ж.д.'!$B$4:$M$4 = $S$2), 'ж.д.'!$B$6:$M$14)), "-")</f>
        <v>105900</v>
      </c>
      <c r="J24" s="228" cm="1">
        <f t="array" aca="1" ref="J24" ca="1">IFERROR(_xlfn.XLOOKUP(1,  ('ж.д.'!$A$6:$A$14 = $D24) * 1,  _xlfn.XLOOKUP(1,  ('ж.д.'!$B$5:$M$5 = J$2) * ('ж.д.'!$B$4:$M$4 = $S$2), 'ж.д.'!$B$6:$M$14)), "-")</f>
        <v>122100</v>
      </c>
      <c r="K24" s="228" cm="1">
        <f t="array" aca="1" ref="K24" ca="1">IFERROR(_xlfn.XLOOKUP(1,  ('ж.д.'!$A$6:$A$14 = $D24) * 1,  _xlfn.XLOOKUP(1,  ('ж.д.'!$B$5:$M$5 = K$2) * ('ж.д.'!$B$4:$M$4 = $S$2), 'ж.д.'!$B$6:$M$14)), "-")</f>
        <v>196200</v>
      </c>
      <c r="L24" s="228" cm="1">
        <f t="array" aca="1" ref="L24" ca="1">IF(ISNUMBER(SEARCH("Транс",$C24)),_xlfn.XLOOKUP(1,('Фрахт Транс'!$A$5:$A$10=$D24)*1,_xlfn.XLOOKUP(1,('Фрахт Транс'!$B$3:$M$3 = $S$2)*('Фрахт Транс'!$B$4:$M$4=L$2),'Фрахт Транс'!$B$5:$M$10)),SUM($E24, $G24, $I24, $O24))</f>
        <v>324339</v>
      </c>
      <c r="M24" s="228" cm="1">
        <f t="array" aca="1" ref="M24" ca="1">IF(ISNUMBER(SEARCH("Транс",$C24)),_xlfn.XLOOKUP(1,('Фрахт Транс'!$A$5:$A$10=$D24)*1,_xlfn.XLOOKUP(1,('Фрахт Транс'!$B$3:$M$3=$S$2)*('Фрахт Транс'!$B$4:$M$4=M$2),'Фрахт Транс'!$B$5:$M$10)),SUM($E24, $G24, $J24, $O24))</f>
        <v>340539</v>
      </c>
      <c r="N24" s="228" cm="1">
        <f t="array" aca="1" ref="N24" ca="1">IF(ISNUMBER(SEARCH("Транс",$C24)),_xlfn.XLOOKUP(1,('Фрахт Транс'!$A$5:$A$10=$D24)*1,_xlfn.XLOOKUP(1,('Фрахт Транс'!$B$3:$M$3=$S$2)*('Фрахт Транс'!$B$4:$M$4=N$2),'Фрахт Транс'!$B$5:$M$10)),SUM($F24, $H24, $K24, $P24))</f>
        <v>561139</v>
      </c>
      <c r="O24" s="228" cm="1">
        <f t="array" aca="1" ref="O24" ca="1">IFERROR(_xlfn.XLOOKUP(1,  (Охрана!$A$6:$A$14 = $D24) * 1,  _xlfn.XLOOKUP(1,  (Охрана!$B$5:$M$5 = O$2) * (Охрана!$B$4:$M$4 = $S$2), Охрана!$B$6:$M$14)), "-")</f>
        <v>2439</v>
      </c>
      <c r="P24" s="229" cm="1">
        <f t="array" aca="1" ref="P24" ca="1">IFERROR(_xlfn.XLOOKUP(1,  (Охрана!$A$6:$A$14 = $D24) * 1,  _xlfn.XLOOKUP(1,  (Охрана!$B$5:$M$5 = P$2) * (Охрана!$B$4:$M$4 = $S$2), Охрана!$B$6:$M$14)), "-")</f>
        <v>4939</v>
      </c>
      <c r="Q24" s="282"/>
      <c r="R24" s="283"/>
      <c r="AB24" s="5"/>
    </row>
    <row r="25" spans="1:28" ht="16.5" thickBot="1" x14ac:dyDescent="0.3">
      <c r="A25" s="214" t="s">
        <v>14</v>
      </c>
      <c r="B25" s="292"/>
      <c r="C25" s="76" t="s">
        <v>53</v>
      </c>
      <c r="D25" s="77" t="s">
        <v>7</v>
      </c>
      <c r="E25" s="156" cm="1">
        <f t="array" ref="E25">IFERROR(_xlfn.XLOOKUP(1, (Фрахт!$A$5:$A$80 = $A25)* (Фрахт!$B$5:$B$80 = $C25) * (Фрахт!$C$5:$C$80 =$D25),  _xlfn.XLOOKUP(1,  (Фрахт!$D$4:$E$4 = E$2) * 1, Фрахт!$D$5:$E$80)) *  $S$1, "-")</f>
        <v>315000</v>
      </c>
      <c r="F25" s="156" cm="1">
        <f t="array" ref="F25">IFERROR(_xlfn.XLOOKUP(1, (Фрахт!$A$5:$A$80 = $A25)* (Фрахт!$B$5:$B$80 = $C25) * (Фрахт!$C$5:$C$80 =$D25),  _xlfn.XLOOKUP(1,  (Фрахт!$D$4:$E$4 = F$2) * 1, Фрахт!$D$5:$E$80)) *  $S$1, "-")</f>
        <v>420000</v>
      </c>
      <c r="G25" s="156" cm="1">
        <f t="array" aca="1" ref="G25" ca="1">IFERROR(_xlfn.XLOOKUP(1,  ('Drop off'!$A$6:$A$14 = $C25) * 1,  _xlfn.XLOOKUP(1,  ('Drop off'!$B$5:$I$5 = G$2) * ('Drop off'!$B$4:$I$4 = $S$2), 'Drop off'!$B$6:$I$14)) * $S$1, "-")</f>
        <v>0</v>
      </c>
      <c r="H25" s="156" cm="1">
        <f t="array" aca="1" ref="H25" ca="1">IFERROR(_xlfn.XLOOKUP(1,  ('Drop off'!$A$6:$A$14 = $C25) * 1,  _xlfn.XLOOKUP(1,  ('Drop off'!$B$5:$I$5 = H$2) * ('Drop off'!$B$4:$I$4 = $S$2), 'Drop off'!$B$6:$I$14)) * $S$1, "-")</f>
        <v>0</v>
      </c>
      <c r="I25" s="156" cm="1">
        <f t="array" aca="1" ref="I25" ca="1">IFERROR(_xlfn.XLOOKUP(1,  ('ж.д.'!$A$6:$A$14 = $D25) * 1,  _xlfn.XLOOKUP(1,  ('ж.д.'!$B$5:$M$5 = I$2) * ('ж.д.'!$B$4:$M$4 = $S$2), 'ж.д.'!$B$6:$M$14)), "-")</f>
        <v>105000</v>
      </c>
      <c r="J25" s="156" cm="1">
        <f t="array" aca="1" ref="J25" ca="1">IFERROR(_xlfn.XLOOKUP(1,  ('ж.д.'!$A$6:$A$14 = $D25) * 1,  _xlfn.XLOOKUP(1,  ('ж.д.'!$B$5:$M$5 = J$2) * ('ж.д.'!$B$4:$M$4 = $S$2), 'ж.д.'!$B$6:$M$14)), "-")</f>
        <v>120000</v>
      </c>
      <c r="K25" s="156" cm="1">
        <f t="array" aca="1" ref="K25" ca="1">IFERROR(_xlfn.XLOOKUP(1,  ('ж.д.'!$A$6:$A$14 = $D25) * 1,  _xlfn.XLOOKUP(1,  ('ж.д.'!$B$5:$M$5 = K$2) * ('ж.д.'!$B$4:$M$4 = $S$2), 'ж.д.'!$B$6:$M$14)), "-")</f>
        <v>192000</v>
      </c>
      <c r="L25" s="156" cm="1">
        <f t="array" aca="1" ref="L25" ca="1">IF(ISNUMBER(SEARCH("Транс",$C25)),_xlfn.XLOOKUP(1,('Фрахт Транс'!$A$5:$A$10=$D25)*1,_xlfn.XLOOKUP(1,('Фрахт Транс'!$B$3:$M$3 = $S$2)*('Фрахт Транс'!$B$4:$M$4=L$2),'Фрахт Транс'!$B$5:$M$10)),SUM($E25, $G25, $I25, $O25))</f>
        <v>423000</v>
      </c>
      <c r="M25" s="156" cm="1">
        <f t="array" aca="1" ref="M25" ca="1">IF(ISNUMBER(SEARCH("Транс",$C25)),_xlfn.XLOOKUP(1,('Фрахт Транс'!$A$5:$A$10=$D25)*1,_xlfn.XLOOKUP(1,('Фрахт Транс'!$B$3:$M$3=$S$2)*('Фрахт Транс'!$B$4:$M$4=M$2),'Фрахт Транс'!$B$5:$M$10)),SUM($E25, $G25, $J25, $O25))</f>
        <v>438000</v>
      </c>
      <c r="N25" s="156" cm="1">
        <f t="array" aca="1" ref="N25" ca="1">IF(ISNUMBER(SEARCH("Транс",$C25)),_xlfn.XLOOKUP(1,('Фрахт Транс'!$A$5:$A$10=$D25)*1,_xlfn.XLOOKUP(1,('Фрахт Транс'!$B$3:$M$3=$S$2)*('Фрахт Транс'!$B$4:$M$4=N$2),'Фрахт Транс'!$B$5:$M$10)),SUM($F25, $H25, $K25, $P25))</f>
        <v>618000</v>
      </c>
      <c r="O25" s="156" cm="1">
        <f t="array" aca="1" ref="O25" ca="1">IFERROR(_xlfn.XLOOKUP(1,  (Охрана!$A$6:$A$14 = $D25) * 1,  _xlfn.XLOOKUP(1,  (Охрана!$B$5:$M$5 = O$2) * (Охрана!$B$4:$M$4 = $S$2), Охрана!$B$6:$M$14)), "-")</f>
        <v>3000</v>
      </c>
      <c r="P25" s="201" cm="1">
        <f t="array" aca="1" ref="P25" ca="1">IFERROR(_xlfn.XLOOKUP(1,  (Охрана!$A$6:$A$14 = $D25) * 1,  _xlfn.XLOOKUP(1,  (Охрана!$B$5:$M$5 = P$2) * (Охрана!$B$4:$M$4 = $S$2), Охрана!$B$6:$M$14)), "-")</f>
        <v>6000</v>
      </c>
      <c r="Q25" s="38"/>
      <c r="R25" s="83"/>
      <c r="AB25" s="5"/>
    </row>
    <row r="26" spans="1:28" ht="30.75" thickBot="1" x14ac:dyDescent="0.3">
      <c r="A26" s="213" t="s">
        <v>15</v>
      </c>
      <c r="B26" s="287" t="s">
        <v>15</v>
      </c>
      <c r="C26" s="63" t="s">
        <v>43</v>
      </c>
      <c r="D26" s="64" t="s">
        <v>46</v>
      </c>
      <c r="E26" s="148" t="str" cm="1">
        <f t="array" ref="E26">IFERROR(_xlfn.XLOOKUP(1, (Фрахт!$A$5:$A$80 = $A26)* (Фрахт!$B$5:$B$80 = $C26) * (Фрахт!$C$5:$C$80 =$D26),  _xlfn.XLOOKUP(1,  (Фрахт!$D$4:$E$4 = E$2) * 1, Фрахт!$D$5:$E$80)) *  $S$1, "-")</f>
        <v>-</v>
      </c>
      <c r="F26" s="148" t="str" cm="1">
        <f t="array" ref="F26">IFERROR(_xlfn.XLOOKUP(1, (Фрахт!$A$5:$A$80 = $A26)* (Фрахт!$B$5:$B$80 = $C26) * (Фрахт!$C$5:$C$80 =$D26),  _xlfn.XLOOKUP(1,  (Фрахт!$D$4:$E$4 = F$2) * 1, Фрахт!$D$5:$E$80)) *  $S$1, "-")</f>
        <v>-</v>
      </c>
      <c r="G26" s="148" cm="1">
        <f t="array" aca="1" ref="G26" ca="1">IFERROR(_xlfn.XLOOKUP(1,  ('Drop off'!$A$6:$A$14 = $C26) * 1,  _xlfn.XLOOKUP(1,  ('Drop off'!$B$5:$I$5 = G$2) * ('Drop off'!$B$4:$I$4 = $S$2), 'Drop off'!$B$6:$I$14)) * $S$1, "-")</f>
        <v>0</v>
      </c>
      <c r="H26" s="148" cm="1">
        <f t="array" aca="1" ref="H26" ca="1">IFERROR(_xlfn.XLOOKUP(1,  ('Drop off'!$A$6:$A$14 = $C26) * 1,  _xlfn.XLOOKUP(1,  ('Drop off'!$B$5:$I$5 = H$2) * ('Drop off'!$B$4:$I$4 = $S$2), 'Drop off'!$B$6:$I$14)) * $S$1, "-")</f>
        <v>0</v>
      </c>
      <c r="I26" s="148" t="str" cm="1">
        <f t="array" aca="1" ref="I26" ca="1">IFERROR(_xlfn.XLOOKUP(1,  ('ж.д.'!$A$6:$A$14 = $D26) * 1,  _xlfn.XLOOKUP(1,  ('ж.д.'!$B$5:$M$5 = I$2) * ('ж.д.'!$B$4:$M$4 = $S$2), 'ж.д.'!$B$6:$M$14)), "-")</f>
        <v>-</v>
      </c>
      <c r="J26" s="148" t="str" cm="1">
        <f t="array" aca="1" ref="J26" ca="1">IFERROR(_xlfn.XLOOKUP(1,  ('ж.д.'!$A$6:$A$14 = $D26) * 1,  _xlfn.XLOOKUP(1,  ('ж.д.'!$B$5:$M$5 = J$2) * ('ж.д.'!$B$4:$M$4 = $S$2), 'ж.д.'!$B$6:$M$14)), "-")</f>
        <v>-</v>
      </c>
      <c r="K26" s="148" t="str" cm="1">
        <f t="array" aca="1" ref="K26" ca="1">IFERROR(_xlfn.XLOOKUP(1,  ('ж.д.'!$A$6:$A$14 = $D26) * 1,  _xlfn.XLOOKUP(1,  ('ж.д.'!$B$5:$M$5 = K$2) * ('ж.д.'!$B$4:$M$4 = $S$2), 'ж.д.'!$B$6:$M$14)), "-")</f>
        <v>-</v>
      </c>
      <c r="L26" s="148" cm="1">
        <f t="array" aca="1" ref="L26" ca="1">IF(ISNUMBER(SEARCH("Транс",$C26)),_xlfn.XLOOKUP(1,('Фрахт Транс'!$A$5:$A$10=$D26)*1,_xlfn.XLOOKUP(1,('Фрахт Транс'!$B$3:$M$3 = $S$2)*('Фрахт Транс'!$B$4:$M$4=L$2),'Фрахт Транс'!$B$5:$M$10)),SUM($E26, $G26, $I26, $O26))</f>
        <v>338042</v>
      </c>
      <c r="M26" s="148" cm="1">
        <f t="array" aca="1" ref="M26" ca="1">IF(ISNUMBER(SEARCH("Транс",$C26)),_xlfn.XLOOKUP(1,('Фрахт Транс'!$A$5:$A$10=$D26)*1,_xlfn.XLOOKUP(1,('Фрахт Транс'!$B$3:$M$3=$S$2)*('Фрахт Транс'!$B$4:$M$4=M$2),'Фрахт Транс'!$B$5:$M$10)),SUM($E26, $G26, $J26, $O26))</f>
        <v>353536</v>
      </c>
      <c r="N26" s="148" cm="1">
        <f t="array" aca="1" ref="N26" ca="1">IF(ISNUMBER(SEARCH("Транс",$C26)),_xlfn.XLOOKUP(1,('Фрахт Транс'!$A$5:$A$10=$D26)*1,_xlfn.XLOOKUP(1,('Фрахт Транс'!$B$3:$M$3=$S$2)*('Фрахт Транс'!$B$4:$M$4=N$2),'Фрахт Транс'!$B$5:$M$10)),SUM($F26, $H26, $K26, $P26))</f>
        <v>501576</v>
      </c>
      <c r="O26" s="148" t="str" cm="1">
        <f t="array" aca="1" ref="O26" ca="1">IFERROR(_xlfn.XLOOKUP(1,  (Охрана!$A$6:$A$14 = $D26) * 1,  _xlfn.XLOOKUP(1,  (Охрана!$B$5:$M$5 = O$2) * (Охрана!$B$4:$M$4 = $S$2), Охрана!$B$6:$M$14)), "-")</f>
        <v>-</v>
      </c>
      <c r="P26" s="230" t="str" cm="1">
        <f t="array" aca="1" ref="P26" ca="1">IFERROR(_xlfn.XLOOKUP(1,  (Охрана!$A$6:$A$14 = $D26) * 1,  _xlfn.XLOOKUP(1,  (Охрана!$B$5:$M$5 = P$2) * (Охрана!$B$4:$M$4 = $S$2), Охрана!$B$6:$M$14)), "-")</f>
        <v>-</v>
      </c>
      <c r="Q26" s="38"/>
      <c r="R26" s="6"/>
      <c r="AB26" s="5"/>
    </row>
    <row r="27" spans="1:28" ht="15" customHeight="1" thickBot="1" x14ac:dyDescent="0.3">
      <c r="A27" s="213" t="s">
        <v>15</v>
      </c>
      <c r="B27" s="288"/>
      <c r="C27" s="42" t="s">
        <v>12</v>
      </c>
      <c r="D27" s="32" t="s">
        <v>30</v>
      </c>
      <c r="E27" s="149" cm="1">
        <f t="array" ref="E27">IFERROR(_xlfn.XLOOKUP(1, (Фрахт!$A$5:$A$80 = $A27)* (Фрахт!$B$5:$B$80 = $C27) * (Фрахт!$C$5:$C$80 =$D27),  _xlfn.XLOOKUP(1,  (Фрахт!$D$4:$E$4 = E$2) * 1, Фрахт!$D$5:$E$80)) *  $S$1, "-")</f>
        <v>330000</v>
      </c>
      <c r="F27" s="149" cm="1">
        <f t="array" ref="F27">IFERROR(_xlfn.XLOOKUP(1, (Фрахт!$A$5:$A$80 = $A27)* (Фрахт!$B$5:$B$80 = $C27) * (Фрахт!$C$5:$C$80 =$D27),  _xlfn.XLOOKUP(1,  (Фрахт!$D$4:$E$4 = F$2) * 1, Фрахт!$D$5:$E$80)) *  $S$1, "-")</f>
        <v>450000</v>
      </c>
      <c r="G27" s="149" cm="1">
        <f t="array" aca="1" ref="G27" ca="1">IFERROR(_xlfn.XLOOKUP(1,  ('Drop off'!$A$6:$A$14 = $C27) * 1,  _xlfn.XLOOKUP(1,  ('Drop off'!$B$5:$I$5 = G$2) * ('Drop off'!$B$4:$I$4 = $S$2), 'Drop off'!$B$6:$I$14)) * $S$1, "-")</f>
        <v>0</v>
      </c>
      <c r="H27" s="149" cm="1">
        <f t="array" aca="1" ref="H27" ca="1">IFERROR(_xlfn.XLOOKUP(1,  ('Drop off'!$A$6:$A$14 = $C27) * 1,  _xlfn.XLOOKUP(1,  ('Drop off'!$B$5:$I$5 = H$2) * ('Drop off'!$B$4:$I$4 = $S$2), 'Drop off'!$B$6:$I$14)) * $S$1, "-")</f>
        <v>0</v>
      </c>
      <c r="I27" s="149" cm="1">
        <f t="array" aca="1" ref="I27" ca="1">IFERROR(_xlfn.XLOOKUP(1,  ('ж.д.'!$A$6:$A$14 = $D27) * 1,  _xlfn.XLOOKUP(1,  ('ж.д.'!$B$5:$M$5 = I$2) * ('ж.д.'!$B$4:$M$4 = $S$2), 'ж.д.'!$B$6:$M$14)), "-")</f>
        <v>97300</v>
      </c>
      <c r="J27" s="149" cm="1">
        <f t="array" aca="1" ref="J27" ca="1">IFERROR(_xlfn.XLOOKUP(1,  ('ж.д.'!$A$6:$A$14 = $D27) * 1,  _xlfn.XLOOKUP(1,  ('ж.д.'!$B$5:$M$5 = J$2) * ('ж.д.'!$B$4:$M$4 = $S$2), 'ж.д.'!$B$6:$M$14)), "-")</f>
        <v>109595</v>
      </c>
      <c r="K27" s="149" cm="1">
        <f t="array" aca="1" ref="K27" ca="1">IFERROR(_xlfn.XLOOKUP(1,  ('ж.д.'!$A$6:$A$14 = $D27) * 1,  _xlfn.XLOOKUP(1,  ('ж.д.'!$B$5:$M$5 = K$2) * ('ж.д.'!$B$4:$M$4 = $S$2), 'ж.д.'!$B$6:$M$14)), "-")</f>
        <v>195500</v>
      </c>
      <c r="L27" s="149" cm="1">
        <f t="array" aca="1" ref="L27" ca="1">IF(ISNUMBER(SEARCH("Транс",$C27)),_xlfn.XLOOKUP(1,('Фрахт Транс'!$A$5:$A$10=$D27)*1,_xlfn.XLOOKUP(1,('Фрахт Транс'!$B$3:$M$3 = $S$2)*('Фрахт Транс'!$B$4:$M$4=L$2),'Фрахт Транс'!$B$5:$M$10)),SUM($E27, $G27, $I27, $O27))</f>
        <v>430489</v>
      </c>
      <c r="M27" s="149" cm="1">
        <f t="array" aca="1" ref="M27" ca="1">IF(ISNUMBER(SEARCH("Транс",$C27)),_xlfn.XLOOKUP(1,('Фрахт Транс'!$A$5:$A$10=$D27)*1,_xlfn.XLOOKUP(1,('Фрахт Транс'!$B$3:$M$3=$S$2)*('Фрахт Транс'!$B$4:$M$4=M$2),'Фрахт Транс'!$B$5:$M$10)),SUM($E27, $G27, $J27, $O27))</f>
        <v>442784</v>
      </c>
      <c r="N27" s="149" cm="1">
        <f t="array" aca="1" ref="N27" ca="1">IF(ISNUMBER(SEARCH("Транс",$C27)),_xlfn.XLOOKUP(1,('Фрахт Транс'!$A$5:$A$10=$D27)*1,_xlfn.XLOOKUP(1,('Фрахт Транс'!$B$3:$M$3=$S$2)*('Фрахт Транс'!$B$4:$M$4=N$2),'Фрахт Транс'!$B$5:$M$10)),SUM($F27, $H27, $K27, $P27))</f>
        <v>651189</v>
      </c>
      <c r="O27" s="149" cm="1">
        <f t="array" aca="1" ref="O27" ca="1">IFERROR(_xlfn.XLOOKUP(1,  (Охрана!$A$6:$A$14 = $D27) * 1,  _xlfn.XLOOKUP(1,  (Охрана!$B$5:$M$5 = O$2) * (Охрана!$B$4:$M$4 = $S$2), Охрана!$B$6:$M$14)), "-")</f>
        <v>3189</v>
      </c>
      <c r="P27" s="194" cm="1">
        <f t="array" aca="1" ref="P27" ca="1">IFERROR(_xlfn.XLOOKUP(1,  (Охрана!$A$6:$A$14 = $D27) * 1,  _xlfn.XLOOKUP(1,  (Охрана!$B$5:$M$5 = P$2) * (Охрана!$B$4:$M$4 = $S$2), Охрана!$B$6:$M$14)), "-")</f>
        <v>5689</v>
      </c>
      <c r="Q27" s="282"/>
      <c r="R27" s="91"/>
      <c r="AB27" s="5"/>
    </row>
    <row r="28" spans="1:28" ht="15" customHeight="1" thickBot="1" x14ac:dyDescent="0.3">
      <c r="A28" s="213" t="s">
        <v>15</v>
      </c>
      <c r="B28" s="288"/>
      <c r="C28" s="42" t="s">
        <v>12</v>
      </c>
      <c r="D28" s="32" t="s">
        <v>55</v>
      </c>
      <c r="E28" s="149" cm="1">
        <f t="array" ref="E28">IFERROR(_xlfn.XLOOKUP(1, (Фрахт!$A$5:$A$80 = $A28)* (Фрахт!$B$5:$B$80 = $C28) * (Фрахт!$C$5:$C$80 =$D28),  _xlfn.XLOOKUP(1,  (Фрахт!$D$4:$E$4 = E$2) * 1, Фрахт!$D$5:$E$80)) *  $S$1, "-")</f>
        <v>330000</v>
      </c>
      <c r="F28" s="149" cm="1">
        <f t="array" ref="F28">IFERROR(_xlfn.XLOOKUP(1, (Фрахт!$A$5:$A$80 = $A28)* (Фрахт!$B$5:$B$80 = $C28) * (Фрахт!$C$5:$C$80 =$D28),  _xlfn.XLOOKUP(1,  (Фрахт!$D$4:$E$4 = F$2) * 1, Фрахт!$D$5:$E$80)) *  $S$1, "-")</f>
        <v>450000</v>
      </c>
      <c r="G28" s="149" cm="1">
        <f t="array" aca="1" ref="G28" ca="1">IFERROR(_xlfn.XLOOKUP(1,  ('Drop off'!$A$6:$A$14 = $C28) * 1,  _xlfn.XLOOKUP(1,  ('Drop off'!$B$5:$I$5 = G$2) * ('Drop off'!$B$4:$I$4 = $S$2), 'Drop off'!$B$6:$I$14)) * $S$1, "-")</f>
        <v>0</v>
      </c>
      <c r="H28" s="149" cm="1">
        <f t="array" aca="1" ref="H28" ca="1">IFERROR(_xlfn.XLOOKUP(1,  ('Drop off'!$A$6:$A$14 = $C28) * 1,  _xlfn.XLOOKUP(1,  ('Drop off'!$B$5:$I$5 = H$2) * ('Drop off'!$B$4:$I$4 = $S$2), 'Drop off'!$B$6:$I$14)) * $S$1, "-")</f>
        <v>0</v>
      </c>
      <c r="I28" s="149" cm="1">
        <f t="array" aca="1" ref="I28" ca="1">IFERROR(_xlfn.XLOOKUP(1,  ('ж.д.'!$A$6:$A$14 = $D28) * 1,  _xlfn.XLOOKUP(1,  ('ж.д.'!$B$5:$M$5 = I$2) * ('ж.д.'!$B$4:$M$4 = $S$2), 'ж.д.'!$B$6:$M$14)), "-")</f>
        <v>102705</v>
      </c>
      <c r="J28" s="149" cm="1">
        <f t="array" aca="1" ref="J28" ca="1">IFERROR(_xlfn.XLOOKUP(1,  ('ж.д.'!$A$6:$A$14 = $D28) * 1,  _xlfn.XLOOKUP(1,  ('ж.д.'!$B$5:$M$5 = J$2) * ('ж.д.'!$B$4:$M$4 = $S$2), 'ж.д.'!$B$6:$M$14)), "-")</f>
        <v>117975</v>
      </c>
      <c r="K28" s="149" cm="1">
        <f t="array" aca="1" ref="K28" ca="1">IFERROR(_xlfn.XLOOKUP(1,  ('ж.д.'!$A$6:$A$14 = $D28) * 1,  _xlfn.XLOOKUP(1,  ('ж.д.'!$B$5:$M$5 = K$2) * ('ж.д.'!$B$4:$M$4 = $S$2), 'ж.д.'!$B$6:$M$14)), "-")</f>
        <v>205870</v>
      </c>
      <c r="L28" s="149" cm="1">
        <f t="array" aca="1" ref="L28" ca="1">IF(ISNUMBER(SEARCH("Транс",$C28)),_xlfn.XLOOKUP(1,('Фрахт Транс'!$A$5:$A$10=$D28)*1,_xlfn.XLOOKUP(1,('Фрахт Транс'!$B$3:$M$3 = $S$2)*('Фрахт Транс'!$B$4:$M$4=L$2),'Фрахт Транс'!$B$5:$M$10)),SUM($E28, $G28, $I28, $O28))</f>
        <v>435894</v>
      </c>
      <c r="M28" s="149" cm="1">
        <f t="array" aca="1" ref="M28" ca="1">IF(ISNUMBER(SEARCH("Транс",$C28)),_xlfn.XLOOKUP(1,('Фрахт Транс'!$A$5:$A$10=$D28)*1,_xlfn.XLOOKUP(1,('Фрахт Транс'!$B$3:$M$3=$S$2)*('Фрахт Транс'!$B$4:$M$4=M$2),'Фрахт Транс'!$B$5:$M$10)),SUM($E28, $G28, $J28, $O28))</f>
        <v>451164</v>
      </c>
      <c r="N28" s="149" cm="1">
        <f t="array" aca="1" ref="N28" ca="1">IF(ISNUMBER(SEARCH("Транс",$C28)),_xlfn.XLOOKUP(1,('Фрахт Транс'!$A$5:$A$10=$D28)*1,_xlfn.XLOOKUP(1,('Фрахт Транс'!$B$3:$M$3=$S$2)*('Фрахт Транс'!$B$4:$M$4=N$2),'Фрахт Транс'!$B$5:$M$10)),SUM($F28, $H28, $K28, $P28))</f>
        <v>661559</v>
      </c>
      <c r="O28" s="149" cm="1">
        <f t="array" aca="1" ref="O28" ca="1">IFERROR(_xlfn.XLOOKUP(1,  (Охрана!$A$6:$A$14 = $D28) * 1,  _xlfn.XLOOKUP(1,  (Охрана!$B$5:$M$5 = O$2) * (Охрана!$B$4:$M$4 = $S$2), Охрана!$B$6:$M$14)), "-")</f>
        <v>3189</v>
      </c>
      <c r="P28" s="194" cm="1">
        <f t="array" aca="1" ref="P28" ca="1">IFERROR(_xlfn.XLOOKUP(1,  (Охрана!$A$6:$A$14 = $D28) * 1,  _xlfn.XLOOKUP(1,  (Охрана!$B$5:$M$5 = P$2) * (Охрана!$B$4:$M$4 = $S$2), Охрана!$B$6:$M$14)), "-")</f>
        <v>5689</v>
      </c>
      <c r="Q28" s="282"/>
      <c r="R28" s="3"/>
      <c r="AB28" s="5"/>
    </row>
    <row r="29" spans="1:28" ht="15" customHeight="1" thickBot="1" x14ac:dyDescent="0.3">
      <c r="A29" s="213" t="s">
        <v>15</v>
      </c>
      <c r="B29" s="288"/>
      <c r="C29" s="41" t="s">
        <v>35</v>
      </c>
      <c r="D29" s="40" t="s">
        <v>11</v>
      </c>
      <c r="E29" s="150" cm="1">
        <f t="array" ref="E29">IFERROR(_xlfn.XLOOKUP(1, (Фрахт!$A$5:$A$80 = $A29)* (Фрахт!$B$5:$B$80 = $C29) * (Фрахт!$C$5:$C$80 =$D29),  _xlfn.XLOOKUP(1,  (Фрахт!$D$4:$E$4 = E$2) * 1, Фрахт!$D$5:$E$80)) *  $S$1, "-")</f>
        <v>283500</v>
      </c>
      <c r="F29" s="150" cm="1">
        <f t="array" ref="F29">IFERROR(_xlfn.XLOOKUP(1, (Фрахт!$A$5:$A$80 = $A29)* (Фрахт!$B$5:$B$80 = $C29) * (Фрахт!$C$5:$C$80 =$D29),  _xlfn.XLOOKUP(1,  (Фрахт!$D$4:$E$4 = F$2) * 1, Фрахт!$D$5:$E$80)) *  $S$1, "-")</f>
        <v>472500</v>
      </c>
      <c r="G29" s="150" cm="1">
        <f t="array" aca="1" ref="G29" ca="1">IFERROR(_xlfn.XLOOKUP(1,  ('Drop off'!$A$6:$A$14 = $C29) * 1,  _xlfn.XLOOKUP(1,  ('Drop off'!$B$5:$I$5 = G$2) * ('Drop off'!$B$4:$I$4 = $S$2), 'Drop off'!$B$6:$I$14)) * $S$1, "-")</f>
        <v>37800</v>
      </c>
      <c r="H29" s="150" cm="1">
        <f t="array" aca="1" ref="H29" ca="1">IFERROR(_xlfn.XLOOKUP(1,  ('Drop off'!$A$6:$A$14 = $C29) * 1,  _xlfn.XLOOKUP(1,  ('Drop off'!$B$5:$I$5 = H$2) * ('Drop off'!$B$4:$I$4 = $S$2), 'Drop off'!$B$6:$I$14)) * $S$1, "-")</f>
        <v>56700</v>
      </c>
      <c r="I29" s="150" cm="1">
        <f t="array" aca="1" ref="I29" ca="1">IFERROR(_xlfn.XLOOKUP(1,  ('ж.д.'!$A$6:$A$14 = $D29) * 1,  _xlfn.XLOOKUP(1,  ('ж.д.'!$B$5:$M$5 = I$2) * ('ж.д.'!$B$4:$M$4 = $S$2), 'ж.д.'!$B$6:$M$14)), "-")</f>
        <v>105900</v>
      </c>
      <c r="J29" s="150" cm="1">
        <f t="array" aca="1" ref="J29" ca="1">IFERROR(_xlfn.XLOOKUP(1,  ('ж.д.'!$A$6:$A$14 = $D29) * 1,  _xlfn.XLOOKUP(1,  ('ж.д.'!$B$5:$M$5 = J$2) * ('ж.д.'!$B$4:$M$4 = $S$2), 'ж.д.'!$B$6:$M$14)), "-")</f>
        <v>122100</v>
      </c>
      <c r="K29" s="150" cm="1">
        <f t="array" aca="1" ref="K29" ca="1">IFERROR(_xlfn.XLOOKUP(1,  ('ж.д.'!$A$6:$A$14 = $D29) * 1,  _xlfn.XLOOKUP(1,  ('ж.д.'!$B$5:$M$5 = K$2) * ('ж.д.'!$B$4:$M$4 = $S$2), 'ж.д.'!$B$6:$M$14)), "-")</f>
        <v>196200</v>
      </c>
      <c r="L29" s="150" cm="1">
        <f t="array" aca="1" ref="L29" ca="1">IF(ISNUMBER(SEARCH("Транс",$C29)),_xlfn.XLOOKUP(1,('Фрахт Транс'!$A$5:$A$10=$D29)*1,_xlfn.XLOOKUP(1,('Фрахт Транс'!$B$3:$M$3 = $S$2)*('Фрахт Транс'!$B$4:$M$4=L$2),'Фрахт Транс'!$B$5:$M$10)),SUM($E29, $G29, $I29, $O29))</f>
        <v>429639</v>
      </c>
      <c r="M29" s="150" cm="1">
        <f t="array" aca="1" ref="M29" ca="1">IF(ISNUMBER(SEARCH("Транс",$C29)),_xlfn.XLOOKUP(1,('Фрахт Транс'!$A$5:$A$10=$D29)*1,_xlfn.XLOOKUP(1,('Фрахт Транс'!$B$3:$M$3=$S$2)*('Фрахт Транс'!$B$4:$M$4=M$2),'Фрахт Транс'!$B$5:$M$10)),SUM($E29, $G29, $J29, $O29))</f>
        <v>445839</v>
      </c>
      <c r="N29" s="150" cm="1">
        <f t="array" aca="1" ref="N29" ca="1">IF(ISNUMBER(SEARCH("Транс",$C29)),_xlfn.XLOOKUP(1,('Фрахт Транс'!$A$5:$A$10=$D29)*1,_xlfn.XLOOKUP(1,('Фрахт Транс'!$B$3:$M$3=$S$2)*('Фрахт Транс'!$B$4:$M$4=N$2),'Фрахт Транс'!$B$5:$M$10)),SUM($F29, $H29, $K29, $P29))</f>
        <v>730339</v>
      </c>
      <c r="O29" s="150" cm="1">
        <f t="array" aca="1" ref="O29" ca="1">IFERROR(_xlfn.XLOOKUP(1,  (Охрана!$A$6:$A$14 = $D29) * 1,  _xlfn.XLOOKUP(1,  (Охрана!$B$5:$M$5 = O$2) * (Охрана!$B$4:$M$4 = $S$2), Охрана!$B$6:$M$14)), "-")</f>
        <v>2439</v>
      </c>
      <c r="P29" s="195" cm="1">
        <f t="array" aca="1" ref="P29" ca="1">IFERROR(_xlfn.XLOOKUP(1,  (Охрана!$A$6:$A$14 = $D29) * 1,  _xlfn.XLOOKUP(1,  (Охрана!$B$5:$M$5 = P$2) * (Охрана!$B$4:$M$4 = $S$2), Охрана!$B$6:$M$14)), "-")</f>
        <v>4939</v>
      </c>
      <c r="Q29" s="286"/>
      <c r="R29" s="4"/>
      <c r="AB29" s="5"/>
    </row>
    <row r="30" spans="1:28" ht="15" customHeight="1" thickBot="1" x14ac:dyDescent="0.3">
      <c r="A30" s="213" t="s">
        <v>15</v>
      </c>
      <c r="B30" s="288"/>
      <c r="C30" s="41" t="s">
        <v>35</v>
      </c>
      <c r="D30" s="40" t="s">
        <v>34</v>
      </c>
      <c r="E30" s="150" cm="1">
        <f t="array" ref="E30">IFERROR(_xlfn.XLOOKUP(1, (Фрахт!$A$5:$A$80 = $A30)* (Фрахт!$B$5:$B$80 = $C30) * (Фрахт!$C$5:$C$80 =$D30),  _xlfn.XLOOKUP(1,  (Фрахт!$D$4:$E$4 = E$2) * 1, Фрахт!$D$5:$E$80)) *  $S$1, "-")</f>
        <v>283500</v>
      </c>
      <c r="F30" s="150" cm="1">
        <f t="array" ref="F30">IFERROR(_xlfn.XLOOKUP(1, (Фрахт!$A$5:$A$80 = $A30)* (Фрахт!$B$5:$B$80 = $C30) * (Фрахт!$C$5:$C$80 =$D30),  _xlfn.XLOOKUP(1,  (Фрахт!$D$4:$E$4 = F$2) * 1, Фрахт!$D$5:$E$80)) *  $S$1, "-")</f>
        <v>472500</v>
      </c>
      <c r="G30" s="150" cm="1">
        <f t="array" aca="1" ref="G30" ca="1">IFERROR(_xlfn.XLOOKUP(1,  ('Drop off'!$A$6:$A$14 = $C30) * 1,  _xlfn.XLOOKUP(1,  ('Drop off'!$B$5:$I$5 = G$2) * ('Drop off'!$B$4:$I$4 = $S$2), 'Drop off'!$B$6:$I$14)) * $S$1, "-")</f>
        <v>37800</v>
      </c>
      <c r="H30" s="150" cm="1">
        <f t="array" aca="1" ref="H30" ca="1">IFERROR(_xlfn.XLOOKUP(1,  ('Drop off'!$A$6:$A$14 = $C30) * 1,  _xlfn.XLOOKUP(1,  ('Drop off'!$B$5:$I$5 = H$2) * ('Drop off'!$B$4:$I$4 = $S$2), 'Drop off'!$B$6:$I$14)) * $S$1, "-")</f>
        <v>56700</v>
      </c>
      <c r="I30" s="150" cm="1">
        <f t="array" aca="1" ref="I30" ca="1">IFERROR(_xlfn.XLOOKUP(1,  ('ж.д.'!$A$6:$A$14 = $D30) * 1,  _xlfn.XLOOKUP(1,  ('ж.д.'!$B$5:$M$5 = I$2) * ('ж.д.'!$B$4:$M$4 = $S$2), 'ж.д.'!$B$6:$M$14)), "-")</f>
        <v>108400</v>
      </c>
      <c r="J30" s="150" cm="1">
        <f t="array" aca="1" ref="J30" ca="1">IFERROR(_xlfn.XLOOKUP(1,  ('ж.д.'!$A$6:$A$14 = $D30) * 1,  _xlfn.XLOOKUP(1,  ('ж.д.'!$B$5:$M$5 = J$2) * ('ж.д.'!$B$4:$M$4 = $S$2), 'ж.д.'!$B$6:$M$14)), "-")</f>
        <v>122400</v>
      </c>
      <c r="K30" s="150" cm="1">
        <f t="array" aca="1" ref="K30" ca="1">IFERROR(_xlfn.XLOOKUP(1,  ('ж.д.'!$A$6:$A$14 = $D30) * 1,  _xlfn.XLOOKUP(1,  ('ж.д.'!$B$5:$M$5 = K$2) * ('ж.д.'!$B$4:$M$4 = $S$2), 'ж.д.'!$B$6:$M$14)), "-")</f>
        <v>200400</v>
      </c>
      <c r="L30" s="150" cm="1">
        <f t="array" aca="1" ref="L30" ca="1">IF(ISNUMBER(SEARCH("Транс",$C30)),_xlfn.XLOOKUP(1,('Фрахт Транс'!$A$5:$A$10=$D30)*1,_xlfn.XLOOKUP(1,('Фрахт Транс'!$B$3:$M$3 = $S$2)*('Фрахт Транс'!$B$4:$M$4=L$2),'Фрахт Транс'!$B$5:$M$10)),SUM($E30, $G30, $I30, $O30))</f>
        <v>432139</v>
      </c>
      <c r="M30" s="150" cm="1">
        <f t="array" aca="1" ref="M30" ca="1">IF(ISNUMBER(SEARCH("Транс",$C30)),_xlfn.XLOOKUP(1,('Фрахт Транс'!$A$5:$A$10=$D30)*1,_xlfn.XLOOKUP(1,('Фрахт Транс'!$B$3:$M$3=$S$2)*('Фрахт Транс'!$B$4:$M$4=M$2),'Фрахт Транс'!$B$5:$M$10)),SUM($E30, $G30, $J30, $O30))</f>
        <v>446139</v>
      </c>
      <c r="N30" s="150" cm="1">
        <f t="array" aca="1" ref="N30" ca="1">IF(ISNUMBER(SEARCH("Транс",$C30)),_xlfn.XLOOKUP(1,('Фрахт Транс'!$A$5:$A$10=$D30)*1,_xlfn.XLOOKUP(1,('Фрахт Транс'!$B$3:$M$3=$S$2)*('Фрахт Транс'!$B$4:$M$4=N$2),'Фрахт Транс'!$B$5:$M$10)),SUM($F30, $H30, $K30, $P30))</f>
        <v>734539</v>
      </c>
      <c r="O30" s="150" cm="1">
        <f t="array" aca="1" ref="O30" ca="1">IFERROR(_xlfn.XLOOKUP(1,  (Охрана!$A$6:$A$14 = $D30) * 1,  _xlfn.XLOOKUP(1,  (Охрана!$B$5:$M$5 = O$2) * (Охрана!$B$4:$M$4 = $S$2), Охрана!$B$6:$M$14)), "-")</f>
        <v>2439</v>
      </c>
      <c r="P30" s="195" cm="1">
        <f t="array" aca="1" ref="P30" ca="1">IFERROR(_xlfn.XLOOKUP(1,  (Охрана!$A$6:$A$14 = $D30) * 1,  _xlfn.XLOOKUP(1,  (Охрана!$B$5:$M$5 = P$2) * (Охрана!$B$4:$M$4 = $S$2), Охрана!$B$6:$M$14)), "-")</f>
        <v>4939</v>
      </c>
      <c r="Q30" s="286"/>
      <c r="R30" s="4"/>
      <c r="AB30" s="5"/>
    </row>
    <row r="31" spans="1:28" ht="15.75" customHeight="1" thickBot="1" x14ac:dyDescent="0.3">
      <c r="A31" s="213" t="s">
        <v>15</v>
      </c>
      <c r="B31" s="288"/>
      <c r="C31" s="41" t="s">
        <v>35</v>
      </c>
      <c r="D31" s="40" t="s">
        <v>10</v>
      </c>
      <c r="E31" s="150" cm="1">
        <f t="array" ref="E31">IFERROR(_xlfn.XLOOKUP(1, (Фрахт!$A$5:$A$80 = $A31)* (Фрахт!$B$5:$B$80 = $C31) * (Фрахт!$C$5:$C$80 =$D31),  _xlfn.XLOOKUP(1,  (Фрахт!$D$4:$E$4 = E$2) * 1, Фрахт!$D$5:$E$80)) *  $S$1, "-")</f>
        <v>283500</v>
      </c>
      <c r="F31" s="150" cm="1">
        <f t="array" ref="F31">IFERROR(_xlfn.XLOOKUP(1, (Фрахт!$A$5:$A$80 = $A31)* (Фрахт!$B$5:$B$80 = $C31) * (Фрахт!$C$5:$C$80 =$D31),  _xlfn.XLOOKUP(1,  (Фрахт!$D$4:$E$4 = F$2) * 1, Фрахт!$D$5:$E$80)) *  $S$1, "-")</f>
        <v>472500</v>
      </c>
      <c r="G31" s="150" cm="1">
        <f t="array" aca="1" ref="G31" ca="1">IFERROR(_xlfn.XLOOKUP(1,  ('Drop off'!$A$6:$A$14 = $C31) * 1,  _xlfn.XLOOKUP(1,  ('Drop off'!$B$5:$I$5 = G$2) * ('Drop off'!$B$4:$I$4 = $S$2), 'Drop off'!$B$6:$I$14)) * $S$1, "-")</f>
        <v>37800</v>
      </c>
      <c r="H31" s="150" cm="1">
        <f t="array" aca="1" ref="H31" ca="1">IFERROR(_xlfn.XLOOKUP(1,  ('Drop off'!$A$6:$A$14 = $C31) * 1,  _xlfn.XLOOKUP(1,  ('Drop off'!$B$5:$I$5 = H$2) * ('Drop off'!$B$4:$I$4 = $S$2), 'Drop off'!$B$6:$I$14)) * $S$1, "-")</f>
        <v>56700</v>
      </c>
      <c r="I31" s="150" cm="1">
        <f t="array" aca="1" ref="I31" ca="1">IFERROR(_xlfn.XLOOKUP(1,  ('ж.д.'!$A$6:$A$14 = $D31) * 1,  _xlfn.XLOOKUP(1,  ('ж.д.'!$B$5:$M$5 = I$2) * ('ж.д.'!$B$4:$M$4 = $S$2), 'ж.д.'!$B$6:$M$14)), "-")</f>
        <v>109000</v>
      </c>
      <c r="J31" s="150" cm="1">
        <f t="array" aca="1" ref="J31" ca="1">IFERROR(_xlfn.XLOOKUP(1,  ('ж.д.'!$A$6:$A$14 = $D31) * 1,  _xlfn.XLOOKUP(1,  ('ж.д.'!$B$5:$M$5 = J$2) * ('ж.д.'!$B$4:$M$4 = $S$2), 'ж.д.'!$B$6:$M$14)), "-")</f>
        <v>122755</v>
      </c>
      <c r="K31" s="150" cm="1">
        <f t="array" aca="1" ref="K31" ca="1">IFERROR(_xlfn.XLOOKUP(1,  ('ж.д.'!$A$6:$A$14 = $D31) * 1,  _xlfn.XLOOKUP(1,  ('ж.д.'!$B$5:$M$5 = K$2) * ('ж.д.'!$B$4:$M$4 = $S$2), 'ж.д.'!$B$6:$M$14)), "-")</f>
        <v>203500</v>
      </c>
      <c r="L31" s="150" cm="1">
        <f t="array" aca="1" ref="L31" ca="1">IF(ISNUMBER(SEARCH("Транс",$C31)),_xlfn.XLOOKUP(1,('Фрахт Транс'!$A$5:$A$10=$D31)*1,_xlfn.XLOOKUP(1,('Фрахт Транс'!$B$3:$M$3 = $S$2)*('Фрахт Транс'!$B$4:$M$4=L$2),'Фрахт Транс'!$B$5:$M$10)),SUM($E31, $G31, $I31, $O31))</f>
        <v>433489</v>
      </c>
      <c r="M31" s="150" cm="1">
        <f t="array" aca="1" ref="M31" ca="1">IF(ISNUMBER(SEARCH("Транс",$C31)),_xlfn.XLOOKUP(1,('Фрахт Транс'!$A$5:$A$10=$D31)*1,_xlfn.XLOOKUP(1,('Фрахт Транс'!$B$3:$M$3=$S$2)*('Фрахт Транс'!$B$4:$M$4=M$2),'Фрахт Транс'!$B$5:$M$10)),SUM($E31, $G31, $J31, $O31))</f>
        <v>447244</v>
      </c>
      <c r="N31" s="150" cm="1">
        <f t="array" aca="1" ref="N31" ca="1">IF(ISNUMBER(SEARCH("Транс",$C31)),_xlfn.XLOOKUP(1,('Фрахт Транс'!$A$5:$A$10=$D31)*1,_xlfn.XLOOKUP(1,('Фрахт Транс'!$B$3:$M$3=$S$2)*('Фрахт Транс'!$B$4:$M$4=N$2),'Фрахт Транс'!$B$5:$M$10)),SUM($F31, $H31, $K31, $P31))</f>
        <v>738389</v>
      </c>
      <c r="O31" s="150" cm="1">
        <f t="array" aca="1" ref="O31" ca="1">IFERROR(_xlfn.XLOOKUP(1,  (Охрана!$A$6:$A$14 = $D31) * 1,  _xlfn.XLOOKUP(1,  (Охрана!$B$5:$M$5 = O$2) * (Охрана!$B$4:$M$4 = $S$2), Охрана!$B$6:$M$14)), "-")</f>
        <v>3189</v>
      </c>
      <c r="P31" s="195" cm="1">
        <f t="array" aca="1" ref="P31" ca="1">IFERROR(_xlfn.XLOOKUP(1,  (Охрана!$A$6:$A$14 = $D31) * 1,  _xlfn.XLOOKUP(1,  (Охрана!$B$5:$M$5 = P$2) * (Охрана!$B$4:$M$4 = $S$2), Охрана!$B$6:$M$14)), "-")</f>
        <v>5689</v>
      </c>
      <c r="Q31" s="286"/>
      <c r="AB31" s="5"/>
    </row>
    <row r="32" spans="1:28" ht="15" customHeight="1" thickBot="1" x14ac:dyDescent="0.3">
      <c r="A32" s="213" t="s">
        <v>15</v>
      </c>
      <c r="B32" s="288"/>
      <c r="C32" s="41" t="s">
        <v>35</v>
      </c>
      <c r="D32" s="40" t="s">
        <v>7</v>
      </c>
      <c r="E32" s="150" cm="1">
        <f t="array" ref="E32">IFERROR(_xlfn.XLOOKUP(1, (Фрахт!$A$5:$A$80 = $A32)* (Фрахт!$B$5:$B$80 = $C32) * (Фрахт!$C$5:$C$80 =$D32),  _xlfn.XLOOKUP(1,  (Фрахт!$D$4:$E$4 = E$2) * 1, Фрахт!$D$5:$E$80)) *  $S$1, "-")</f>
        <v>283500</v>
      </c>
      <c r="F32" s="150" cm="1">
        <f t="array" ref="F32">IFERROR(_xlfn.XLOOKUP(1, (Фрахт!$A$5:$A$80 = $A32)* (Фрахт!$B$5:$B$80 = $C32) * (Фрахт!$C$5:$C$80 =$D32),  _xlfn.XLOOKUP(1,  (Фрахт!$D$4:$E$4 = F$2) * 1, Фрахт!$D$5:$E$80)) *  $S$1, "-")</f>
        <v>472500</v>
      </c>
      <c r="G32" s="150" cm="1">
        <f t="array" aca="1" ref="G32" ca="1">IFERROR(_xlfn.XLOOKUP(1,  ('Drop off'!$A$6:$A$14 = $C32) * 1,  _xlfn.XLOOKUP(1,  ('Drop off'!$B$5:$I$5 = G$2) * ('Drop off'!$B$4:$I$4 = $S$2), 'Drop off'!$B$6:$I$14)) * $S$1, "-")</f>
        <v>37800</v>
      </c>
      <c r="H32" s="150" cm="1">
        <f t="array" aca="1" ref="H32" ca="1">IFERROR(_xlfn.XLOOKUP(1,  ('Drop off'!$A$6:$A$14 = $C32) * 1,  _xlfn.XLOOKUP(1,  ('Drop off'!$B$5:$I$5 = H$2) * ('Drop off'!$B$4:$I$4 = $S$2), 'Drop off'!$B$6:$I$14)) * $S$1, "-")</f>
        <v>56700</v>
      </c>
      <c r="I32" s="150" cm="1">
        <f t="array" aca="1" ref="I32" ca="1">IFERROR(_xlfn.XLOOKUP(1,  ('ж.д.'!$A$6:$A$14 = $D32) * 1,  _xlfn.XLOOKUP(1,  ('ж.д.'!$B$5:$M$5 = I$2) * ('ж.д.'!$B$4:$M$4 = $S$2), 'ж.д.'!$B$6:$M$14)), "-")</f>
        <v>105000</v>
      </c>
      <c r="J32" s="150" cm="1">
        <f t="array" aca="1" ref="J32" ca="1">IFERROR(_xlfn.XLOOKUP(1,  ('ж.д.'!$A$6:$A$14 = $D32) * 1,  _xlfn.XLOOKUP(1,  ('ж.д.'!$B$5:$M$5 = J$2) * ('ж.д.'!$B$4:$M$4 = $S$2), 'ж.д.'!$B$6:$M$14)), "-")</f>
        <v>120000</v>
      </c>
      <c r="K32" s="150" cm="1">
        <f t="array" aca="1" ref="K32" ca="1">IFERROR(_xlfn.XLOOKUP(1,  ('ж.д.'!$A$6:$A$14 = $D32) * 1,  _xlfn.XLOOKUP(1,  ('ж.д.'!$B$5:$M$5 = K$2) * ('ж.д.'!$B$4:$M$4 = $S$2), 'ж.д.'!$B$6:$M$14)), "-")</f>
        <v>192000</v>
      </c>
      <c r="L32" s="150" cm="1">
        <f t="array" aca="1" ref="L32" ca="1">IF(ISNUMBER(SEARCH("Транс",$C32)),_xlfn.XLOOKUP(1,('Фрахт Транс'!$A$5:$A$10=$D32)*1,_xlfn.XLOOKUP(1,('Фрахт Транс'!$B$3:$M$3 = $S$2)*('Фрахт Транс'!$B$4:$M$4=L$2),'Фрахт Транс'!$B$5:$M$10)),SUM($E32, $G32, $I32, $O32))</f>
        <v>429300</v>
      </c>
      <c r="M32" s="150" cm="1">
        <f t="array" aca="1" ref="M32" ca="1">IF(ISNUMBER(SEARCH("Транс",$C32)),_xlfn.XLOOKUP(1,('Фрахт Транс'!$A$5:$A$10=$D32)*1,_xlfn.XLOOKUP(1,('Фрахт Транс'!$B$3:$M$3=$S$2)*('Фрахт Транс'!$B$4:$M$4=M$2),'Фрахт Транс'!$B$5:$M$10)),SUM($E32, $G32, $J32, $O32))</f>
        <v>444300</v>
      </c>
      <c r="N32" s="150" cm="1">
        <f t="array" aca="1" ref="N32" ca="1">IF(ISNUMBER(SEARCH("Транс",$C32)),_xlfn.XLOOKUP(1,('Фрахт Транс'!$A$5:$A$10=$D32)*1,_xlfn.XLOOKUP(1,('Фрахт Транс'!$B$3:$M$3=$S$2)*('Фрахт Транс'!$B$4:$M$4=N$2),'Фрахт Транс'!$B$5:$M$10)),SUM($F32, $H32, $K32, $P32))</f>
        <v>727200</v>
      </c>
      <c r="O32" s="150" cm="1">
        <f t="array" aca="1" ref="O32" ca="1">IFERROR(_xlfn.XLOOKUP(1,  (Охрана!$A$6:$A$14 = $D32) * 1,  _xlfn.XLOOKUP(1,  (Охрана!$B$5:$M$5 = O$2) * (Охрана!$B$4:$M$4 = $S$2), Охрана!$B$6:$M$14)), "-")</f>
        <v>3000</v>
      </c>
      <c r="P32" s="195" cm="1">
        <f t="array" aca="1" ref="P32" ca="1">IFERROR(_xlfn.XLOOKUP(1,  (Охрана!$A$6:$A$14 = $D32) * 1,  _xlfn.XLOOKUP(1,  (Охрана!$B$5:$M$5 = P$2) * (Охрана!$B$4:$M$4 = $S$2), Охрана!$B$6:$M$14)), "-")</f>
        <v>6000</v>
      </c>
      <c r="Q32" s="286"/>
      <c r="R32" s="4"/>
      <c r="AB32" s="5"/>
    </row>
    <row r="33" spans="1:28" ht="16.5" thickBot="1" x14ac:dyDescent="0.3">
      <c r="A33" s="213" t="s">
        <v>15</v>
      </c>
      <c r="B33" s="288"/>
      <c r="C33" s="50" t="s">
        <v>36</v>
      </c>
      <c r="D33" s="50" t="s">
        <v>21</v>
      </c>
      <c r="E33" s="151" cm="1">
        <f t="array" ref="E33">IFERROR(_xlfn.XLOOKUP(1, (Фрахт!$A$5:$A$80 = $A33)* (Фрахт!$B$5:$B$80 = $C33) * (Фрахт!$C$5:$C$80 =$D33),  _xlfn.XLOOKUP(1,  (Фрахт!$D$4:$E$4 = E$2) * 1, Фрахт!$D$5:$E$80)) *  $S$1, "-")</f>
        <v>245160</v>
      </c>
      <c r="F33" s="151" cm="1">
        <f t="array" ref="F33">IFERROR(_xlfn.XLOOKUP(1, (Фрахт!$A$5:$A$80 = $A33)* (Фрахт!$B$5:$B$80 = $C33) * (Фрахт!$C$5:$C$80 =$D33),  _xlfn.XLOOKUP(1,  (Фрахт!$D$4:$E$4 = F$2) * 1, Фрахт!$D$5:$E$80)) *  $S$1, "-")</f>
        <v>412320</v>
      </c>
      <c r="G33" s="151" cm="1">
        <f t="array" aca="1" ref="G33" ca="1">IFERROR(_xlfn.XLOOKUP(1,  ('Drop off'!$A$6:$A$14 = $C33) * 1,  _xlfn.XLOOKUP(1,  ('Drop off'!$B$5:$I$5 = G$2) * ('Drop off'!$B$4:$I$4 = $S$2), 'Drop off'!$B$6:$I$14)) * $S$1, "-")</f>
        <v>18000</v>
      </c>
      <c r="H33" s="151" cm="1">
        <f t="array" aca="1" ref="H33" ca="1">IFERROR(_xlfn.XLOOKUP(1,  ('Drop off'!$A$6:$A$14 = $C33) * 1,  _xlfn.XLOOKUP(1,  ('Drop off'!$B$5:$I$5 = H$2) * ('Drop off'!$B$4:$I$4 = $S$2), 'Drop off'!$B$6:$I$14)) * $S$1, "-")</f>
        <v>18000</v>
      </c>
      <c r="I33" s="151" cm="1">
        <f t="array" aca="1" ref="I33" ca="1">IFERROR(_xlfn.XLOOKUP(1,  ('ж.д.'!$A$6:$A$14 = $D33) * 1,  _xlfn.XLOOKUP(1,  ('ж.д.'!$B$5:$M$5 = I$2) * ('ж.д.'!$B$4:$M$4 = $S$2), 'ж.д.'!$B$6:$M$14)), "-")</f>
        <v>108400</v>
      </c>
      <c r="J33" s="151" cm="1">
        <f t="array" aca="1" ref="J33" ca="1">IFERROR(_xlfn.XLOOKUP(1,  ('ж.д.'!$A$6:$A$14 = $D33) * 1,  _xlfn.XLOOKUP(1,  ('ж.д.'!$B$5:$M$5 = J$2) * ('ж.д.'!$B$4:$M$4 = $S$2), 'ж.д.'!$B$6:$M$14)), "-")</f>
        <v>122400</v>
      </c>
      <c r="K33" s="151" cm="1">
        <f t="array" aca="1" ref="K33" ca="1">IFERROR(_xlfn.XLOOKUP(1,  ('ж.д.'!$A$6:$A$14 = $D33) * 1,  _xlfn.XLOOKUP(1,  ('ж.д.'!$B$5:$M$5 = K$2) * ('ж.д.'!$B$4:$M$4 = $S$2), 'ж.д.'!$B$6:$M$14)), "-")</f>
        <v>200400</v>
      </c>
      <c r="L33" s="151" cm="1">
        <f t="array" aca="1" ref="L33" ca="1">IF(ISNUMBER(SEARCH("Транс",$C33)),_xlfn.XLOOKUP(1,('Фрахт Транс'!$A$5:$A$10=$D33)*1,_xlfn.XLOOKUP(1,('Фрахт Транс'!$B$3:$M$3 = $S$2)*('Фрахт Транс'!$B$4:$M$4=L$2),'Фрахт Транс'!$B$5:$M$10)),SUM($E33, $G33, $I33, $O33))</f>
        <v>373999</v>
      </c>
      <c r="M33" s="151" cm="1">
        <f t="array" aca="1" ref="M33" ca="1">IF(ISNUMBER(SEARCH("Транс",$C33)),_xlfn.XLOOKUP(1,('Фрахт Транс'!$A$5:$A$10=$D33)*1,_xlfn.XLOOKUP(1,('Фрахт Транс'!$B$3:$M$3=$S$2)*('Фрахт Транс'!$B$4:$M$4=M$2),'Фрахт Транс'!$B$5:$M$10)),SUM($E33, $G33, $J33, $O33))</f>
        <v>387999</v>
      </c>
      <c r="N33" s="151" cm="1">
        <f t="array" aca="1" ref="N33" ca="1">IF(ISNUMBER(SEARCH("Транс",$C33)),_xlfn.XLOOKUP(1,('Фрахт Транс'!$A$5:$A$10=$D33)*1,_xlfn.XLOOKUP(1,('Фрахт Транс'!$B$3:$M$3=$S$2)*('Фрахт Транс'!$B$4:$M$4=N$2),'Фрахт Транс'!$B$5:$M$10)),SUM($F33, $H33, $K33, $P33))</f>
        <v>635659</v>
      </c>
      <c r="O33" s="151" cm="1">
        <f t="array" aca="1" ref="O33" ca="1">IFERROR(_xlfn.XLOOKUP(1,  (Охрана!$A$6:$A$14 = $D33) * 1,  _xlfn.XLOOKUP(1,  (Охрана!$B$5:$M$5 = O$2) * (Охрана!$B$4:$M$4 = $S$2), Охрана!$B$6:$M$14)), "-")</f>
        <v>2439</v>
      </c>
      <c r="P33" s="196" cm="1">
        <f t="array" aca="1" ref="P33" ca="1">IFERROR(_xlfn.XLOOKUP(1,  (Охрана!$A$6:$A$14 = $D33) * 1,  _xlfn.XLOOKUP(1,  (Охрана!$B$5:$M$5 = P$2) * (Охрана!$B$4:$M$4 = $S$2), Охрана!$B$6:$M$14)), "-")</f>
        <v>4939</v>
      </c>
      <c r="Q33" s="38"/>
      <c r="R33" s="71"/>
      <c r="AB33" s="5"/>
    </row>
    <row r="34" spans="1:28" ht="15.75" customHeight="1" thickBot="1" x14ac:dyDescent="0.3">
      <c r="A34" s="213" t="s">
        <v>15</v>
      </c>
      <c r="B34" s="288"/>
      <c r="C34" s="58" t="s">
        <v>37</v>
      </c>
      <c r="D34" s="55" t="s">
        <v>11</v>
      </c>
      <c r="E34" s="228" cm="1">
        <f t="array" ref="E34">IFERROR(_xlfn.XLOOKUP(1, (Фрахт!$A$5:$A$80 = $A34)* (Фрахт!$B$5:$B$80 = $C34) * (Фрахт!$C$5:$C$80 =$D34),  _xlfn.XLOOKUP(1,  (Фрахт!$D$4:$E$4 = E$2) * 1, Фрахт!$D$5:$E$80)) *  $S$1, "-")</f>
        <v>216000</v>
      </c>
      <c r="F34" s="228" cm="1">
        <f t="array" ref="F34">IFERROR(_xlfn.XLOOKUP(1, (Фрахт!$A$5:$A$80 = $A34)* (Фрахт!$B$5:$B$80 = $C34) * (Фрахт!$C$5:$C$80 =$D34),  _xlfn.XLOOKUP(1,  (Фрахт!$D$4:$E$4 = F$2) * 1, Фрахт!$D$5:$E$80)) *  $S$1, "-")</f>
        <v>360000</v>
      </c>
      <c r="G34" s="228" cm="1">
        <f t="array" aca="1" ref="G34" ca="1">IFERROR(_xlfn.XLOOKUP(1,  ('Drop off'!$A$6:$A$14 = $C34) * 1,  _xlfn.XLOOKUP(1,  ('Drop off'!$B$5:$I$5 = G$2) * ('Drop off'!$B$4:$I$4 = $S$2), 'Drop off'!$B$6:$I$14)) * $S$1, "-")</f>
        <v>0</v>
      </c>
      <c r="H34" s="228" cm="1">
        <f t="array" aca="1" ref="H34" ca="1">IFERROR(_xlfn.XLOOKUP(1,  ('Drop off'!$A$6:$A$14 = $C34) * 1,  _xlfn.XLOOKUP(1,  ('Drop off'!$B$5:$I$5 = H$2) * ('Drop off'!$B$4:$I$4 = $S$2), 'Drop off'!$B$6:$I$14)) * $S$1, "-")</f>
        <v>0</v>
      </c>
      <c r="I34" s="228" cm="1">
        <f t="array" aca="1" ref="I34" ca="1">IFERROR(_xlfn.XLOOKUP(1,  ('ж.д.'!$A$6:$A$14 = $D34) * 1,  _xlfn.XLOOKUP(1,  ('ж.д.'!$B$5:$M$5 = I$2) * ('ж.д.'!$B$4:$M$4 = $S$2), 'ж.д.'!$B$6:$M$14)), "-")</f>
        <v>105900</v>
      </c>
      <c r="J34" s="228" cm="1">
        <f t="array" aca="1" ref="J34" ca="1">IFERROR(_xlfn.XLOOKUP(1,  ('ж.д.'!$A$6:$A$14 = $D34) * 1,  _xlfn.XLOOKUP(1,  ('ж.д.'!$B$5:$M$5 = J$2) * ('ж.д.'!$B$4:$M$4 = $S$2), 'ж.д.'!$B$6:$M$14)), "-")</f>
        <v>122100</v>
      </c>
      <c r="K34" s="228" cm="1">
        <f t="array" aca="1" ref="K34" ca="1">IFERROR(_xlfn.XLOOKUP(1,  ('ж.д.'!$A$6:$A$14 = $D34) * 1,  _xlfn.XLOOKUP(1,  ('ж.д.'!$B$5:$M$5 = K$2) * ('ж.д.'!$B$4:$M$4 = $S$2), 'ж.д.'!$B$6:$M$14)), "-")</f>
        <v>196200</v>
      </c>
      <c r="L34" s="228" cm="1">
        <f t="array" aca="1" ref="L34" ca="1">IF(ISNUMBER(SEARCH("Транс",$C34)),_xlfn.XLOOKUP(1,('Фрахт Транс'!$A$5:$A$10=$D34)*1,_xlfn.XLOOKUP(1,('Фрахт Транс'!$B$3:$M$3 = $S$2)*('Фрахт Транс'!$B$4:$M$4=L$2),'Фрахт Транс'!$B$5:$M$10)),SUM($E34, $G34, $I34, $O34))</f>
        <v>324339</v>
      </c>
      <c r="M34" s="228" cm="1">
        <f t="array" aca="1" ref="M34" ca="1">IF(ISNUMBER(SEARCH("Транс",$C34)),_xlfn.XLOOKUP(1,('Фрахт Транс'!$A$5:$A$10=$D34)*1,_xlfn.XLOOKUP(1,('Фрахт Транс'!$B$3:$M$3=$S$2)*('Фрахт Транс'!$B$4:$M$4=M$2),'Фрахт Транс'!$B$5:$M$10)),SUM($E34, $G34, $J34, $O34))</f>
        <v>340539</v>
      </c>
      <c r="N34" s="228" cm="1">
        <f t="array" aca="1" ref="N34" ca="1">IF(ISNUMBER(SEARCH("Транс",$C34)),_xlfn.XLOOKUP(1,('Фрахт Транс'!$A$5:$A$10=$D34)*1,_xlfn.XLOOKUP(1,('Фрахт Транс'!$B$3:$M$3=$S$2)*('Фрахт Транс'!$B$4:$M$4=N$2),'Фрахт Транс'!$B$5:$M$10)),SUM($F34, $H34, $K34, $P34))</f>
        <v>561139</v>
      </c>
      <c r="O34" s="228" cm="1">
        <f t="array" aca="1" ref="O34" ca="1">IFERROR(_xlfn.XLOOKUP(1,  (Охрана!$A$6:$A$14 = $D34) * 1,  _xlfn.XLOOKUP(1,  (Охрана!$B$5:$M$5 = O$2) * (Охрана!$B$4:$M$4 = $S$2), Охрана!$B$6:$M$14)), "-")</f>
        <v>2439</v>
      </c>
      <c r="P34" s="229" cm="1">
        <f t="array" aca="1" ref="P34" ca="1">IFERROR(_xlfn.XLOOKUP(1,  (Охрана!$A$6:$A$14 = $D34) * 1,  _xlfn.XLOOKUP(1,  (Охрана!$B$5:$M$5 = P$2) * (Охрана!$B$4:$M$4 = $S$2), Охрана!$B$6:$M$14)), "-")</f>
        <v>4939</v>
      </c>
      <c r="Q34" s="38"/>
      <c r="R34" s="71"/>
      <c r="AB34" s="5"/>
    </row>
    <row r="35" spans="1:28" ht="15.75" customHeight="1" thickBot="1" x14ac:dyDescent="0.3">
      <c r="A35" s="213" t="s">
        <v>15</v>
      </c>
      <c r="B35" s="288"/>
      <c r="C35" s="84" t="s">
        <v>54</v>
      </c>
      <c r="D35" s="85" t="s">
        <v>34</v>
      </c>
      <c r="E35" s="155" t="str" cm="1">
        <f t="array" ref="E35">IFERROR(_xlfn.XLOOKUP(1, (Фрахт!$A$5:$A$80 = $A35)* (Фрахт!$B$5:$B$80 = $C35) * (Фрахт!$C$5:$C$80 =$D35),  _xlfn.XLOOKUP(1,  (Фрахт!$D$4:$E$4 = E$2) * 1, Фрахт!$D$5:$E$80)) *  $S$1, "-")</f>
        <v>-</v>
      </c>
      <c r="F35" s="155" t="str" cm="1">
        <f t="array" ref="F35">IFERROR(_xlfn.XLOOKUP(1, (Фрахт!$A$5:$A$80 = $A35)* (Фрахт!$B$5:$B$80 = $C35) * (Фрахт!$C$5:$C$80 =$D35),  _xlfn.XLOOKUP(1,  (Фрахт!$D$4:$E$4 = F$2) * 1, Фрахт!$D$5:$E$80)) *  $S$1, "-")</f>
        <v>-</v>
      </c>
      <c r="G35" s="155" cm="1">
        <f t="array" aca="1" ref="G35" ca="1">IFERROR(_xlfn.XLOOKUP(1,  ('Drop off'!$A$6:$A$14 = $C35) * 1,  _xlfn.XLOOKUP(1,  ('Drop off'!$B$5:$I$5 = G$2) * ('Drop off'!$B$4:$I$4 = $S$2), 'Drop off'!$B$6:$I$14)) * $S$1, "-")</f>
        <v>27000</v>
      </c>
      <c r="H35" s="155" cm="1">
        <f t="array" aca="1" ref="H35" ca="1">IFERROR(_xlfn.XLOOKUP(1,  ('Drop off'!$A$6:$A$14 = $C35) * 1,  _xlfn.XLOOKUP(1,  ('Drop off'!$B$5:$I$5 = H$2) * ('Drop off'!$B$4:$I$4 = $S$2), 'Drop off'!$B$6:$I$14)) * $S$1, "-")</f>
        <v>27000</v>
      </c>
      <c r="I35" s="155" cm="1">
        <f t="array" aca="1" ref="I35" ca="1">IFERROR(_xlfn.XLOOKUP(1,  ('ж.д.'!$A$6:$A$14 = $D35) * 1,  _xlfn.XLOOKUP(1,  ('ж.д.'!$B$5:$M$5 = I$2) * ('ж.д.'!$B$4:$M$4 = $S$2), 'ж.д.'!$B$6:$M$14)), "-")</f>
        <v>108400</v>
      </c>
      <c r="J35" s="155" cm="1">
        <f t="array" aca="1" ref="J35" ca="1">IFERROR(_xlfn.XLOOKUP(1,  ('ж.д.'!$A$6:$A$14 = $D35) * 1,  _xlfn.XLOOKUP(1,  ('ж.д.'!$B$5:$M$5 = J$2) * ('ж.д.'!$B$4:$M$4 = $S$2), 'ж.д.'!$B$6:$M$14)), "-")</f>
        <v>122400</v>
      </c>
      <c r="K35" s="155" cm="1">
        <f t="array" aca="1" ref="K35" ca="1">IFERROR(_xlfn.XLOOKUP(1,  ('ж.д.'!$A$6:$A$14 = $D35) * 1,  _xlfn.XLOOKUP(1,  ('ж.д.'!$B$5:$M$5 = K$2) * ('ж.д.'!$B$4:$M$4 = $S$2), 'ж.д.'!$B$6:$M$14)), "-")</f>
        <v>200400</v>
      </c>
      <c r="L35" s="155" cm="1">
        <f t="array" aca="1" ref="L35" ca="1">IF(ISNUMBER(SEARCH("Транс",$C35)),_xlfn.XLOOKUP(1,('Фрахт Транс'!$A$5:$A$10=$D35)*1,_xlfn.XLOOKUP(1,('Фрахт Транс'!$B$3:$M$3 = $S$2)*('Фрахт Транс'!$B$4:$M$4=L$2),'Фрахт Транс'!$B$5:$M$10)),SUM($E35, $G35, $I35, $O35))</f>
        <v>137839</v>
      </c>
      <c r="M35" s="155" cm="1">
        <f t="array" aca="1" ref="M35" ca="1">IF(ISNUMBER(SEARCH("Транс",$C35)),_xlfn.XLOOKUP(1,('Фрахт Транс'!$A$5:$A$10=$D35)*1,_xlfn.XLOOKUP(1,('Фрахт Транс'!$B$3:$M$3=$S$2)*('Фрахт Транс'!$B$4:$M$4=M$2),'Фрахт Транс'!$B$5:$M$10)),SUM($E35, $G35, $J35, $O35))</f>
        <v>151839</v>
      </c>
      <c r="N35" s="155" cm="1">
        <f t="array" aca="1" ref="N35" ca="1">IF(ISNUMBER(SEARCH("Транс",$C35)),_xlfn.XLOOKUP(1,('Фрахт Транс'!$A$5:$A$10=$D35)*1,_xlfn.XLOOKUP(1,('Фрахт Транс'!$B$3:$M$3=$S$2)*('Фрахт Транс'!$B$4:$M$4=N$2),'Фрахт Транс'!$B$5:$M$10)),SUM($F35, $H35, $K35, $P35))</f>
        <v>232339</v>
      </c>
      <c r="O35" s="155" cm="1">
        <f t="array" aca="1" ref="O35" ca="1">IFERROR(_xlfn.XLOOKUP(1,  (Охрана!$A$6:$A$14 = $D35) * 1,  _xlfn.XLOOKUP(1,  (Охрана!$B$5:$M$5 = O$2) * (Охрана!$B$4:$M$4 = $S$2), Охрана!$B$6:$M$14)), "-")</f>
        <v>2439</v>
      </c>
      <c r="P35" s="200" cm="1">
        <f t="array" aca="1" ref="P35" ca="1">IFERROR(_xlfn.XLOOKUP(1,  (Охрана!$A$6:$A$14 = $D35) * 1,  _xlfn.XLOOKUP(1,  (Охрана!$B$5:$M$5 = P$2) * (Охрана!$B$4:$M$4 = $S$2), Охрана!$B$6:$M$14)), "-")</f>
        <v>4939</v>
      </c>
      <c r="Q35" s="38"/>
      <c r="R35" s="3"/>
      <c r="AB35" s="5"/>
    </row>
    <row r="36" spans="1:28" ht="15.75" customHeight="1" thickBot="1" x14ac:dyDescent="0.3">
      <c r="A36" s="213" t="s">
        <v>15</v>
      </c>
      <c r="B36" s="289"/>
      <c r="C36" s="76" t="s">
        <v>53</v>
      </c>
      <c r="D36" s="77" t="s">
        <v>7</v>
      </c>
      <c r="E36" s="156" cm="1">
        <f t="array" ref="E36">IFERROR(_xlfn.XLOOKUP(1, (Фрахт!$A$5:$A$80 = $A36)* (Фрахт!$B$5:$B$80 = $C36) * (Фрахт!$C$5:$C$80 =$D36),  _xlfn.XLOOKUP(1,  (Фрахт!$D$4:$E$4 = E$2) * 1, Фрахт!$D$5:$E$80)) *  $S$1, "-")</f>
        <v>282000</v>
      </c>
      <c r="F36" s="156" cm="1">
        <f t="array" ref="F36">IFERROR(_xlfn.XLOOKUP(1, (Фрахт!$A$5:$A$80 = $A36)* (Фрахт!$B$5:$B$80 = $C36) * (Фрахт!$C$5:$C$80 =$D36),  _xlfn.XLOOKUP(1,  (Фрахт!$D$4:$E$4 = F$2) * 1, Фрахт!$D$5:$E$80)) *  $S$1, "-")</f>
        <v>342000</v>
      </c>
      <c r="G36" s="156" cm="1">
        <f t="array" aca="1" ref="G36" ca="1">IFERROR(_xlfn.XLOOKUP(1,  ('Drop off'!$A$6:$A$14 = $C36) * 1,  _xlfn.XLOOKUP(1,  ('Drop off'!$B$5:$I$5 = G$2) * ('Drop off'!$B$4:$I$4 = $S$2), 'Drop off'!$B$6:$I$14)) * $S$1, "-")</f>
        <v>0</v>
      </c>
      <c r="H36" s="156" cm="1">
        <f t="array" aca="1" ref="H36" ca="1">IFERROR(_xlfn.XLOOKUP(1,  ('Drop off'!$A$6:$A$14 = $C36) * 1,  _xlfn.XLOOKUP(1,  ('Drop off'!$B$5:$I$5 = H$2) * ('Drop off'!$B$4:$I$4 = $S$2), 'Drop off'!$B$6:$I$14)) * $S$1, "-")</f>
        <v>0</v>
      </c>
      <c r="I36" s="156" cm="1">
        <f t="array" aca="1" ref="I36" ca="1">IFERROR(_xlfn.XLOOKUP(1,  ('ж.д.'!$A$6:$A$14 = $D36) * 1,  _xlfn.XLOOKUP(1,  ('ж.д.'!$B$5:$M$5 = I$2) * ('ж.д.'!$B$4:$M$4 = $S$2), 'ж.д.'!$B$6:$M$14)), "-")</f>
        <v>105000</v>
      </c>
      <c r="J36" s="156" cm="1">
        <f t="array" aca="1" ref="J36" ca="1">IFERROR(_xlfn.XLOOKUP(1,  ('ж.д.'!$A$6:$A$14 = $D36) * 1,  _xlfn.XLOOKUP(1,  ('ж.д.'!$B$5:$M$5 = J$2) * ('ж.д.'!$B$4:$M$4 = $S$2), 'ж.д.'!$B$6:$M$14)), "-")</f>
        <v>120000</v>
      </c>
      <c r="K36" s="156" cm="1">
        <f t="array" aca="1" ref="K36" ca="1">IFERROR(_xlfn.XLOOKUP(1,  ('ж.д.'!$A$6:$A$14 = $D36) * 1,  _xlfn.XLOOKUP(1,  ('ж.д.'!$B$5:$M$5 = K$2) * ('ж.д.'!$B$4:$M$4 = $S$2), 'ж.д.'!$B$6:$M$14)), "-")</f>
        <v>192000</v>
      </c>
      <c r="L36" s="156" cm="1">
        <f t="array" aca="1" ref="L36" ca="1">IF(ISNUMBER(SEARCH("Транс",$C36)),_xlfn.XLOOKUP(1,('Фрахт Транс'!$A$5:$A$10=$D36)*1,_xlfn.XLOOKUP(1,('Фрахт Транс'!$B$3:$M$3 = $S$2)*('Фрахт Транс'!$B$4:$M$4=L$2),'Фрахт Транс'!$B$5:$M$10)),SUM($E36, $G36, $I36, $O36))</f>
        <v>390000</v>
      </c>
      <c r="M36" s="156" cm="1">
        <f t="array" aca="1" ref="M36" ca="1">IF(ISNUMBER(SEARCH("Транс",$C36)),_xlfn.XLOOKUP(1,('Фрахт Транс'!$A$5:$A$10=$D36)*1,_xlfn.XLOOKUP(1,('Фрахт Транс'!$B$3:$M$3=$S$2)*('Фрахт Транс'!$B$4:$M$4=M$2),'Фрахт Транс'!$B$5:$M$10)),SUM($E36, $G36, $J36, $O36))</f>
        <v>405000</v>
      </c>
      <c r="N36" s="156" cm="1">
        <f t="array" aca="1" ref="N36" ca="1">IF(ISNUMBER(SEARCH("Транс",$C36)),_xlfn.XLOOKUP(1,('Фрахт Транс'!$A$5:$A$10=$D36)*1,_xlfn.XLOOKUP(1,('Фрахт Транс'!$B$3:$M$3=$S$2)*('Фрахт Транс'!$B$4:$M$4=N$2),'Фрахт Транс'!$B$5:$M$10)),SUM($F36, $H36, $K36, $P36))</f>
        <v>540000</v>
      </c>
      <c r="O36" s="156" cm="1">
        <f t="array" aca="1" ref="O36" ca="1">IFERROR(_xlfn.XLOOKUP(1,  (Охрана!$A$6:$A$14 = $D36) * 1,  _xlfn.XLOOKUP(1,  (Охрана!$B$5:$M$5 = O$2) * (Охрана!$B$4:$M$4 = $S$2), Охрана!$B$6:$M$14)), "-")</f>
        <v>3000</v>
      </c>
      <c r="P36" s="201" cm="1">
        <f t="array" aca="1" ref="P36" ca="1">IFERROR(_xlfn.XLOOKUP(1,  (Охрана!$A$6:$A$14 = $D36) * 1,  _xlfn.XLOOKUP(1,  (Охрана!$B$5:$M$5 = P$2) * (Охрана!$B$4:$M$4 = $S$2), Охрана!$B$6:$M$14)), "-")</f>
        <v>6000</v>
      </c>
      <c r="Q36" s="38"/>
      <c r="R36" s="71"/>
      <c r="AB36" s="5"/>
    </row>
    <row r="37" spans="1:28" ht="30.75" thickBot="1" x14ac:dyDescent="0.3">
      <c r="A37" s="224" t="s">
        <v>16</v>
      </c>
      <c r="B37" s="294" t="s">
        <v>16</v>
      </c>
      <c r="C37" s="63" t="s">
        <v>43</v>
      </c>
      <c r="D37" s="64" t="s">
        <v>48</v>
      </c>
      <c r="E37" s="148" t="str" cm="1">
        <f t="array" ref="E37">IFERROR(_xlfn.XLOOKUP(1, (Фрахт!$A$5:$A$80 = $A37)* (Фрахт!$B$5:$B$80 = $C37) * (Фрахт!$C$5:$C$80 =$D37),  _xlfn.XLOOKUP(1,  (Фрахт!$D$4:$E$4 = E$2) * 1, Фрахт!$D$5:$E$80)) *  $S$1, "-")</f>
        <v>-</v>
      </c>
      <c r="F37" s="148" t="str" cm="1">
        <f t="array" ref="F37">IFERROR(_xlfn.XLOOKUP(1, (Фрахт!$A$5:$A$80 = $A37)* (Фрахт!$B$5:$B$80 = $C37) * (Фрахт!$C$5:$C$80 =$D37),  _xlfn.XLOOKUP(1,  (Фрахт!$D$4:$E$4 = F$2) * 1, Фрахт!$D$5:$E$80)) *  $S$1, "-")</f>
        <v>-</v>
      </c>
      <c r="G37" s="148" cm="1">
        <f t="array" aca="1" ref="G37" ca="1">IFERROR(_xlfn.XLOOKUP(1,  ('Drop off'!$A$6:$A$14 = $C37) * 1,  _xlfn.XLOOKUP(1,  ('Drop off'!$B$5:$I$5 = G$2) * ('Drop off'!$B$4:$I$4 = $S$2), 'Drop off'!$B$6:$I$14)) * $S$1, "-")</f>
        <v>0</v>
      </c>
      <c r="H37" s="148" cm="1">
        <f t="array" aca="1" ref="H37" ca="1">IFERROR(_xlfn.XLOOKUP(1,  ('Drop off'!$A$6:$A$14 = $C37) * 1,  _xlfn.XLOOKUP(1,  ('Drop off'!$B$5:$I$5 = H$2) * ('Drop off'!$B$4:$I$4 = $S$2), 'Drop off'!$B$6:$I$14)) * $S$1, "-")</f>
        <v>0</v>
      </c>
      <c r="I37" s="148" t="str" cm="1">
        <f t="array" aca="1" ref="I37" ca="1">IFERROR(_xlfn.XLOOKUP(1,  ('ж.д.'!$A$6:$A$14 = $D37) * 1,  _xlfn.XLOOKUP(1,  ('ж.д.'!$B$5:$M$5 = I$2) * ('ж.д.'!$B$4:$M$4 = $S$2), 'ж.д.'!$B$6:$M$14)), "-")</f>
        <v>-</v>
      </c>
      <c r="J37" s="148" t="str" cm="1">
        <f t="array" aca="1" ref="J37" ca="1">IFERROR(_xlfn.XLOOKUP(1,  ('ж.д.'!$A$6:$A$14 = $D37) * 1,  _xlfn.XLOOKUP(1,  ('ж.д.'!$B$5:$M$5 = J$2) * ('ж.д.'!$B$4:$M$4 = $S$2), 'ж.д.'!$B$6:$M$14)), "-")</f>
        <v>-</v>
      </c>
      <c r="K37" s="148" t="str" cm="1">
        <f t="array" aca="1" ref="K37" ca="1">IFERROR(_xlfn.XLOOKUP(1,  ('ж.д.'!$A$6:$A$14 = $D37) * 1,  _xlfn.XLOOKUP(1,  ('ж.д.'!$B$5:$M$5 = K$2) * ('ж.д.'!$B$4:$M$4 = $S$2), 'ж.д.'!$B$6:$M$14)), "-")</f>
        <v>-</v>
      </c>
      <c r="L37" s="148" cm="1">
        <f t="array" aca="1" ref="L37" ca="1">IF(ISNUMBER(SEARCH("Транс",$C37)),_xlfn.XLOOKUP(1,('Фрахт Транс'!$A$5:$A$10=$D37)*1,_xlfn.XLOOKUP(1,('Фрахт Транс'!$B$3:$M$3 = $S$2)*('Фрахт Транс'!$B$4:$M$4=L$2),'Фрахт Транс'!$B$5:$M$10)),SUM($E37, $G37, $I37, $O37))</f>
        <v>405142</v>
      </c>
      <c r="M37" s="148" cm="1">
        <f t="array" aca="1" ref="M37" ca="1">IF(ISNUMBER(SEARCH("Транс",$C37)),_xlfn.XLOOKUP(1,('Фрахт Транс'!$A$5:$A$10=$D37)*1,_xlfn.XLOOKUP(1,('Фрахт Транс'!$B$3:$M$3=$S$2)*('Фрахт Транс'!$B$4:$M$4=M$2),'Фрахт Транс'!$B$5:$M$10)),SUM($E37, $G37, $J37, $O37))</f>
        <v>420636</v>
      </c>
      <c r="N37" s="148" cm="1">
        <f t="array" aca="1" ref="N37" ca="1">IF(ISNUMBER(SEARCH("Транс",$C37)),_xlfn.XLOOKUP(1,('Фрахт Транс'!$A$5:$A$10=$D37)*1,_xlfn.XLOOKUP(1,('Фрахт Транс'!$B$3:$M$3=$S$2)*('Фрахт Транс'!$B$4:$M$4=N$2),'Фрахт Транс'!$B$5:$M$10)),SUM($F37, $H37, $K37, $P37))</f>
        <v>568676</v>
      </c>
      <c r="O37" s="148" t="str" cm="1">
        <f t="array" aca="1" ref="O37" ca="1">IFERROR(_xlfn.XLOOKUP(1,  (Охрана!$A$6:$A$14 = $D37) * 1,  _xlfn.XLOOKUP(1,  (Охрана!$B$5:$M$5 = O$2) * (Охрана!$B$4:$M$4 = $S$2), Охрана!$B$6:$M$14)), "-")</f>
        <v>-</v>
      </c>
      <c r="P37" s="230" t="str" cm="1">
        <f t="array" aca="1" ref="P37" ca="1">IFERROR(_xlfn.XLOOKUP(1,  (Охрана!$A$6:$A$14 = $D37) * 1,  _xlfn.XLOOKUP(1,  (Охрана!$B$5:$M$5 = P$2) * (Охрана!$B$4:$M$4 = $S$2), Охрана!$B$6:$M$14)), "-")</f>
        <v>-</v>
      </c>
      <c r="Q37" s="38"/>
      <c r="R37" s="6"/>
      <c r="AB37" s="5"/>
    </row>
    <row r="38" spans="1:28" ht="15" customHeight="1" thickBot="1" x14ac:dyDescent="0.3">
      <c r="A38" s="224" t="s">
        <v>16</v>
      </c>
      <c r="B38" s="295"/>
      <c r="C38" s="42" t="s">
        <v>12</v>
      </c>
      <c r="D38" s="32" t="s">
        <v>30</v>
      </c>
      <c r="E38" s="149" cm="1">
        <f t="array" ref="E38">IFERROR(_xlfn.XLOOKUP(1, (Фрахт!$A$5:$A$80 = $A38)* (Фрахт!$B$5:$B$80 = $C38) * (Фрахт!$C$5:$C$80 =$D38),  _xlfn.XLOOKUP(1,  (Фрахт!$D$4:$E$4 = E$2) * 1, Фрахт!$D$5:$E$80)) *  $S$1, "-")</f>
        <v>330000</v>
      </c>
      <c r="F38" s="149" cm="1">
        <f t="array" ref="F38">IFERROR(_xlfn.XLOOKUP(1, (Фрахт!$A$5:$A$80 = $A38)* (Фрахт!$B$5:$B$80 = $C38) * (Фрахт!$C$5:$C$80 =$D38),  _xlfn.XLOOKUP(1,  (Фрахт!$D$4:$E$4 = F$2) * 1, Фрахт!$D$5:$E$80)) *  $S$1, "-")</f>
        <v>510000</v>
      </c>
      <c r="G38" s="149" cm="1">
        <f t="array" aca="1" ref="G38" ca="1">IFERROR(_xlfn.XLOOKUP(1,  ('Drop off'!$A$6:$A$14 = $C38) * 1,  _xlfn.XLOOKUP(1,  ('Drop off'!$B$5:$I$5 = G$2) * ('Drop off'!$B$4:$I$4 = $S$2), 'Drop off'!$B$6:$I$14)) * $S$1, "-")</f>
        <v>0</v>
      </c>
      <c r="H38" s="149" cm="1">
        <f t="array" aca="1" ref="H38" ca="1">IFERROR(_xlfn.XLOOKUP(1,  ('Drop off'!$A$6:$A$14 = $C38) * 1,  _xlfn.XLOOKUP(1,  ('Drop off'!$B$5:$I$5 = H$2) * ('Drop off'!$B$4:$I$4 = $S$2), 'Drop off'!$B$6:$I$14)) * $S$1, "-")</f>
        <v>0</v>
      </c>
      <c r="I38" s="149" cm="1">
        <f t="array" aca="1" ref="I38" ca="1">IFERROR(_xlfn.XLOOKUP(1,  ('ж.д.'!$A$6:$A$14 = $D38) * 1,  _xlfn.XLOOKUP(1,  ('ж.д.'!$B$5:$M$5 = I$2) * ('ж.д.'!$B$4:$M$4 = $S$2), 'ж.д.'!$B$6:$M$14)), "-")</f>
        <v>97300</v>
      </c>
      <c r="J38" s="149" cm="1">
        <f t="array" aca="1" ref="J38" ca="1">IFERROR(_xlfn.XLOOKUP(1,  ('ж.д.'!$A$6:$A$14 = $D38) * 1,  _xlfn.XLOOKUP(1,  ('ж.д.'!$B$5:$M$5 = J$2) * ('ж.д.'!$B$4:$M$4 = $S$2), 'ж.д.'!$B$6:$M$14)), "-")</f>
        <v>109595</v>
      </c>
      <c r="K38" s="149" cm="1">
        <f t="array" aca="1" ref="K38" ca="1">IFERROR(_xlfn.XLOOKUP(1,  ('ж.д.'!$A$6:$A$14 = $D38) * 1,  _xlfn.XLOOKUP(1,  ('ж.д.'!$B$5:$M$5 = K$2) * ('ж.д.'!$B$4:$M$4 = $S$2), 'ж.д.'!$B$6:$M$14)), "-")</f>
        <v>195500</v>
      </c>
      <c r="L38" s="149" cm="1">
        <f t="array" aca="1" ref="L38" ca="1">IF(ISNUMBER(SEARCH("Транс",$C38)),_xlfn.XLOOKUP(1,('Фрахт Транс'!$A$5:$A$10=$D38)*1,_xlfn.XLOOKUP(1,('Фрахт Транс'!$B$3:$M$3 = $S$2)*('Фрахт Транс'!$B$4:$M$4=L$2),'Фрахт Транс'!$B$5:$M$10)),SUM($E38, $G38, $I38, $O38))</f>
        <v>430489</v>
      </c>
      <c r="M38" s="149" cm="1">
        <f t="array" aca="1" ref="M38" ca="1">IF(ISNUMBER(SEARCH("Транс",$C38)),_xlfn.XLOOKUP(1,('Фрахт Транс'!$A$5:$A$10=$D38)*1,_xlfn.XLOOKUP(1,('Фрахт Транс'!$B$3:$M$3=$S$2)*('Фрахт Транс'!$B$4:$M$4=M$2),'Фрахт Транс'!$B$5:$M$10)),SUM($E38, $G38, $J38, $O38))</f>
        <v>442784</v>
      </c>
      <c r="N38" s="149" cm="1">
        <f t="array" aca="1" ref="N38" ca="1">IF(ISNUMBER(SEARCH("Транс",$C38)),_xlfn.XLOOKUP(1,('Фрахт Транс'!$A$5:$A$10=$D38)*1,_xlfn.XLOOKUP(1,('Фрахт Транс'!$B$3:$M$3=$S$2)*('Фрахт Транс'!$B$4:$M$4=N$2),'Фрахт Транс'!$B$5:$M$10)),SUM($F38, $H38, $K38, $P38))</f>
        <v>711189</v>
      </c>
      <c r="O38" s="149" cm="1">
        <f t="array" aca="1" ref="O38" ca="1">IFERROR(_xlfn.XLOOKUP(1,  (Охрана!$A$6:$A$14 = $D38) * 1,  _xlfn.XLOOKUP(1,  (Охрана!$B$5:$M$5 = O$2) * (Охрана!$B$4:$M$4 = $S$2), Охрана!$B$6:$M$14)), "-")</f>
        <v>3189</v>
      </c>
      <c r="P38" s="194" cm="1">
        <f t="array" aca="1" ref="P38" ca="1">IFERROR(_xlfn.XLOOKUP(1,  (Охрана!$A$6:$A$14 = $D38) * 1,  _xlfn.XLOOKUP(1,  (Охрана!$B$5:$M$5 = P$2) * (Охрана!$B$4:$M$4 = $S$2), Охрана!$B$6:$M$14)), "-")</f>
        <v>5689</v>
      </c>
      <c r="Q38" s="282"/>
      <c r="R38" s="91"/>
      <c r="AB38" s="5"/>
    </row>
    <row r="39" spans="1:28" ht="15" customHeight="1" thickBot="1" x14ac:dyDescent="0.3">
      <c r="A39" s="224" t="s">
        <v>16</v>
      </c>
      <c r="B39" s="295"/>
      <c r="C39" s="42" t="s">
        <v>12</v>
      </c>
      <c r="D39" s="32" t="s">
        <v>55</v>
      </c>
      <c r="E39" s="149" cm="1">
        <f t="array" ref="E39">IFERROR(_xlfn.XLOOKUP(1, (Фрахт!$A$5:$A$80 = $A39)* (Фрахт!$B$5:$B$80 = $C39) * (Фрахт!$C$5:$C$80 =$D39),  _xlfn.XLOOKUP(1,  (Фрахт!$D$4:$E$4 = E$2) * 1, Фрахт!$D$5:$E$80)) *  $S$1, "-")</f>
        <v>330000</v>
      </c>
      <c r="F39" s="149" cm="1">
        <f t="array" ref="F39">IFERROR(_xlfn.XLOOKUP(1, (Фрахт!$A$5:$A$80 = $A39)* (Фрахт!$B$5:$B$80 = $C39) * (Фрахт!$C$5:$C$80 =$D39),  _xlfn.XLOOKUP(1,  (Фрахт!$D$4:$E$4 = F$2) * 1, Фрахт!$D$5:$E$80)) *  $S$1, "-")</f>
        <v>510000</v>
      </c>
      <c r="G39" s="149" cm="1">
        <f t="array" aca="1" ref="G39" ca="1">IFERROR(_xlfn.XLOOKUP(1,  ('Drop off'!$A$6:$A$14 = $C39) * 1,  _xlfn.XLOOKUP(1,  ('Drop off'!$B$5:$I$5 = G$2) * ('Drop off'!$B$4:$I$4 = $S$2), 'Drop off'!$B$6:$I$14)) * $S$1, "-")</f>
        <v>0</v>
      </c>
      <c r="H39" s="149" cm="1">
        <f t="array" aca="1" ref="H39" ca="1">IFERROR(_xlfn.XLOOKUP(1,  ('Drop off'!$A$6:$A$14 = $C39) * 1,  _xlfn.XLOOKUP(1,  ('Drop off'!$B$5:$I$5 = H$2) * ('Drop off'!$B$4:$I$4 = $S$2), 'Drop off'!$B$6:$I$14)) * $S$1, "-")</f>
        <v>0</v>
      </c>
      <c r="I39" s="149" cm="1">
        <f t="array" aca="1" ref="I39" ca="1">IFERROR(_xlfn.XLOOKUP(1,  ('ж.д.'!$A$6:$A$14 = $D39) * 1,  _xlfn.XLOOKUP(1,  ('ж.д.'!$B$5:$M$5 = I$2) * ('ж.д.'!$B$4:$M$4 = $S$2), 'ж.д.'!$B$6:$M$14)), "-")</f>
        <v>102705</v>
      </c>
      <c r="J39" s="149" cm="1">
        <f t="array" aca="1" ref="J39" ca="1">IFERROR(_xlfn.XLOOKUP(1,  ('ж.д.'!$A$6:$A$14 = $D39) * 1,  _xlfn.XLOOKUP(1,  ('ж.д.'!$B$5:$M$5 = J$2) * ('ж.д.'!$B$4:$M$4 = $S$2), 'ж.д.'!$B$6:$M$14)), "-")</f>
        <v>117975</v>
      </c>
      <c r="K39" s="149" cm="1">
        <f t="array" aca="1" ref="K39" ca="1">IFERROR(_xlfn.XLOOKUP(1,  ('ж.д.'!$A$6:$A$14 = $D39) * 1,  _xlfn.XLOOKUP(1,  ('ж.д.'!$B$5:$M$5 = K$2) * ('ж.д.'!$B$4:$M$4 = $S$2), 'ж.д.'!$B$6:$M$14)), "-")</f>
        <v>205870</v>
      </c>
      <c r="L39" s="149" cm="1">
        <f t="array" aca="1" ref="L39" ca="1">IF(ISNUMBER(SEARCH("Транс",$C39)),_xlfn.XLOOKUP(1,('Фрахт Транс'!$A$5:$A$10=$D39)*1,_xlfn.XLOOKUP(1,('Фрахт Транс'!$B$3:$M$3 = $S$2)*('Фрахт Транс'!$B$4:$M$4=L$2),'Фрахт Транс'!$B$5:$M$10)),SUM($E39, $G39, $I39, $O39))</f>
        <v>435894</v>
      </c>
      <c r="M39" s="149" cm="1">
        <f t="array" aca="1" ref="M39" ca="1">IF(ISNUMBER(SEARCH("Транс",$C39)),_xlfn.XLOOKUP(1,('Фрахт Транс'!$A$5:$A$10=$D39)*1,_xlfn.XLOOKUP(1,('Фрахт Транс'!$B$3:$M$3=$S$2)*('Фрахт Транс'!$B$4:$M$4=M$2),'Фрахт Транс'!$B$5:$M$10)),SUM($E39, $G39, $J39, $O39))</f>
        <v>451164</v>
      </c>
      <c r="N39" s="149" cm="1">
        <f t="array" aca="1" ref="N39" ca="1">IF(ISNUMBER(SEARCH("Транс",$C39)),_xlfn.XLOOKUP(1,('Фрахт Транс'!$A$5:$A$10=$D39)*1,_xlfn.XLOOKUP(1,('Фрахт Транс'!$B$3:$M$3=$S$2)*('Фрахт Транс'!$B$4:$M$4=N$2),'Фрахт Транс'!$B$5:$M$10)),SUM($F39, $H39, $K39, $P39))</f>
        <v>721559</v>
      </c>
      <c r="O39" s="149" cm="1">
        <f t="array" aca="1" ref="O39" ca="1">IFERROR(_xlfn.XLOOKUP(1,  (Охрана!$A$6:$A$14 = $D39) * 1,  _xlfn.XLOOKUP(1,  (Охрана!$B$5:$M$5 = O$2) * (Охрана!$B$4:$M$4 = $S$2), Охрана!$B$6:$M$14)), "-")</f>
        <v>3189</v>
      </c>
      <c r="P39" s="194" cm="1">
        <f t="array" aca="1" ref="P39" ca="1">IFERROR(_xlfn.XLOOKUP(1,  (Охрана!$A$6:$A$14 = $D39) * 1,  _xlfn.XLOOKUP(1,  (Охрана!$B$5:$M$5 = P$2) * (Охрана!$B$4:$M$4 = $S$2), Охрана!$B$6:$M$14)), "-")</f>
        <v>5689</v>
      </c>
      <c r="Q39" s="282"/>
      <c r="R39" s="3"/>
      <c r="AB39" s="5"/>
    </row>
    <row r="40" spans="1:28" ht="15" customHeight="1" thickBot="1" x14ac:dyDescent="0.3">
      <c r="A40" s="224" t="s">
        <v>16</v>
      </c>
      <c r="B40" s="295"/>
      <c r="C40" s="41" t="s">
        <v>35</v>
      </c>
      <c r="D40" s="40" t="s">
        <v>11</v>
      </c>
      <c r="E40" s="150" cm="1">
        <f t="array" ref="E40">IFERROR(_xlfn.XLOOKUP(1, (Фрахт!$A$5:$A$80 = $A40)* (Фрахт!$B$5:$B$80 = $C40) * (Фрахт!$C$5:$C$80 =$D40),  _xlfn.XLOOKUP(1,  (Фрахт!$D$4:$E$4 = E$2) * 1, Фрахт!$D$5:$E$80)) *  $S$1, "-")</f>
        <v>315000</v>
      </c>
      <c r="F40" s="150" cm="1">
        <f t="array" ref="F40">IFERROR(_xlfn.XLOOKUP(1, (Фрахт!$A$5:$A$80 = $A40)* (Фрахт!$B$5:$B$80 = $C40) * (Фрахт!$C$5:$C$80 =$D40),  _xlfn.XLOOKUP(1,  (Фрахт!$D$4:$E$4 = F$2) * 1, Фрахт!$D$5:$E$80)) *  $S$1, "-")</f>
        <v>472500</v>
      </c>
      <c r="G40" s="150" cm="1">
        <f t="array" aca="1" ref="G40" ca="1">IFERROR(_xlfn.XLOOKUP(1,  ('Drop off'!$A$6:$A$14 = $C40) * 1,  _xlfn.XLOOKUP(1,  ('Drop off'!$B$5:$I$5 = G$2) * ('Drop off'!$B$4:$I$4 = $S$2), 'Drop off'!$B$6:$I$14)) * $S$1, "-")</f>
        <v>37800</v>
      </c>
      <c r="H40" s="150" cm="1">
        <f t="array" aca="1" ref="H40" ca="1">IFERROR(_xlfn.XLOOKUP(1,  ('Drop off'!$A$6:$A$14 = $C40) * 1,  _xlfn.XLOOKUP(1,  ('Drop off'!$B$5:$I$5 = H$2) * ('Drop off'!$B$4:$I$4 = $S$2), 'Drop off'!$B$6:$I$14)) * $S$1, "-")</f>
        <v>56700</v>
      </c>
      <c r="I40" s="150" cm="1">
        <f t="array" aca="1" ref="I40" ca="1">IFERROR(_xlfn.XLOOKUP(1,  ('ж.д.'!$A$6:$A$14 = $D40) * 1,  _xlfn.XLOOKUP(1,  ('ж.д.'!$B$5:$M$5 = I$2) * ('ж.д.'!$B$4:$M$4 = $S$2), 'ж.д.'!$B$6:$M$14)), "-")</f>
        <v>105900</v>
      </c>
      <c r="J40" s="150" cm="1">
        <f t="array" aca="1" ref="J40" ca="1">IFERROR(_xlfn.XLOOKUP(1,  ('ж.д.'!$A$6:$A$14 = $D40) * 1,  _xlfn.XLOOKUP(1,  ('ж.д.'!$B$5:$M$5 = J$2) * ('ж.д.'!$B$4:$M$4 = $S$2), 'ж.д.'!$B$6:$M$14)), "-")</f>
        <v>122100</v>
      </c>
      <c r="K40" s="150" cm="1">
        <f t="array" aca="1" ref="K40" ca="1">IFERROR(_xlfn.XLOOKUP(1,  ('ж.д.'!$A$6:$A$14 = $D40) * 1,  _xlfn.XLOOKUP(1,  ('ж.д.'!$B$5:$M$5 = K$2) * ('ж.д.'!$B$4:$M$4 = $S$2), 'ж.д.'!$B$6:$M$14)), "-")</f>
        <v>196200</v>
      </c>
      <c r="L40" s="150" cm="1">
        <f t="array" aca="1" ref="L40" ca="1">IF(ISNUMBER(SEARCH("Транс",$C40)),_xlfn.XLOOKUP(1,('Фрахт Транс'!$A$5:$A$10=$D40)*1,_xlfn.XLOOKUP(1,('Фрахт Транс'!$B$3:$M$3 = $S$2)*('Фрахт Транс'!$B$4:$M$4=L$2),'Фрахт Транс'!$B$5:$M$10)),SUM($E40, $G40, $I40, $O40))</f>
        <v>461139</v>
      </c>
      <c r="M40" s="150" cm="1">
        <f t="array" aca="1" ref="M40" ca="1">IF(ISNUMBER(SEARCH("Транс",$C40)),_xlfn.XLOOKUP(1,('Фрахт Транс'!$A$5:$A$10=$D40)*1,_xlfn.XLOOKUP(1,('Фрахт Транс'!$B$3:$M$3=$S$2)*('Фрахт Транс'!$B$4:$M$4=M$2),'Фрахт Транс'!$B$5:$M$10)),SUM($E40, $G40, $J40, $O40))</f>
        <v>477339</v>
      </c>
      <c r="N40" s="150" cm="1">
        <f t="array" aca="1" ref="N40" ca="1">IF(ISNUMBER(SEARCH("Транс",$C40)),_xlfn.XLOOKUP(1,('Фрахт Транс'!$A$5:$A$10=$D40)*1,_xlfn.XLOOKUP(1,('Фрахт Транс'!$B$3:$M$3=$S$2)*('Фрахт Транс'!$B$4:$M$4=N$2),'Фрахт Транс'!$B$5:$M$10)),SUM($F40, $H40, $K40, $P40))</f>
        <v>730339</v>
      </c>
      <c r="O40" s="150" cm="1">
        <f t="array" aca="1" ref="O40" ca="1">IFERROR(_xlfn.XLOOKUP(1,  (Охрана!$A$6:$A$14 = $D40) * 1,  _xlfn.XLOOKUP(1,  (Охрана!$B$5:$M$5 = O$2) * (Охрана!$B$4:$M$4 = $S$2), Охрана!$B$6:$M$14)), "-")</f>
        <v>2439</v>
      </c>
      <c r="P40" s="195" cm="1">
        <f t="array" aca="1" ref="P40" ca="1">IFERROR(_xlfn.XLOOKUP(1,  (Охрана!$A$6:$A$14 = $D40) * 1,  _xlfn.XLOOKUP(1,  (Охрана!$B$5:$M$5 = P$2) * (Охрана!$B$4:$M$4 = $S$2), Охрана!$B$6:$M$14)), "-")</f>
        <v>4939</v>
      </c>
      <c r="Q40" s="286"/>
      <c r="R40" s="4"/>
      <c r="AB40" s="5"/>
    </row>
    <row r="41" spans="1:28" ht="15.75" customHeight="1" thickBot="1" x14ac:dyDescent="0.3">
      <c r="A41" s="224" t="s">
        <v>16</v>
      </c>
      <c r="B41" s="295"/>
      <c r="C41" s="41" t="s">
        <v>35</v>
      </c>
      <c r="D41" s="40" t="s">
        <v>34</v>
      </c>
      <c r="E41" s="150" cm="1">
        <f t="array" ref="E41">IFERROR(_xlfn.XLOOKUP(1, (Фрахт!$A$5:$A$80 = $A41)* (Фрахт!$B$5:$B$80 = $C41) * (Фрахт!$C$5:$C$80 =$D41),  _xlfn.XLOOKUP(1,  (Фрахт!$D$4:$E$4 = E$2) * 1, Фрахт!$D$5:$E$80)) *  $S$1, "-")</f>
        <v>315000</v>
      </c>
      <c r="F41" s="150" cm="1">
        <f t="array" ref="F41">IFERROR(_xlfn.XLOOKUP(1, (Фрахт!$A$5:$A$80 = $A41)* (Фрахт!$B$5:$B$80 = $C41) * (Фрахт!$C$5:$C$80 =$D41),  _xlfn.XLOOKUP(1,  (Фрахт!$D$4:$E$4 = F$2) * 1, Фрахт!$D$5:$E$80)) *  $S$1, "-")</f>
        <v>472500</v>
      </c>
      <c r="G41" s="150" cm="1">
        <f t="array" aca="1" ref="G41" ca="1">IFERROR(_xlfn.XLOOKUP(1,  ('Drop off'!$A$6:$A$14 = $C41) * 1,  _xlfn.XLOOKUP(1,  ('Drop off'!$B$5:$I$5 = G$2) * ('Drop off'!$B$4:$I$4 = $S$2), 'Drop off'!$B$6:$I$14)) * $S$1, "-")</f>
        <v>37800</v>
      </c>
      <c r="H41" s="150" cm="1">
        <f t="array" aca="1" ref="H41" ca="1">IFERROR(_xlfn.XLOOKUP(1,  ('Drop off'!$A$6:$A$14 = $C41) * 1,  _xlfn.XLOOKUP(1,  ('Drop off'!$B$5:$I$5 = H$2) * ('Drop off'!$B$4:$I$4 = $S$2), 'Drop off'!$B$6:$I$14)) * $S$1, "-")</f>
        <v>56700</v>
      </c>
      <c r="I41" s="150" cm="1">
        <f t="array" aca="1" ref="I41" ca="1">IFERROR(_xlfn.XLOOKUP(1,  ('ж.д.'!$A$6:$A$14 = $D41) * 1,  _xlfn.XLOOKUP(1,  ('ж.д.'!$B$5:$M$5 = I$2) * ('ж.д.'!$B$4:$M$4 = $S$2), 'ж.д.'!$B$6:$M$14)), "-")</f>
        <v>108400</v>
      </c>
      <c r="J41" s="150" cm="1">
        <f t="array" aca="1" ref="J41" ca="1">IFERROR(_xlfn.XLOOKUP(1,  ('ж.д.'!$A$6:$A$14 = $D41) * 1,  _xlfn.XLOOKUP(1,  ('ж.д.'!$B$5:$M$5 = J$2) * ('ж.д.'!$B$4:$M$4 = $S$2), 'ж.д.'!$B$6:$M$14)), "-")</f>
        <v>122400</v>
      </c>
      <c r="K41" s="150" cm="1">
        <f t="array" aca="1" ref="K41" ca="1">IFERROR(_xlfn.XLOOKUP(1,  ('ж.д.'!$A$6:$A$14 = $D41) * 1,  _xlfn.XLOOKUP(1,  ('ж.д.'!$B$5:$M$5 = K$2) * ('ж.д.'!$B$4:$M$4 = $S$2), 'ж.д.'!$B$6:$M$14)), "-")</f>
        <v>200400</v>
      </c>
      <c r="L41" s="150" cm="1">
        <f t="array" aca="1" ref="L41" ca="1">IF(ISNUMBER(SEARCH("Транс",$C41)),_xlfn.XLOOKUP(1,('Фрахт Транс'!$A$5:$A$10=$D41)*1,_xlfn.XLOOKUP(1,('Фрахт Транс'!$B$3:$M$3 = $S$2)*('Фрахт Транс'!$B$4:$M$4=L$2),'Фрахт Транс'!$B$5:$M$10)),SUM($E41, $G41, $I41, $O41))</f>
        <v>463639</v>
      </c>
      <c r="M41" s="150" cm="1">
        <f t="array" aca="1" ref="M41" ca="1">IF(ISNUMBER(SEARCH("Транс",$C41)),_xlfn.XLOOKUP(1,('Фрахт Транс'!$A$5:$A$10=$D41)*1,_xlfn.XLOOKUP(1,('Фрахт Транс'!$B$3:$M$3=$S$2)*('Фрахт Транс'!$B$4:$M$4=M$2),'Фрахт Транс'!$B$5:$M$10)),SUM($E41, $G41, $J41, $O41))</f>
        <v>477639</v>
      </c>
      <c r="N41" s="150" cm="1">
        <f t="array" aca="1" ref="N41" ca="1">IF(ISNUMBER(SEARCH("Транс",$C41)),_xlfn.XLOOKUP(1,('Фрахт Транс'!$A$5:$A$10=$D41)*1,_xlfn.XLOOKUP(1,('Фрахт Транс'!$B$3:$M$3=$S$2)*('Фрахт Транс'!$B$4:$M$4=N$2),'Фрахт Транс'!$B$5:$M$10)),SUM($F41, $H41, $K41, $P41))</f>
        <v>734539</v>
      </c>
      <c r="O41" s="150" cm="1">
        <f t="array" aca="1" ref="O41" ca="1">IFERROR(_xlfn.XLOOKUP(1,  (Охрана!$A$6:$A$14 = $D41) * 1,  _xlfn.XLOOKUP(1,  (Охрана!$B$5:$M$5 = O$2) * (Охрана!$B$4:$M$4 = $S$2), Охрана!$B$6:$M$14)), "-")</f>
        <v>2439</v>
      </c>
      <c r="P41" s="195" cm="1">
        <f t="array" aca="1" ref="P41" ca="1">IFERROR(_xlfn.XLOOKUP(1,  (Охрана!$A$6:$A$14 = $D41) * 1,  _xlfn.XLOOKUP(1,  (Охрана!$B$5:$M$5 = P$2) * (Охрана!$B$4:$M$4 = $S$2), Охрана!$B$6:$M$14)), "-")</f>
        <v>4939</v>
      </c>
      <c r="Q41" s="286"/>
      <c r="R41" s="4"/>
      <c r="AB41" s="5"/>
    </row>
    <row r="42" spans="1:28" ht="15" customHeight="1" thickBot="1" x14ac:dyDescent="0.3">
      <c r="A42" s="224" t="s">
        <v>16</v>
      </c>
      <c r="B42" s="295"/>
      <c r="C42" s="41" t="s">
        <v>35</v>
      </c>
      <c r="D42" s="40" t="s">
        <v>10</v>
      </c>
      <c r="E42" s="150" cm="1">
        <f t="array" ref="E42">IFERROR(_xlfn.XLOOKUP(1, (Фрахт!$A$5:$A$80 = $A42)* (Фрахт!$B$5:$B$80 = $C42) * (Фрахт!$C$5:$C$80 =$D42),  _xlfn.XLOOKUP(1,  (Фрахт!$D$4:$E$4 = E$2) * 1, Фрахт!$D$5:$E$80)) *  $S$1, "-")</f>
        <v>315000</v>
      </c>
      <c r="F42" s="150" cm="1">
        <f t="array" ref="F42">IFERROR(_xlfn.XLOOKUP(1, (Фрахт!$A$5:$A$80 = $A42)* (Фрахт!$B$5:$B$80 = $C42) * (Фрахт!$C$5:$C$80 =$D42),  _xlfn.XLOOKUP(1,  (Фрахт!$D$4:$E$4 = F$2) * 1, Фрахт!$D$5:$E$80)) *  $S$1, "-")</f>
        <v>472500</v>
      </c>
      <c r="G42" s="150" cm="1">
        <f t="array" aca="1" ref="G42" ca="1">IFERROR(_xlfn.XLOOKUP(1,  ('Drop off'!$A$6:$A$14 = $C42) * 1,  _xlfn.XLOOKUP(1,  ('Drop off'!$B$5:$I$5 = G$2) * ('Drop off'!$B$4:$I$4 = $S$2), 'Drop off'!$B$6:$I$14)) * $S$1, "-")</f>
        <v>37800</v>
      </c>
      <c r="H42" s="150" cm="1">
        <f t="array" aca="1" ref="H42" ca="1">IFERROR(_xlfn.XLOOKUP(1,  ('Drop off'!$A$6:$A$14 = $C42) * 1,  _xlfn.XLOOKUP(1,  ('Drop off'!$B$5:$I$5 = H$2) * ('Drop off'!$B$4:$I$4 = $S$2), 'Drop off'!$B$6:$I$14)) * $S$1, "-")</f>
        <v>56700</v>
      </c>
      <c r="I42" s="150" cm="1">
        <f t="array" aca="1" ref="I42" ca="1">IFERROR(_xlfn.XLOOKUP(1,  ('ж.д.'!$A$6:$A$14 = $D42) * 1,  _xlfn.XLOOKUP(1,  ('ж.д.'!$B$5:$M$5 = I$2) * ('ж.д.'!$B$4:$M$4 = $S$2), 'ж.д.'!$B$6:$M$14)), "-")</f>
        <v>109000</v>
      </c>
      <c r="J42" s="150" cm="1">
        <f t="array" aca="1" ref="J42" ca="1">IFERROR(_xlfn.XLOOKUP(1,  ('ж.д.'!$A$6:$A$14 = $D42) * 1,  _xlfn.XLOOKUP(1,  ('ж.д.'!$B$5:$M$5 = J$2) * ('ж.д.'!$B$4:$M$4 = $S$2), 'ж.д.'!$B$6:$M$14)), "-")</f>
        <v>122755</v>
      </c>
      <c r="K42" s="150" cm="1">
        <f t="array" aca="1" ref="K42" ca="1">IFERROR(_xlfn.XLOOKUP(1,  ('ж.д.'!$A$6:$A$14 = $D42) * 1,  _xlfn.XLOOKUP(1,  ('ж.д.'!$B$5:$M$5 = K$2) * ('ж.д.'!$B$4:$M$4 = $S$2), 'ж.д.'!$B$6:$M$14)), "-")</f>
        <v>203500</v>
      </c>
      <c r="L42" s="150" cm="1">
        <f t="array" aca="1" ref="L42" ca="1">IF(ISNUMBER(SEARCH("Транс",$C42)),_xlfn.XLOOKUP(1,('Фрахт Транс'!$A$5:$A$10=$D42)*1,_xlfn.XLOOKUP(1,('Фрахт Транс'!$B$3:$M$3 = $S$2)*('Фрахт Транс'!$B$4:$M$4=L$2),'Фрахт Транс'!$B$5:$M$10)),SUM($E42, $G42, $I42, $O42))</f>
        <v>464989</v>
      </c>
      <c r="M42" s="150" cm="1">
        <f t="array" aca="1" ref="M42" ca="1">IF(ISNUMBER(SEARCH("Транс",$C42)),_xlfn.XLOOKUP(1,('Фрахт Транс'!$A$5:$A$10=$D42)*1,_xlfn.XLOOKUP(1,('Фрахт Транс'!$B$3:$M$3=$S$2)*('Фрахт Транс'!$B$4:$M$4=M$2),'Фрахт Транс'!$B$5:$M$10)),SUM($E42, $G42, $J42, $O42))</f>
        <v>478744</v>
      </c>
      <c r="N42" s="150" cm="1">
        <f t="array" aca="1" ref="N42" ca="1">IF(ISNUMBER(SEARCH("Транс",$C42)),_xlfn.XLOOKUP(1,('Фрахт Транс'!$A$5:$A$10=$D42)*1,_xlfn.XLOOKUP(1,('Фрахт Транс'!$B$3:$M$3=$S$2)*('Фрахт Транс'!$B$4:$M$4=N$2),'Фрахт Транс'!$B$5:$M$10)),SUM($F42, $H42, $K42, $P42))</f>
        <v>738389</v>
      </c>
      <c r="O42" s="150" cm="1">
        <f t="array" aca="1" ref="O42" ca="1">IFERROR(_xlfn.XLOOKUP(1,  (Охрана!$A$6:$A$14 = $D42) * 1,  _xlfn.XLOOKUP(1,  (Охрана!$B$5:$M$5 = O$2) * (Охрана!$B$4:$M$4 = $S$2), Охрана!$B$6:$M$14)), "-")</f>
        <v>3189</v>
      </c>
      <c r="P42" s="195" cm="1">
        <f t="array" aca="1" ref="P42" ca="1">IFERROR(_xlfn.XLOOKUP(1,  (Охрана!$A$6:$A$14 = $D42) * 1,  _xlfn.XLOOKUP(1,  (Охрана!$B$5:$M$5 = P$2) * (Охрана!$B$4:$M$4 = $S$2), Охрана!$B$6:$M$14)), "-")</f>
        <v>5689</v>
      </c>
      <c r="Q42" s="286"/>
      <c r="AB42" s="5"/>
    </row>
    <row r="43" spans="1:28" ht="15" customHeight="1" thickBot="1" x14ac:dyDescent="0.3">
      <c r="A43" s="224" t="s">
        <v>16</v>
      </c>
      <c r="B43" s="295"/>
      <c r="C43" s="41" t="s">
        <v>35</v>
      </c>
      <c r="D43" s="40" t="s">
        <v>7</v>
      </c>
      <c r="E43" s="150" cm="1">
        <f t="array" ref="E43">IFERROR(_xlfn.XLOOKUP(1, (Фрахт!$A$5:$A$80 = $A43)* (Фрахт!$B$5:$B$80 = $C43) * (Фрахт!$C$5:$C$80 =$D43),  _xlfn.XLOOKUP(1,  (Фрахт!$D$4:$E$4 = E$2) * 1, Фрахт!$D$5:$E$80)) *  $S$1, "-")</f>
        <v>315000</v>
      </c>
      <c r="F43" s="150" cm="1">
        <f t="array" ref="F43">IFERROR(_xlfn.XLOOKUP(1, (Фрахт!$A$5:$A$80 = $A43)* (Фрахт!$B$5:$B$80 = $C43) * (Фрахт!$C$5:$C$80 =$D43),  _xlfn.XLOOKUP(1,  (Фрахт!$D$4:$E$4 = F$2) * 1, Фрахт!$D$5:$E$80)) *  $S$1, "-")</f>
        <v>472500</v>
      </c>
      <c r="G43" s="150" cm="1">
        <f t="array" aca="1" ref="G43" ca="1">IFERROR(_xlfn.XLOOKUP(1,  ('Drop off'!$A$6:$A$14 = $C43) * 1,  _xlfn.XLOOKUP(1,  ('Drop off'!$B$5:$I$5 = G$2) * ('Drop off'!$B$4:$I$4 = $S$2), 'Drop off'!$B$6:$I$14)) * $S$1, "-")</f>
        <v>37800</v>
      </c>
      <c r="H43" s="150" cm="1">
        <f t="array" aca="1" ref="H43" ca="1">IFERROR(_xlfn.XLOOKUP(1,  ('Drop off'!$A$6:$A$14 = $C43) * 1,  _xlfn.XLOOKUP(1,  ('Drop off'!$B$5:$I$5 = H$2) * ('Drop off'!$B$4:$I$4 = $S$2), 'Drop off'!$B$6:$I$14)) * $S$1, "-")</f>
        <v>56700</v>
      </c>
      <c r="I43" s="150" cm="1">
        <f t="array" aca="1" ref="I43" ca="1">IFERROR(_xlfn.XLOOKUP(1,  ('ж.д.'!$A$6:$A$14 = $D43) * 1,  _xlfn.XLOOKUP(1,  ('ж.д.'!$B$5:$M$5 = I$2) * ('ж.д.'!$B$4:$M$4 = $S$2), 'ж.д.'!$B$6:$M$14)), "-")</f>
        <v>105000</v>
      </c>
      <c r="J43" s="150" cm="1">
        <f t="array" aca="1" ref="J43" ca="1">IFERROR(_xlfn.XLOOKUP(1,  ('ж.д.'!$A$6:$A$14 = $D43) * 1,  _xlfn.XLOOKUP(1,  ('ж.д.'!$B$5:$M$5 = J$2) * ('ж.д.'!$B$4:$M$4 = $S$2), 'ж.д.'!$B$6:$M$14)), "-")</f>
        <v>120000</v>
      </c>
      <c r="K43" s="150" cm="1">
        <f t="array" aca="1" ref="K43" ca="1">IFERROR(_xlfn.XLOOKUP(1,  ('ж.д.'!$A$6:$A$14 = $D43) * 1,  _xlfn.XLOOKUP(1,  ('ж.д.'!$B$5:$M$5 = K$2) * ('ж.д.'!$B$4:$M$4 = $S$2), 'ж.д.'!$B$6:$M$14)), "-")</f>
        <v>192000</v>
      </c>
      <c r="L43" s="150" cm="1">
        <f t="array" aca="1" ref="L43" ca="1">IF(ISNUMBER(SEARCH("Транс",$C43)),_xlfn.XLOOKUP(1,('Фрахт Транс'!$A$5:$A$10=$D43)*1,_xlfn.XLOOKUP(1,('Фрахт Транс'!$B$3:$M$3 = $S$2)*('Фрахт Транс'!$B$4:$M$4=L$2),'Фрахт Транс'!$B$5:$M$10)),SUM($E43, $G43, $I43, $O43))</f>
        <v>460800</v>
      </c>
      <c r="M43" s="150" cm="1">
        <f t="array" aca="1" ref="M43" ca="1">IF(ISNUMBER(SEARCH("Транс",$C43)),_xlfn.XLOOKUP(1,('Фрахт Транс'!$A$5:$A$10=$D43)*1,_xlfn.XLOOKUP(1,('Фрахт Транс'!$B$3:$M$3=$S$2)*('Фрахт Транс'!$B$4:$M$4=M$2),'Фрахт Транс'!$B$5:$M$10)),SUM($E43, $G43, $J43, $O43))</f>
        <v>475800</v>
      </c>
      <c r="N43" s="150" cm="1">
        <f t="array" aca="1" ref="N43" ca="1">IF(ISNUMBER(SEARCH("Транс",$C43)),_xlfn.XLOOKUP(1,('Фрахт Транс'!$A$5:$A$10=$D43)*1,_xlfn.XLOOKUP(1,('Фрахт Транс'!$B$3:$M$3=$S$2)*('Фрахт Транс'!$B$4:$M$4=N$2),'Фрахт Транс'!$B$5:$M$10)),SUM($F43, $H43, $K43, $P43))</f>
        <v>727200</v>
      </c>
      <c r="O43" s="150" cm="1">
        <f t="array" aca="1" ref="O43" ca="1">IFERROR(_xlfn.XLOOKUP(1,  (Охрана!$A$6:$A$14 = $D43) * 1,  _xlfn.XLOOKUP(1,  (Охрана!$B$5:$M$5 = O$2) * (Охрана!$B$4:$M$4 = $S$2), Охрана!$B$6:$M$14)), "-")</f>
        <v>3000</v>
      </c>
      <c r="P43" s="195" cm="1">
        <f t="array" aca="1" ref="P43" ca="1">IFERROR(_xlfn.XLOOKUP(1,  (Охрана!$A$6:$A$14 = $D43) * 1,  _xlfn.XLOOKUP(1,  (Охрана!$B$5:$M$5 = P$2) * (Охрана!$B$4:$M$4 = $S$2), Охрана!$B$6:$M$14)), "-")</f>
        <v>6000</v>
      </c>
      <c r="Q43" s="286"/>
      <c r="R43" s="4"/>
      <c r="AB43" s="5"/>
    </row>
    <row r="44" spans="1:28" ht="15" customHeight="1" thickBot="1" x14ac:dyDescent="0.3">
      <c r="A44" s="224" t="s">
        <v>16</v>
      </c>
      <c r="B44" s="295"/>
      <c r="C44" s="50" t="s">
        <v>36</v>
      </c>
      <c r="D44" s="50" t="s">
        <v>21</v>
      </c>
      <c r="E44" s="151" cm="1">
        <f t="array" ref="E44">IFERROR(_xlfn.XLOOKUP(1, (Фрахт!$A$5:$A$80 = $A44)* (Фрахт!$B$5:$B$80 = $C44) * (Фрахт!$C$5:$C$80 =$D44),  _xlfn.XLOOKUP(1,  (Фрахт!$D$4:$E$4 = E$2) * 1, Фрахт!$D$5:$E$80)) *  $S$1, "-")</f>
        <v>266160</v>
      </c>
      <c r="F44" s="151" cm="1">
        <f t="array" ref="F44">IFERROR(_xlfn.XLOOKUP(1, (Фрахт!$A$5:$A$80 = $A44)* (Фрахт!$B$5:$B$80 = $C44) * (Фрахт!$C$5:$C$80 =$D44),  _xlfn.XLOOKUP(1,  (Фрахт!$D$4:$E$4 = F$2) * 1, Фрахт!$D$5:$E$80)) *  $S$1, "-")</f>
        <v>442320</v>
      </c>
      <c r="G44" s="151" cm="1">
        <f t="array" aca="1" ref="G44" ca="1">IFERROR(_xlfn.XLOOKUP(1,  ('Drop off'!$A$6:$A$14 = $C44) * 1,  _xlfn.XLOOKUP(1,  ('Drop off'!$B$5:$I$5 = G$2) * ('Drop off'!$B$4:$I$4 = $S$2), 'Drop off'!$B$6:$I$14)) * $S$1, "-")</f>
        <v>18000</v>
      </c>
      <c r="H44" s="151" cm="1">
        <f t="array" aca="1" ref="H44" ca="1">IFERROR(_xlfn.XLOOKUP(1,  ('Drop off'!$A$6:$A$14 = $C44) * 1,  _xlfn.XLOOKUP(1,  ('Drop off'!$B$5:$I$5 = H$2) * ('Drop off'!$B$4:$I$4 = $S$2), 'Drop off'!$B$6:$I$14)) * $S$1, "-")</f>
        <v>18000</v>
      </c>
      <c r="I44" s="151" cm="1">
        <f t="array" aca="1" ref="I44" ca="1">IFERROR(_xlfn.XLOOKUP(1,  ('ж.д.'!$A$6:$A$14 = $D44) * 1,  _xlfn.XLOOKUP(1,  ('ж.д.'!$B$5:$M$5 = I$2) * ('ж.д.'!$B$4:$M$4 = $S$2), 'ж.д.'!$B$6:$M$14)), "-")</f>
        <v>108400</v>
      </c>
      <c r="J44" s="151" cm="1">
        <f t="array" aca="1" ref="J44" ca="1">IFERROR(_xlfn.XLOOKUP(1,  ('ж.д.'!$A$6:$A$14 = $D44) * 1,  _xlfn.XLOOKUP(1,  ('ж.д.'!$B$5:$M$5 = J$2) * ('ж.д.'!$B$4:$M$4 = $S$2), 'ж.д.'!$B$6:$M$14)), "-")</f>
        <v>122400</v>
      </c>
      <c r="K44" s="151" cm="1">
        <f t="array" aca="1" ref="K44" ca="1">IFERROR(_xlfn.XLOOKUP(1,  ('ж.д.'!$A$6:$A$14 = $D44) * 1,  _xlfn.XLOOKUP(1,  ('ж.д.'!$B$5:$M$5 = K$2) * ('ж.д.'!$B$4:$M$4 = $S$2), 'ж.д.'!$B$6:$M$14)), "-")</f>
        <v>200400</v>
      </c>
      <c r="L44" s="151" cm="1">
        <f t="array" aca="1" ref="L44" ca="1">IF(ISNUMBER(SEARCH("Транс",$C44)),_xlfn.XLOOKUP(1,('Фрахт Транс'!$A$5:$A$10=$D44)*1,_xlfn.XLOOKUP(1,('Фрахт Транс'!$B$3:$M$3 = $S$2)*('Фрахт Транс'!$B$4:$M$4=L$2),'Фрахт Транс'!$B$5:$M$10)),SUM($E44, $G44, $I44, $O44))</f>
        <v>394999</v>
      </c>
      <c r="M44" s="151" cm="1">
        <f t="array" aca="1" ref="M44" ca="1">IF(ISNUMBER(SEARCH("Транс",$C44)),_xlfn.XLOOKUP(1,('Фрахт Транс'!$A$5:$A$10=$D44)*1,_xlfn.XLOOKUP(1,('Фрахт Транс'!$B$3:$M$3=$S$2)*('Фрахт Транс'!$B$4:$M$4=M$2),'Фрахт Транс'!$B$5:$M$10)),SUM($E44, $G44, $J44, $O44))</f>
        <v>408999</v>
      </c>
      <c r="N44" s="151" cm="1">
        <f t="array" aca="1" ref="N44" ca="1">IF(ISNUMBER(SEARCH("Транс",$C44)),_xlfn.XLOOKUP(1,('Фрахт Транс'!$A$5:$A$10=$D44)*1,_xlfn.XLOOKUP(1,('Фрахт Транс'!$B$3:$M$3=$S$2)*('Фрахт Транс'!$B$4:$M$4=N$2),'Фрахт Транс'!$B$5:$M$10)),SUM($F44, $H44, $K44, $P44))</f>
        <v>665659</v>
      </c>
      <c r="O44" s="151" cm="1">
        <f t="array" aca="1" ref="O44" ca="1">IFERROR(_xlfn.XLOOKUP(1,  (Охрана!$A$6:$A$14 = $D44) * 1,  _xlfn.XLOOKUP(1,  (Охрана!$B$5:$M$5 = O$2) * (Охрана!$B$4:$M$4 = $S$2), Охрана!$B$6:$M$14)), "-")</f>
        <v>2439</v>
      </c>
      <c r="P44" s="196" cm="1">
        <f t="array" aca="1" ref="P44" ca="1">IFERROR(_xlfn.XLOOKUP(1,  (Охрана!$A$6:$A$14 = $D44) * 1,  _xlfn.XLOOKUP(1,  (Охрана!$B$5:$M$5 = P$2) * (Охрана!$B$4:$M$4 = $S$2), Охрана!$B$6:$M$14)), "-")</f>
        <v>4939</v>
      </c>
      <c r="Q44" s="38"/>
      <c r="R44" s="71"/>
      <c r="AB44" s="5"/>
    </row>
    <row r="45" spans="1:28" ht="15.75" customHeight="1" thickBot="1" x14ac:dyDescent="0.3">
      <c r="A45" s="224" t="s">
        <v>16</v>
      </c>
      <c r="B45" s="305"/>
      <c r="C45" s="58" t="s">
        <v>37</v>
      </c>
      <c r="D45" s="55" t="s">
        <v>11</v>
      </c>
      <c r="E45" s="228" t="str" cm="1">
        <f t="array" ref="E45">IFERROR(_xlfn.XLOOKUP(1, (Фрахт!$A$5:$A$80 = $A45)* (Фрахт!$B$5:$B$80 = $C45) * (Фрахт!$C$5:$C$80 =$D45),  _xlfn.XLOOKUP(1,  (Фрахт!$D$4:$E$4 = E$2) * 1, Фрахт!$D$5:$E$80)) *  $S$1, "-")</f>
        <v>-</v>
      </c>
      <c r="F45" s="228" t="str" cm="1">
        <f t="array" ref="F45">IFERROR(_xlfn.XLOOKUP(1, (Фрахт!$A$5:$A$80 = $A45)* (Фрахт!$B$5:$B$80 = $C45) * (Фрахт!$C$5:$C$80 =$D45),  _xlfn.XLOOKUP(1,  (Фрахт!$D$4:$E$4 = F$2) * 1, Фрахт!$D$5:$E$80)) *  $S$1, "-")</f>
        <v>-</v>
      </c>
      <c r="G45" s="228" cm="1">
        <f t="array" aca="1" ref="G45" ca="1">IFERROR(_xlfn.XLOOKUP(1,  ('Drop off'!$A$6:$A$14 = $C45) * 1,  _xlfn.XLOOKUP(1,  ('Drop off'!$B$5:$I$5 = G$2) * ('Drop off'!$B$4:$I$4 = $S$2), 'Drop off'!$B$6:$I$14)) * $S$1, "-")</f>
        <v>0</v>
      </c>
      <c r="H45" s="228" cm="1">
        <f t="array" aca="1" ref="H45" ca="1">IFERROR(_xlfn.XLOOKUP(1,  ('Drop off'!$A$6:$A$14 = $C45) * 1,  _xlfn.XLOOKUP(1,  ('Drop off'!$B$5:$I$5 = H$2) * ('Drop off'!$B$4:$I$4 = $S$2), 'Drop off'!$B$6:$I$14)) * $S$1, "-")</f>
        <v>0</v>
      </c>
      <c r="I45" s="228" cm="1">
        <f t="array" aca="1" ref="I45" ca="1">IFERROR(_xlfn.XLOOKUP(1,  ('ж.д.'!$A$6:$A$14 = $D45) * 1,  _xlfn.XLOOKUP(1,  ('ж.д.'!$B$5:$M$5 = I$2) * ('ж.д.'!$B$4:$M$4 = $S$2), 'ж.д.'!$B$6:$M$14)), "-")</f>
        <v>105900</v>
      </c>
      <c r="J45" s="228" cm="1">
        <f t="array" aca="1" ref="J45" ca="1">IFERROR(_xlfn.XLOOKUP(1,  ('ж.д.'!$A$6:$A$14 = $D45) * 1,  _xlfn.XLOOKUP(1,  ('ж.д.'!$B$5:$M$5 = J$2) * ('ж.д.'!$B$4:$M$4 = $S$2), 'ж.д.'!$B$6:$M$14)), "-")</f>
        <v>122100</v>
      </c>
      <c r="K45" s="228" cm="1">
        <f t="array" aca="1" ref="K45" ca="1">IFERROR(_xlfn.XLOOKUP(1,  ('ж.д.'!$A$6:$A$14 = $D45) * 1,  _xlfn.XLOOKUP(1,  ('ж.д.'!$B$5:$M$5 = K$2) * ('ж.д.'!$B$4:$M$4 = $S$2), 'ж.д.'!$B$6:$M$14)), "-")</f>
        <v>196200</v>
      </c>
      <c r="L45" s="228" cm="1">
        <f t="array" aca="1" ref="L45" ca="1">IF(ISNUMBER(SEARCH("Транс",$C45)),_xlfn.XLOOKUP(1,('Фрахт Транс'!$A$5:$A$10=$D45)*1,_xlfn.XLOOKUP(1,('Фрахт Транс'!$B$3:$M$3 = $S$2)*('Фрахт Транс'!$B$4:$M$4=L$2),'Фрахт Транс'!$B$5:$M$10)),SUM($E45, $G45, $I45, $O45))</f>
        <v>108339</v>
      </c>
      <c r="M45" s="228" cm="1">
        <f t="array" aca="1" ref="M45" ca="1">IF(ISNUMBER(SEARCH("Транс",$C45)),_xlfn.XLOOKUP(1,('Фрахт Транс'!$A$5:$A$10=$D45)*1,_xlfn.XLOOKUP(1,('Фрахт Транс'!$B$3:$M$3=$S$2)*('Фрахт Транс'!$B$4:$M$4=M$2),'Фрахт Транс'!$B$5:$M$10)),SUM($E45, $G45, $J45, $O45))</f>
        <v>124539</v>
      </c>
      <c r="N45" s="228" cm="1">
        <f t="array" aca="1" ref="N45" ca="1">IF(ISNUMBER(SEARCH("Транс",$C45)),_xlfn.XLOOKUP(1,('Фрахт Транс'!$A$5:$A$10=$D45)*1,_xlfn.XLOOKUP(1,('Фрахт Транс'!$B$3:$M$3=$S$2)*('Фрахт Транс'!$B$4:$M$4=N$2),'Фрахт Транс'!$B$5:$M$10)),SUM($F45, $H45, $K45, $P45))</f>
        <v>201139</v>
      </c>
      <c r="O45" s="228" cm="1">
        <f t="array" aca="1" ref="O45" ca="1">IFERROR(_xlfn.XLOOKUP(1,  (Охрана!$A$6:$A$14 = $D45) * 1,  _xlfn.XLOOKUP(1,  (Охрана!$B$5:$M$5 = O$2) * (Охрана!$B$4:$M$4 = $S$2), Охрана!$B$6:$M$14)), "-")</f>
        <v>2439</v>
      </c>
      <c r="P45" s="229" cm="1">
        <f t="array" aca="1" ref="P45" ca="1">IFERROR(_xlfn.XLOOKUP(1,  (Охрана!$A$6:$A$14 = $D45) * 1,  _xlfn.XLOOKUP(1,  (Охрана!$B$5:$M$5 = P$2) * (Охрана!$B$4:$M$4 = $S$2), Охрана!$B$6:$M$14)), "-")</f>
        <v>4939</v>
      </c>
      <c r="Q45" s="38"/>
      <c r="R45" s="71"/>
      <c r="AB45" s="5"/>
    </row>
    <row r="46" spans="1:28" ht="30.75" thickBot="1" x14ac:dyDescent="0.3">
      <c r="A46" s="223" t="s">
        <v>17</v>
      </c>
      <c r="B46" s="300" t="s">
        <v>17</v>
      </c>
      <c r="C46" s="63" t="s">
        <v>43</v>
      </c>
      <c r="D46" s="64" t="s">
        <v>47</v>
      </c>
      <c r="E46" s="148" t="str" cm="1">
        <f t="array" ref="E46">IFERROR(_xlfn.XLOOKUP(1, (Фрахт!$A$5:$A$80 = $A46)* (Фрахт!$B$5:$B$80 = $C46) * (Фрахт!$C$5:$C$80 =$D46),  _xlfn.XLOOKUP(1,  (Фрахт!$D$4:$E$4 = E$2) * 1, Фрахт!$D$5:$E$80)) *  $S$1, "-")</f>
        <v>-</v>
      </c>
      <c r="F46" s="148" t="str" cm="1">
        <f t="array" ref="F46">IFERROR(_xlfn.XLOOKUP(1, (Фрахт!$A$5:$A$80 = $A46)* (Фрахт!$B$5:$B$80 = $C46) * (Фрахт!$C$5:$C$80 =$D46),  _xlfn.XLOOKUP(1,  (Фрахт!$D$4:$E$4 = F$2) * 1, Фрахт!$D$5:$E$80)) *  $S$1, "-")</f>
        <v>-</v>
      </c>
      <c r="G46" s="148" cm="1">
        <f t="array" aca="1" ref="G46" ca="1">IFERROR(_xlfn.XLOOKUP(1,  ('Drop off'!$A$6:$A$14 = $C46) * 1,  _xlfn.XLOOKUP(1,  ('Drop off'!$B$5:$I$5 = G$2) * ('Drop off'!$B$4:$I$4 = $S$2), 'Drop off'!$B$6:$I$14)) * $S$1, "-")</f>
        <v>0</v>
      </c>
      <c r="H46" s="148" cm="1">
        <f t="array" aca="1" ref="H46" ca="1">IFERROR(_xlfn.XLOOKUP(1,  ('Drop off'!$A$6:$A$14 = $C46) * 1,  _xlfn.XLOOKUP(1,  ('Drop off'!$B$5:$I$5 = H$2) * ('Drop off'!$B$4:$I$4 = $S$2), 'Drop off'!$B$6:$I$14)) * $S$1, "-")</f>
        <v>0</v>
      </c>
      <c r="I46" s="148" t="str" cm="1">
        <f t="array" aca="1" ref="I46" ca="1">IFERROR(_xlfn.XLOOKUP(1,  ('ж.д.'!$A$6:$A$14 = $D46) * 1,  _xlfn.XLOOKUP(1,  ('ж.д.'!$B$5:$M$5 = I$2) * ('ж.д.'!$B$4:$M$4 = $S$2), 'ж.д.'!$B$6:$M$14)), "-")</f>
        <v>-</v>
      </c>
      <c r="J46" s="148" t="str" cm="1">
        <f t="array" aca="1" ref="J46" ca="1">IFERROR(_xlfn.XLOOKUP(1,  ('ж.д.'!$A$6:$A$14 = $D46) * 1,  _xlfn.XLOOKUP(1,  ('ж.д.'!$B$5:$M$5 = J$2) * ('ж.д.'!$B$4:$M$4 = $S$2), 'ж.д.'!$B$6:$M$14)), "-")</f>
        <v>-</v>
      </c>
      <c r="K46" s="148" t="str" cm="1">
        <f t="array" aca="1" ref="K46" ca="1">IFERROR(_xlfn.XLOOKUP(1,  ('ж.д.'!$A$6:$A$14 = $D46) * 1,  _xlfn.XLOOKUP(1,  ('ж.д.'!$B$5:$M$5 = K$2) * ('ж.д.'!$B$4:$M$4 = $S$2), 'ж.д.'!$B$6:$M$14)), "-")</f>
        <v>-</v>
      </c>
      <c r="L46" s="148" cm="1">
        <f t="array" aca="1" ref="L46" ca="1">IF(ISNUMBER(SEARCH("Транс",$C46)),_xlfn.XLOOKUP(1,('Фрахт Транс'!$A$5:$A$10=$D46)*1,_xlfn.XLOOKUP(1,('Фрахт Транс'!$B$3:$M$3 = $S$2)*('Фрахт Транс'!$B$4:$M$4=L$2),'Фрахт Транс'!$B$5:$M$10)),SUM($E46, $G46, $I46, $O46))</f>
        <v>338042</v>
      </c>
      <c r="M46" s="148" cm="1">
        <f t="array" aca="1" ref="M46" ca="1">IF(ISNUMBER(SEARCH("Транс",$C46)),_xlfn.XLOOKUP(1,('Фрахт Транс'!$A$5:$A$10=$D46)*1,_xlfn.XLOOKUP(1,('Фрахт Транс'!$B$3:$M$3=$S$2)*('Фрахт Транс'!$B$4:$M$4=M$2),'Фрахт Транс'!$B$5:$M$10)),SUM($E46, $G46, $J46, $O46))</f>
        <v>353536</v>
      </c>
      <c r="N46" s="148" cm="1">
        <f t="array" aca="1" ref="N46" ca="1">IF(ISNUMBER(SEARCH("Транс",$C46)),_xlfn.XLOOKUP(1,('Фрахт Транс'!$A$5:$A$10=$D46)*1,_xlfn.XLOOKUP(1,('Фрахт Транс'!$B$3:$M$3=$S$2)*('Фрахт Транс'!$B$4:$M$4=N$2),'Фрахт Транс'!$B$5:$M$10)),SUM($F46, $H46, $K46, $P46))</f>
        <v>507676</v>
      </c>
      <c r="O46" s="148" t="str" cm="1">
        <f t="array" aca="1" ref="O46" ca="1">IFERROR(_xlfn.XLOOKUP(1,  (Охрана!$A$6:$A$14 = $D46) * 1,  _xlfn.XLOOKUP(1,  (Охрана!$B$5:$M$5 = O$2) * (Охрана!$B$4:$M$4 = $S$2), Охрана!$B$6:$M$14)), "-")</f>
        <v>-</v>
      </c>
      <c r="P46" s="230" t="str" cm="1">
        <f t="array" aca="1" ref="P46" ca="1">IFERROR(_xlfn.XLOOKUP(1,  (Охрана!$A$6:$A$14 = $D46) * 1,  _xlfn.XLOOKUP(1,  (Охрана!$B$5:$M$5 = P$2) * (Охрана!$B$4:$M$4 = $S$2), Охрана!$B$6:$M$14)), "-")</f>
        <v>-</v>
      </c>
      <c r="Q46" s="38"/>
      <c r="R46" s="6"/>
      <c r="AB46" s="5"/>
    </row>
    <row r="47" spans="1:28" ht="15" customHeight="1" thickBot="1" x14ac:dyDescent="0.3">
      <c r="A47" s="223" t="s">
        <v>17</v>
      </c>
      <c r="B47" s="301"/>
      <c r="C47" s="42" t="s">
        <v>12</v>
      </c>
      <c r="D47" s="32" t="s">
        <v>30</v>
      </c>
      <c r="E47" s="149" cm="1">
        <f t="array" ref="E47">IFERROR(_xlfn.XLOOKUP(1, (Фрахт!$A$5:$A$80 = $A47)* (Фрахт!$B$5:$B$80 = $C47) * (Фрахт!$C$5:$C$80 =$D47),  _xlfn.XLOOKUP(1,  (Фрахт!$D$4:$E$4 = E$2) * 1, Фрахт!$D$5:$E$80)) *  $S$1, "-")</f>
        <v>330000</v>
      </c>
      <c r="F47" s="149" cm="1">
        <f t="array" ref="F47">IFERROR(_xlfn.XLOOKUP(1, (Фрахт!$A$5:$A$80 = $A47)* (Фрахт!$B$5:$B$80 = $C47) * (Фрахт!$C$5:$C$80 =$D47),  _xlfn.XLOOKUP(1,  (Фрахт!$D$4:$E$4 = F$2) * 1, Фрахт!$D$5:$E$80)) *  $S$1, "-")</f>
        <v>450000</v>
      </c>
      <c r="G47" s="149" cm="1">
        <f t="array" aca="1" ref="G47" ca="1">IFERROR(_xlfn.XLOOKUP(1,  ('Drop off'!$A$6:$A$14 = $C47) * 1,  _xlfn.XLOOKUP(1,  ('Drop off'!$B$5:$I$5 = G$2) * ('Drop off'!$B$4:$I$4 = $S$2), 'Drop off'!$B$6:$I$14)) * $S$1, "-")</f>
        <v>0</v>
      </c>
      <c r="H47" s="149" cm="1">
        <f t="array" aca="1" ref="H47" ca="1">IFERROR(_xlfn.XLOOKUP(1,  ('Drop off'!$A$6:$A$14 = $C47) * 1,  _xlfn.XLOOKUP(1,  ('Drop off'!$B$5:$I$5 = H$2) * ('Drop off'!$B$4:$I$4 = $S$2), 'Drop off'!$B$6:$I$14)) * $S$1, "-")</f>
        <v>0</v>
      </c>
      <c r="I47" s="149" cm="1">
        <f t="array" aca="1" ref="I47" ca="1">IFERROR(_xlfn.XLOOKUP(1,  ('ж.д.'!$A$6:$A$14 = $D47) * 1,  _xlfn.XLOOKUP(1,  ('ж.д.'!$B$5:$M$5 = I$2) * ('ж.д.'!$B$4:$M$4 = $S$2), 'ж.д.'!$B$6:$M$14)), "-")</f>
        <v>97300</v>
      </c>
      <c r="J47" s="149" cm="1">
        <f t="array" aca="1" ref="J47" ca="1">IFERROR(_xlfn.XLOOKUP(1,  ('ж.д.'!$A$6:$A$14 = $D47) * 1,  _xlfn.XLOOKUP(1,  ('ж.д.'!$B$5:$M$5 = J$2) * ('ж.д.'!$B$4:$M$4 = $S$2), 'ж.д.'!$B$6:$M$14)), "-")</f>
        <v>109595</v>
      </c>
      <c r="K47" s="149" cm="1">
        <f t="array" aca="1" ref="K47" ca="1">IFERROR(_xlfn.XLOOKUP(1,  ('ж.д.'!$A$6:$A$14 = $D47) * 1,  _xlfn.XLOOKUP(1,  ('ж.д.'!$B$5:$M$5 = K$2) * ('ж.д.'!$B$4:$M$4 = $S$2), 'ж.д.'!$B$6:$M$14)), "-")</f>
        <v>195500</v>
      </c>
      <c r="L47" s="149" cm="1">
        <f t="array" aca="1" ref="L47" ca="1">IF(ISNUMBER(SEARCH("Транс",$C47)),_xlfn.XLOOKUP(1,('Фрахт Транс'!$A$5:$A$10=$D47)*1,_xlfn.XLOOKUP(1,('Фрахт Транс'!$B$3:$M$3 = $S$2)*('Фрахт Транс'!$B$4:$M$4=L$2),'Фрахт Транс'!$B$5:$M$10)),SUM($E47, $G47, $I47, $O47))</f>
        <v>430489</v>
      </c>
      <c r="M47" s="149" cm="1">
        <f t="array" aca="1" ref="M47" ca="1">IF(ISNUMBER(SEARCH("Транс",$C47)),_xlfn.XLOOKUP(1,('Фрахт Транс'!$A$5:$A$10=$D47)*1,_xlfn.XLOOKUP(1,('Фрахт Транс'!$B$3:$M$3=$S$2)*('Фрахт Транс'!$B$4:$M$4=M$2),'Фрахт Транс'!$B$5:$M$10)),SUM($E47, $G47, $J47, $O47))</f>
        <v>442784</v>
      </c>
      <c r="N47" s="149" cm="1">
        <f t="array" aca="1" ref="N47" ca="1">IF(ISNUMBER(SEARCH("Транс",$C47)),_xlfn.XLOOKUP(1,('Фрахт Транс'!$A$5:$A$10=$D47)*1,_xlfn.XLOOKUP(1,('Фрахт Транс'!$B$3:$M$3=$S$2)*('Фрахт Транс'!$B$4:$M$4=N$2),'Фрахт Транс'!$B$5:$M$10)),SUM($F47, $H47, $K47, $P47))</f>
        <v>651189</v>
      </c>
      <c r="O47" s="149" cm="1">
        <f t="array" aca="1" ref="O47" ca="1">IFERROR(_xlfn.XLOOKUP(1,  (Охрана!$A$6:$A$14 = $D47) * 1,  _xlfn.XLOOKUP(1,  (Охрана!$B$5:$M$5 = O$2) * (Охрана!$B$4:$M$4 = $S$2), Охрана!$B$6:$M$14)), "-")</f>
        <v>3189</v>
      </c>
      <c r="P47" s="194" cm="1">
        <f t="array" aca="1" ref="P47" ca="1">IFERROR(_xlfn.XLOOKUP(1,  (Охрана!$A$6:$A$14 = $D47) * 1,  _xlfn.XLOOKUP(1,  (Охрана!$B$5:$M$5 = P$2) * (Охрана!$B$4:$M$4 = $S$2), Охрана!$B$6:$M$14)), "-")</f>
        <v>5689</v>
      </c>
      <c r="Q47" s="282"/>
      <c r="R47" s="91"/>
      <c r="AB47" s="5"/>
    </row>
    <row r="48" spans="1:28" ht="15" customHeight="1" thickBot="1" x14ac:dyDescent="0.3">
      <c r="A48" s="223" t="s">
        <v>17</v>
      </c>
      <c r="B48" s="301"/>
      <c r="C48" s="42" t="s">
        <v>12</v>
      </c>
      <c r="D48" s="32" t="s">
        <v>55</v>
      </c>
      <c r="E48" s="149" cm="1">
        <f t="array" ref="E48">IFERROR(_xlfn.XLOOKUP(1, (Фрахт!$A$5:$A$80 = $A48)* (Фрахт!$B$5:$B$80 = $C48) * (Фрахт!$C$5:$C$80 =$D48),  _xlfn.XLOOKUP(1,  (Фрахт!$D$4:$E$4 = E$2) * 1, Фрахт!$D$5:$E$80)) *  $S$1, "-")</f>
        <v>330000</v>
      </c>
      <c r="F48" s="149" cm="1">
        <f t="array" ref="F48">IFERROR(_xlfn.XLOOKUP(1, (Фрахт!$A$5:$A$80 = $A48)* (Фрахт!$B$5:$B$80 = $C48) * (Фрахт!$C$5:$C$80 =$D48),  _xlfn.XLOOKUP(1,  (Фрахт!$D$4:$E$4 = F$2) * 1, Фрахт!$D$5:$E$80)) *  $S$1, "-")</f>
        <v>450000</v>
      </c>
      <c r="G48" s="149" cm="1">
        <f t="array" aca="1" ref="G48" ca="1">IFERROR(_xlfn.XLOOKUP(1,  ('Drop off'!$A$6:$A$14 = $C48) * 1,  _xlfn.XLOOKUP(1,  ('Drop off'!$B$5:$I$5 = G$2) * ('Drop off'!$B$4:$I$4 = $S$2), 'Drop off'!$B$6:$I$14)) * $S$1, "-")</f>
        <v>0</v>
      </c>
      <c r="H48" s="149" cm="1">
        <f t="array" aca="1" ref="H48" ca="1">IFERROR(_xlfn.XLOOKUP(1,  ('Drop off'!$A$6:$A$14 = $C48) * 1,  _xlfn.XLOOKUP(1,  ('Drop off'!$B$5:$I$5 = H$2) * ('Drop off'!$B$4:$I$4 = $S$2), 'Drop off'!$B$6:$I$14)) * $S$1, "-")</f>
        <v>0</v>
      </c>
      <c r="I48" s="149" cm="1">
        <f t="array" aca="1" ref="I48" ca="1">IFERROR(_xlfn.XLOOKUP(1,  ('ж.д.'!$A$6:$A$14 = $D48) * 1,  _xlfn.XLOOKUP(1,  ('ж.д.'!$B$5:$M$5 = I$2) * ('ж.д.'!$B$4:$M$4 = $S$2), 'ж.д.'!$B$6:$M$14)), "-")</f>
        <v>102705</v>
      </c>
      <c r="J48" s="149" cm="1">
        <f t="array" aca="1" ref="J48" ca="1">IFERROR(_xlfn.XLOOKUP(1,  ('ж.д.'!$A$6:$A$14 = $D48) * 1,  _xlfn.XLOOKUP(1,  ('ж.д.'!$B$5:$M$5 = J$2) * ('ж.д.'!$B$4:$M$4 = $S$2), 'ж.д.'!$B$6:$M$14)), "-")</f>
        <v>117975</v>
      </c>
      <c r="K48" s="149" cm="1">
        <f t="array" aca="1" ref="K48" ca="1">IFERROR(_xlfn.XLOOKUP(1,  ('ж.д.'!$A$6:$A$14 = $D48) * 1,  _xlfn.XLOOKUP(1,  ('ж.д.'!$B$5:$M$5 = K$2) * ('ж.д.'!$B$4:$M$4 = $S$2), 'ж.д.'!$B$6:$M$14)), "-")</f>
        <v>205870</v>
      </c>
      <c r="L48" s="149" cm="1">
        <f t="array" aca="1" ref="L48" ca="1">IF(ISNUMBER(SEARCH("Транс",$C48)),_xlfn.XLOOKUP(1,('Фрахт Транс'!$A$5:$A$10=$D48)*1,_xlfn.XLOOKUP(1,('Фрахт Транс'!$B$3:$M$3 = $S$2)*('Фрахт Транс'!$B$4:$M$4=L$2),'Фрахт Транс'!$B$5:$M$10)),SUM($E48, $G48, $I48, $O48))</f>
        <v>435894</v>
      </c>
      <c r="M48" s="149" cm="1">
        <f t="array" aca="1" ref="M48" ca="1">IF(ISNUMBER(SEARCH("Транс",$C48)),_xlfn.XLOOKUP(1,('Фрахт Транс'!$A$5:$A$10=$D48)*1,_xlfn.XLOOKUP(1,('Фрахт Транс'!$B$3:$M$3=$S$2)*('Фрахт Транс'!$B$4:$M$4=M$2),'Фрахт Транс'!$B$5:$M$10)),SUM($E48, $G48, $J48, $O48))</f>
        <v>451164</v>
      </c>
      <c r="N48" s="149" cm="1">
        <f t="array" aca="1" ref="N48" ca="1">IF(ISNUMBER(SEARCH("Транс",$C48)),_xlfn.XLOOKUP(1,('Фрахт Транс'!$A$5:$A$10=$D48)*1,_xlfn.XLOOKUP(1,('Фрахт Транс'!$B$3:$M$3=$S$2)*('Фрахт Транс'!$B$4:$M$4=N$2),'Фрахт Транс'!$B$5:$M$10)),SUM($F48, $H48, $K48, $P48))</f>
        <v>661559</v>
      </c>
      <c r="O48" s="149" cm="1">
        <f t="array" aca="1" ref="O48" ca="1">IFERROR(_xlfn.XLOOKUP(1,  (Охрана!$A$6:$A$14 = $D48) * 1,  _xlfn.XLOOKUP(1,  (Охрана!$B$5:$M$5 = O$2) * (Охрана!$B$4:$M$4 = $S$2), Охрана!$B$6:$M$14)), "-")</f>
        <v>3189</v>
      </c>
      <c r="P48" s="194" cm="1">
        <f t="array" aca="1" ref="P48" ca="1">IFERROR(_xlfn.XLOOKUP(1,  (Охрана!$A$6:$A$14 = $D48) * 1,  _xlfn.XLOOKUP(1,  (Охрана!$B$5:$M$5 = P$2) * (Охрана!$B$4:$M$4 = $S$2), Охрана!$B$6:$M$14)), "-")</f>
        <v>5689</v>
      </c>
      <c r="Q48" s="282"/>
      <c r="R48" s="3"/>
      <c r="AB48" s="5"/>
    </row>
    <row r="49" spans="1:28" ht="15.75" customHeight="1" thickBot="1" x14ac:dyDescent="0.3">
      <c r="A49" s="223" t="s">
        <v>17</v>
      </c>
      <c r="B49" s="301"/>
      <c r="C49" s="41" t="s">
        <v>35</v>
      </c>
      <c r="D49" s="40" t="s">
        <v>11</v>
      </c>
      <c r="E49" s="150" cm="1">
        <f t="array" ref="E49">IFERROR(_xlfn.XLOOKUP(1, (Фрахт!$A$5:$A$80 = $A49)* (Фрахт!$B$5:$B$80 = $C49) * (Фрахт!$C$5:$C$80 =$D49),  _xlfn.XLOOKUP(1,  (Фрахт!$D$4:$E$4 = E$2) * 1, Фрахт!$D$5:$E$80)) *  $S$1, "-")</f>
        <v>283500</v>
      </c>
      <c r="F49" s="150" cm="1">
        <f t="array" ref="F49">IFERROR(_xlfn.XLOOKUP(1, (Фрахт!$A$5:$A$80 = $A49)* (Фрахт!$B$5:$B$80 = $C49) * (Фрахт!$C$5:$C$80 =$D49),  _xlfn.XLOOKUP(1,  (Фрахт!$D$4:$E$4 = F$2) * 1, Фрахт!$D$5:$E$80)) *  $S$1, "-")</f>
        <v>472500</v>
      </c>
      <c r="G49" s="150" cm="1">
        <f t="array" aca="1" ref="G49" ca="1">IFERROR(_xlfn.XLOOKUP(1,  ('Drop off'!$A$6:$A$14 = $C49) * 1,  _xlfn.XLOOKUP(1,  ('Drop off'!$B$5:$I$5 = G$2) * ('Drop off'!$B$4:$I$4 = $S$2), 'Drop off'!$B$6:$I$14)) * $S$1, "-")</f>
        <v>37800</v>
      </c>
      <c r="H49" s="150" cm="1">
        <f t="array" aca="1" ref="H49" ca="1">IFERROR(_xlfn.XLOOKUP(1,  ('Drop off'!$A$6:$A$14 = $C49) * 1,  _xlfn.XLOOKUP(1,  ('Drop off'!$B$5:$I$5 = H$2) * ('Drop off'!$B$4:$I$4 = $S$2), 'Drop off'!$B$6:$I$14)) * $S$1, "-")</f>
        <v>56700</v>
      </c>
      <c r="I49" s="150" cm="1">
        <f t="array" aca="1" ref="I49" ca="1">IFERROR(_xlfn.XLOOKUP(1,  ('ж.д.'!$A$6:$A$14 = $D49) * 1,  _xlfn.XLOOKUP(1,  ('ж.д.'!$B$5:$M$5 = I$2) * ('ж.д.'!$B$4:$M$4 = $S$2), 'ж.д.'!$B$6:$M$14)), "-")</f>
        <v>105900</v>
      </c>
      <c r="J49" s="150" cm="1">
        <f t="array" aca="1" ref="J49" ca="1">IFERROR(_xlfn.XLOOKUP(1,  ('ж.д.'!$A$6:$A$14 = $D49) * 1,  _xlfn.XLOOKUP(1,  ('ж.д.'!$B$5:$M$5 = J$2) * ('ж.д.'!$B$4:$M$4 = $S$2), 'ж.д.'!$B$6:$M$14)), "-")</f>
        <v>122100</v>
      </c>
      <c r="K49" s="150" cm="1">
        <f t="array" aca="1" ref="K49" ca="1">IFERROR(_xlfn.XLOOKUP(1,  ('ж.д.'!$A$6:$A$14 = $D49) * 1,  _xlfn.XLOOKUP(1,  ('ж.д.'!$B$5:$M$5 = K$2) * ('ж.д.'!$B$4:$M$4 = $S$2), 'ж.д.'!$B$6:$M$14)), "-")</f>
        <v>196200</v>
      </c>
      <c r="L49" s="150" cm="1">
        <f t="array" aca="1" ref="L49" ca="1">IF(ISNUMBER(SEARCH("Транс",$C49)),_xlfn.XLOOKUP(1,('Фрахт Транс'!$A$5:$A$10=$D49)*1,_xlfn.XLOOKUP(1,('Фрахт Транс'!$B$3:$M$3 = $S$2)*('Фрахт Транс'!$B$4:$M$4=L$2),'Фрахт Транс'!$B$5:$M$10)),SUM($E49, $G49, $I49, $O49))</f>
        <v>429639</v>
      </c>
      <c r="M49" s="150" cm="1">
        <f t="array" aca="1" ref="M49" ca="1">IF(ISNUMBER(SEARCH("Транс",$C49)),_xlfn.XLOOKUP(1,('Фрахт Транс'!$A$5:$A$10=$D49)*1,_xlfn.XLOOKUP(1,('Фрахт Транс'!$B$3:$M$3=$S$2)*('Фрахт Транс'!$B$4:$M$4=M$2),'Фрахт Транс'!$B$5:$M$10)),SUM($E49, $G49, $J49, $O49))</f>
        <v>445839</v>
      </c>
      <c r="N49" s="150" cm="1">
        <f t="array" aca="1" ref="N49" ca="1">IF(ISNUMBER(SEARCH("Транс",$C49)),_xlfn.XLOOKUP(1,('Фрахт Транс'!$A$5:$A$10=$D49)*1,_xlfn.XLOOKUP(1,('Фрахт Транс'!$B$3:$M$3=$S$2)*('Фрахт Транс'!$B$4:$M$4=N$2),'Фрахт Транс'!$B$5:$M$10)),SUM($F49, $H49, $K49, $P49))</f>
        <v>730339</v>
      </c>
      <c r="O49" s="150" cm="1">
        <f t="array" aca="1" ref="O49" ca="1">IFERROR(_xlfn.XLOOKUP(1,  (Охрана!$A$6:$A$14 = $D49) * 1,  _xlfn.XLOOKUP(1,  (Охрана!$B$5:$M$5 = O$2) * (Охрана!$B$4:$M$4 = $S$2), Охрана!$B$6:$M$14)), "-")</f>
        <v>2439</v>
      </c>
      <c r="P49" s="195" cm="1">
        <f t="array" aca="1" ref="P49" ca="1">IFERROR(_xlfn.XLOOKUP(1,  (Охрана!$A$6:$A$14 = $D49) * 1,  _xlfn.XLOOKUP(1,  (Охрана!$B$5:$M$5 = P$2) * (Охрана!$B$4:$M$4 = $S$2), Охрана!$B$6:$M$14)), "-")</f>
        <v>4939</v>
      </c>
      <c r="Q49" s="286"/>
      <c r="R49" s="4"/>
      <c r="AB49" s="5"/>
    </row>
    <row r="50" spans="1:28" ht="15" customHeight="1" thickBot="1" x14ac:dyDescent="0.3">
      <c r="A50" s="223" t="s">
        <v>17</v>
      </c>
      <c r="B50" s="301"/>
      <c r="C50" s="41" t="s">
        <v>35</v>
      </c>
      <c r="D50" s="40" t="s">
        <v>34</v>
      </c>
      <c r="E50" s="150" cm="1">
        <f t="array" ref="E50">IFERROR(_xlfn.XLOOKUP(1, (Фрахт!$A$5:$A$80 = $A50)* (Фрахт!$B$5:$B$80 = $C50) * (Фрахт!$C$5:$C$80 =$D50),  _xlfn.XLOOKUP(1,  (Фрахт!$D$4:$E$4 = E$2) * 1, Фрахт!$D$5:$E$80)) *  $S$1, "-")</f>
        <v>283500</v>
      </c>
      <c r="F50" s="150" cm="1">
        <f t="array" ref="F50">IFERROR(_xlfn.XLOOKUP(1, (Фрахт!$A$5:$A$80 = $A50)* (Фрахт!$B$5:$B$80 = $C50) * (Фрахт!$C$5:$C$80 =$D50),  _xlfn.XLOOKUP(1,  (Фрахт!$D$4:$E$4 = F$2) * 1, Фрахт!$D$5:$E$80)) *  $S$1, "-")</f>
        <v>472500</v>
      </c>
      <c r="G50" s="150" cm="1">
        <f t="array" aca="1" ref="G50" ca="1">IFERROR(_xlfn.XLOOKUP(1,  ('Drop off'!$A$6:$A$14 = $C50) * 1,  _xlfn.XLOOKUP(1,  ('Drop off'!$B$5:$I$5 = G$2) * ('Drop off'!$B$4:$I$4 = $S$2), 'Drop off'!$B$6:$I$14)) * $S$1, "-")</f>
        <v>37800</v>
      </c>
      <c r="H50" s="150" cm="1">
        <f t="array" aca="1" ref="H50" ca="1">IFERROR(_xlfn.XLOOKUP(1,  ('Drop off'!$A$6:$A$14 = $C50) * 1,  _xlfn.XLOOKUP(1,  ('Drop off'!$B$5:$I$5 = H$2) * ('Drop off'!$B$4:$I$4 = $S$2), 'Drop off'!$B$6:$I$14)) * $S$1, "-")</f>
        <v>56700</v>
      </c>
      <c r="I50" s="150" cm="1">
        <f t="array" aca="1" ref="I50" ca="1">IFERROR(_xlfn.XLOOKUP(1,  ('ж.д.'!$A$6:$A$14 = $D50) * 1,  _xlfn.XLOOKUP(1,  ('ж.д.'!$B$5:$M$5 = I$2) * ('ж.д.'!$B$4:$M$4 = $S$2), 'ж.д.'!$B$6:$M$14)), "-")</f>
        <v>108400</v>
      </c>
      <c r="J50" s="150" cm="1">
        <f t="array" aca="1" ref="J50" ca="1">IFERROR(_xlfn.XLOOKUP(1,  ('ж.д.'!$A$6:$A$14 = $D50) * 1,  _xlfn.XLOOKUP(1,  ('ж.д.'!$B$5:$M$5 = J$2) * ('ж.д.'!$B$4:$M$4 = $S$2), 'ж.д.'!$B$6:$M$14)), "-")</f>
        <v>122400</v>
      </c>
      <c r="K50" s="150" cm="1">
        <f t="array" aca="1" ref="K50" ca="1">IFERROR(_xlfn.XLOOKUP(1,  ('ж.д.'!$A$6:$A$14 = $D50) * 1,  _xlfn.XLOOKUP(1,  ('ж.д.'!$B$5:$M$5 = K$2) * ('ж.д.'!$B$4:$M$4 = $S$2), 'ж.д.'!$B$6:$M$14)), "-")</f>
        <v>200400</v>
      </c>
      <c r="L50" s="150" cm="1">
        <f t="array" aca="1" ref="L50" ca="1">IF(ISNUMBER(SEARCH("Транс",$C50)),_xlfn.XLOOKUP(1,('Фрахт Транс'!$A$5:$A$10=$D50)*1,_xlfn.XLOOKUP(1,('Фрахт Транс'!$B$3:$M$3 = $S$2)*('Фрахт Транс'!$B$4:$M$4=L$2),'Фрахт Транс'!$B$5:$M$10)),SUM($E50, $G50, $I50, $O50))</f>
        <v>432139</v>
      </c>
      <c r="M50" s="150" cm="1">
        <f t="array" aca="1" ref="M50" ca="1">IF(ISNUMBER(SEARCH("Транс",$C50)),_xlfn.XLOOKUP(1,('Фрахт Транс'!$A$5:$A$10=$D50)*1,_xlfn.XLOOKUP(1,('Фрахт Транс'!$B$3:$M$3=$S$2)*('Фрахт Транс'!$B$4:$M$4=M$2),'Фрахт Транс'!$B$5:$M$10)),SUM($E50, $G50, $J50, $O50))</f>
        <v>446139</v>
      </c>
      <c r="N50" s="150" cm="1">
        <f t="array" aca="1" ref="N50" ca="1">IF(ISNUMBER(SEARCH("Транс",$C50)),_xlfn.XLOOKUP(1,('Фрахт Транс'!$A$5:$A$10=$D50)*1,_xlfn.XLOOKUP(1,('Фрахт Транс'!$B$3:$M$3=$S$2)*('Фрахт Транс'!$B$4:$M$4=N$2),'Фрахт Транс'!$B$5:$M$10)),SUM($F50, $H50, $K50, $P50))</f>
        <v>734539</v>
      </c>
      <c r="O50" s="150" cm="1">
        <f t="array" aca="1" ref="O50" ca="1">IFERROR(_xlfn.XLOOKUP(1,  (Охрана!$A$6:$A$14 = $D50) * 1,  _xlfn.XLOOKUP(1,  (Охрана!$B$5:$M$5 = O$2) * (Охрана!$B$4:$M$4 = $S$2), Охрана!$B$6:$M$14)), "-")</f>
        <v>2439</v>
      </c>
      <c r="P50" s="195" cm="1">
        <f t="array" aca="1" ref="P50" ca="1">IFERROR(_xlfn.XLOOKUP(1,  (Охрана!$A$6:$A$14 = $D50) * 1,  _xlfn.XLOOKUP(1,  (Охрана!$B$5:$M$5 = P$2) * (Охрана!$B$4:$M$4 = $S$2), Охрана!$B$6:$M$14)), "-")</f>
        <v>4939</v>
      </c>
      <c r="Q50" s="286"/>
      <c r="R50" s="4"/>
      <c r="AB50" s="5"/>
    </row>
    <row r="51" spans="1:28" ht="15" customHeight="1" thickBot="1" x14ac:dyDescent="0.3">
      <c r="A51" s="223" t="s">
        <v>17</v>
      </c>
      <c r="B51" s="301"/>
      <c r="C51" s="41" t="s">
        <v>35</v>
      </c>
      <c r="D51" s="40" t="s">
        <v>10</v>
      </c>
      <c r="E51" s="150" cm="1">
        <f t="array" ref="E51">IFERROR(_xlfn.XLOOKUP(1, (Фрахт!$A$5:$A$80 = $A51)* (Фрахт!$B$5:$B$80 = $C51) * (Фрахт!$C$5:$C$80 =$D51),  _xlfn.XLOOKUP(1,  (Фрахт!$D$4:$E$4 = E$2) * 1, Фрахт!$D$5:$E$80)) *  $S$1, "-")</f>
        <v>283500</v>
      </c>
      <c r="F51" s="150" cm="1">
        <f t="array" ref="F51">IFERROR(_xlfn.XLOOKUP(1, (Фрахт!$A$5:$A$80 = $A51)* (Фрахт!$B$5:$B$80 = $C51) * (Фрахт!$C$5:$C$80 =$D51),  _xlfn.XLOOKUP(1,  (Фрахт!$D$4:$E$4 = F$2) * 1, Фрахт!$D$5:$E$80)) *  $S$1, "-")</f>
        <v>472500</v>
      </c>
      <c r="G51" s="150" cm="1">
        <f t="array" aca="1" ref="G51" ca="1">IFERROR(_xlfn.XLOOKUP(1,  ('Drop off'!$A$6:$A$14 = $C51) * 1,  _xlfn.XLOOKUP(1,  ('Drop off'!$B$5:$I$5 = G$2) * ('Drop off'!$B$4:$I$4 = $S$2), 'Drop off'!$B$6:$I$14)) * $S$1, "-")</f>
        <v>37800</v>
      </c>
      <c r="H51" s="150" cm="1">
        <f t="array" aca="1" ref="H51" ca="1">IFERROR(_xlfn.XLOOKUP(1,  ('Drop off'!$A$6:$A$14 = $C51) * 1,  _xlfn.XLOOKUP(1,  ('Drop off'!$B$5:$I$5 = H$2) * ('Drop off'!$B$4:$I$4 = $S$2), 'Drop off'!$B$6:$I$14)) * $S$1, "-")</f>
        <v>56700</v>
      </c>
      <c r="I51" s="150" cm="1">
        <f t="array" aca="1" ref="I51" ca="1">IFERROR(_xlfn.XLOOKUP(1,  ('ж.д.'!$A$6:$A$14 = $D51) * 1,  _xlfn.XLOOKUP(1,  ('ж.д.'!$B$5:$M$5 = I$2) * ('ж.д.'!$B$4:$M$4 = $S$2), 'ж.д.'!$B$6:$M$14)), "-")</f>
        <v>109000</v>
      </c>
      <c r="J51" s="150" cm="1">
        <f t="array" aca="1" ref="J51" ca="1">IFERROR(_xlfn.XLOOKUP(1,  ('ж.д.'!$A$6:$A$14 = $D51) * 1,  _xlfn.XLOOKUP(1,  ('ж.д.'!$B$5:$M$5 = J$2) * ('ж.д.'!$B$4:$M$4 = $S$2), 'ж.д.'!$B$6:$M$14)), "-")</f>
        <v>122755</v>
      </c>
      <c r="K51" s="150" cm="1">
        <f t="array" aca="1" ref="K51" ca="1">IFERROR(_xlfn.XLOOKUP(1,  ('ж.д.'!$A$6:$A$14 = $D51) * 1,  _xlfn.XLOOKUP(1,  ('ж.д.'!$B$5:$M$5 = K$2) * ('ж.д.'!$B$4:$M$4 = $S$2), 'ж.д.'!$B$6:$M$14)), "-")</f>
        <v>203500</v>
      </c>
      <c r="L51" s="150" cm="1">
        <f t="array" aca="1" ref="L51" ca="1">IF(ISNUMBER(SEARCH("Транс",$C51)),_xlfn.XLOOKUP(1,('Фрахт Транс'!$A$5:$A$10=$D51)*1,_xlfn.XLOOKUP(1,('Фрахт Транс'!$B$3:$M$3 = $S$2)*('Фрахт Транс'!$B$4:$M$4=L$2),'Фрахт Транс'!$B$5:$M$10)),SUM($E51, $G51, $I51, $O51))</f>
        <v>433489</v>
      </c>
      <c r="M51" s="150" cm="1">
        <f t="array" aca="1" ref="M51" ca="1">IF(ISNUMBER(SEARCH("Транс",$C51)),_xlfn.XLOOKUP(1,('Фрахт Транс'!$A$5:$A$10=$D51)*1,_xlfn.XLOOKUP(1,('Фрахт Транс'!$B$3:$M$3=$S$2)*('Фрахт Транс'!$B$4:$M$4=M$2),'Фрахт Транс'!$B$5:$M$10)),SUM($E51, $G51, $J51, $O51))</f>
        <v>447244</v>
      </c>
      <c r="N51" s="150" cm="1">
        <f t="array" aca="1" ref="N51" ca="1">IF(ISNUMBER(SEARCH("Транс",$C51)),_xlfn.XLOOKUP(1,('Фрахт Транс'!$A$5:$A$10=$D51)*1,_xlfn.XLOOKUP(1,('Фрахт Транс'!$B$3:$M$3=$S$2)*('Фрахт Транс'!$B$4:$M$4=N$2),'Фрахт Транс'!$B$5:$M$10)),SUM($F51, $H51, $K51, $P51))</f>
        <v>738389</v>
      </c>
      <c r="O51" s="150" cm="1">
        <f t="array" aca="1" ref="O51" ca="1">IFERROR(_xlfn.XLOOKUP(1,  (Охрана!$A$6:$A$14 = $D51) * 1,  _xlfn.XLOOKUP(1,  (Охрана!$B$5:$M$5 = O$2) * (Охрана!$B$4:$M$4 = $S$2), Охрана!$B$6:$M$14)), "-")</f>
        <v>3189</v>
      </c>
      <c r="P51" s="195" cm="1">
        <f t="array" aca="1" ref="P51" ca="1">IFERROR(_xlfn.XLOOKUP(1,  (Охрана!$A$6:$A$14 = $D51) * 1,  _xlfn.XLOOKUP(1,  (Охрана!$B$5:$M$5 = P$2) * (Охрана!$B$4:$M$4 = $S$2), Охрана!$B$6:$M$14)), "-")</f>
        <v>5689</v>
      </c>
      <c r="Q51" s="286"/>
      <c r="AB51" s="5"/>
    </row>
    <row r="52" spans="1:28" ht="15" customHeight="1" thickBot="1" x14ac:dyDescent="0.3">
      <c r="A52" s="223" t="s">
        <v>17</v>
      </c>
      <c r="B52" s="301"/>
      <c r="C52" s="41" t="s">
        <v>35</v>
      </c>
      <c r="D52" s="40" t="s">
        <v>7</v>
      </c>
      <c r="E52" s="150" cm="1">
        <f t="array" ref="E52">IFERROR(_xlfn.XLOOKUP(1, (Фрахт!$A$5:$A$80 = $A52)* (Фрахт!$B$5:$B$80 = $C52) * (Фрахт!$C$5:$C$80 =$D52),  _xlfn.XLOOKUP(1,  (Фрахт!$D$4:$E$4 = E$2) * 1, Фрахт!$D$5:$E$80)) *  $S$1, "-")</f>
        <v>283500</v>
      </c>
      <c r="F52" s="150" cm="1">
        <f t="array" ref="F52">IFERROR(_xlfn.XLOOKUP(1, (Фрахт!$A$5:$A$80 = $A52)* (Фрахт!$B$5:$B$80 = $C52) * (Фрахт!$C$5:$C$80 =$D52),  _xlfn.XLOOKUP(1,  (Фрахт!$D$4:$E$4 = F$2) * 1, Фрахт!$D$5:$E$80)) *  $S$1, "-")</f>
        <v>472500</v>
      </c>
      <c r="G52" s="150" cm="1">
        <f t="array" aca="1" ref="G52" ca="1">IFERROR(_xlfn.XLOOKUP(1,  ('Drop off'!$A$6:$A$14 = $C52) * 1,  _xlfn.XLOOKUP(1,  ('Drop off'!$B$5:$I$5 = G$2) * ('Drop off'!$B$4:$I$4 = $S$2), 'Drop off'!$B$6:$I$14)) * $S$1, "-")</f>
        <v>37800</v>
      </c>
      <c r="H52" s="150" cm="1">
        <f t="array" aca="1" ref="H52" ca="1">IFERROR(_xlfn.XLOOKUP(1,  ('Drop off'!$A$6:$A$14 = $C52) * 1,  _xlfn.XLOOKUP(1,  ('Drop off'!$B$5:$I$5 = H$2) * ('Drop off'!$B$4:$I$4 = $S$2), 'Drop off'!$B$6:$I$14)) * $S$1, "-")</f>
        <v>56700</v>
      </c>
      <c r="I52" s="150" cm="1">
        <f t="array" aca="1" ref="I52" ca="1">IFERROR(_xlfn.XLOOKUP(1,  ('ж.д.'!$A$6:$A$14 = $D52) * 1,  _xlfn.XLOOKUP(1,  ('ж.д.'!$B$5:$M$5 = I$2) * ('ж.д.'!$B$4:$M$4 = $S$2), 'ж.д.'!$B$6:$M$14)), "-")</f>
        <v>105000</v>
      </c>
      <c r="J52" s="150" cm="1">
        <f t="array" aca="1" ref="J52" ca="1">IFERROR(_xlfn.XLOOKUP(1,  ('ж.д.'!$A$6:$A$14 = $D52) * 1,  _xlfn.XLOOKUP(1,  ('ж.д.'!$B$5:$M$5 = J$2) * ('ж.д.'!$B$4:$M$4 = $S$2), 'ж.д.'!$B$6:$M$14)), "-")</f>
        <v>120000</v>
      </c>
      <c r="K52" s="150" cm="1">
        <f t="array" aca="1" ref="K52" ca="1">IFERROR(_xlfn.XLOOKUP(1,  ('ж.д.'!$A$6:$A$14 = $D52) * 1,  _xlfn.XLOOKUP(1,  ('ж.д.'!$B$5:$M$5 = K$2) * ('ж.д.'!$B$4:$M$4 = $S$2), 'ж.д.'!$B$6:$M$14)), "-")</f>
        <v>192000</v>
      </c>
      <c r="L52" s="150" cm="1">
        <f t="array" aca="1" ref="L52" ca="1">IF(ISNUMBER(SEARCH("Транс",$C52)),_xlfn.XLOOKUP(1,('Фрахт Транс'!$A$5:$A$10=$D52)*1,_xlfn.XLOOKUP(1,('Фрахт Транс'!$B$3:$M$3 = $S$2)*('Фрахт Транс'!$B$4:$M$4=L$2),'Фрахт Транс'!$B$5:$M$10)),SUM($E52, $G52, $I52, $O52))</f>
        <v>429300</v>
      </c>
      <c r="M52" s="150" cm="1">
        <f t="array" aca="1" ref="M52" ca="1">IF(ISNUMBER(SEARCH("Транс",$C52)),_xlfn.XLOOKUP(1,('Фрахт Транс'!$A$5:$A$10=$D52)*1,_xlfn.XLOOKUP(1,('Фрахт Транс'!$B$3:$M$3=$S$2)*('Фрахт Транс'!$B$4:$M$4=M$2),'Фрахт Транс'!$B$5:$M$10)),SUM($E52, $G52, $J52, $O52))</f>
        <v>444300</v>
      </c>
      <c r="N52" s="150" cm="1">
        <f t="array" aca="1" ref="N52" ca="1">IF(ISNUMBER(SEARCH("Транс",$C52)),_xlfn.XLOOKUP(1,('Фрахт Транс'!$A$5:$A$10=$D52)*1,_xlfn.XLOOKUP(1,('Фрахт Транс'!$B$3:$M$3=$S$2)*('Фрахт Транс'!$B$4:$M$4=N$2),'Фрахт Транс'!$B$5:$M$10)),SUM($F52, $H52, $K52, $P52))</f>
        <v>727200</v>
      </c>
      <c r="O52" s="150" cm="1">
        <f t="array" aca="1" ref="O52" ca="1">IFERROR(_xlfn.XLOOKUP(1,  (Охрана!$A$6:$A$14 = $D52) * 1,  _xlfn.XLOOKUP(1,  (Охрана!$B$5:$M$5 = O$2) * (Охрана!$B$4:$M$4 = $S$2), Охрана!$B$6:$M$14)), "-")</f>
        <v>3000</v>
      </c>
      <c r="P52" s="195" cm="1">
        <f t="array" aca="1" ref="P52" ca="1">IFERROR(_xlfn.XLOOKUP(1,  (Охрана!$A$6:$A$14 = $D52) * 1,  _xlfn.XLOOKUP(1,  (Охрана!$B$5:$M$5 = P$2) * (Охрана!$B$4:$M$4 = $S$2), Охрана!$B$6:$M$14)), "-")</f>
        <v>6000</v>
      </c>
      <c r="Q52" s="286"/>
      <c r="R52" s="4"/>
      <c r="AB52" s="5"/>
    </row>
    <row r="53" spans="1:28" ht="15" customHeight="1" thickBot="1" x14ac:dyDescent="0.3">
      <c r="A53" s="223" t="s">
        <v>17</v>
      </c>
      <c r="B53" s="301"/>
      <c r="C53" s="50" t="s">
        <v>36</v>
      </c>
      <c r="D53" s="50" t="s">
        <v>21</v>
      </c>
      <c r="E53" s="151" cm="1">
        <f t="array" ref="E53">IFERROR(_xlfn.XLOOKUP(1, (Фрахт!$A$5:$A$80 = $A53)* (Фрахт!$B$5:$B$80 = $C53) * (Фрахт!$C$5:$C$80 =$D53),  _xlfn.XLOOKUP(1,  (Фрахт!$D$4:$E$4 = E$2) * 1, Фрахт!$D$5:$E$80)) *  $S$1, "-")</f>
        <v>275160</v>
      </c>
      <c r="F53" s="151" cm="1">
        <f t="array" ref="F53">IFERROR(_xlfn.XLOOKUP(1, (Фрахт!$A$5:$A$80 = $A53)* (Фрахт!$B$5:$B$80 = $C53) * (Фрахт!$C$5:$C$80 =$D53),  _xlfn.XLOOKUP(1,  (Фрахт!$D$4:$E$4 = F$2) * 1, Фрахт!$D$5:$E$80)) *  $S$1, "-")</f>
        <v>454320</v>
      </c>
      <c r="G53" s="151" cm="1">
        <f t="array" aca="1" ref="G53" ca="1">IFERROR(_xlfn.XLOOKUP(1,  ('Drop off'!$A$6:$A$14 = $C53) * 1,  _xlfn.XLOOKUP(1,  ('Drop off'!$B$5:$I$5 = G$2) * ('Drop off'!$B$4:$I$4 = $S$2), 'Drop off'!$B$6:$I$14)) * $S$1, "-")</f>
        <v>18000</v>
      </c>
      <c r="H53" s="151" cm="1">
        <f t="array" aca="1" ref="H53" ca="1">IFERROR(_xlfn.XLOOKUP(1,  ('Drop off'!$A$6:$A$14 = $C53) * 1,  _xlfn.XLOOKUP(1,  ('Drop off'!$B$5:$I$5 = H$2) * ('Drop off'!$B$4:$I$4 = $S$2), 'Drop off'!$B$6:$I$14)) * $S$1, "-")</f>
        <v>18000</v>
      </c>
      <c r="I53" s="151" cm="1">
        <f t="array" aca="1" ref="I53" ca="1">IFERROR(_xlfn.XLOOKUP(1,  ('ж.д.'!$A$6:$A$14 = $D53) * 1,  _xlfn.XLOOKUP(1,  ('ж.д.'!$B$5:$M$5 = I$2) * ('ж.д.'!$B$4:$M$4 = $S$2), 'ж.д.'!$B$6:$M$14)), "-")</f>
        <v>108400</v>
      </c>
      <c r="J53" s="151" cm="1">
        <f t="array" aca="1" ref="J53" ca="1">IFERROR(_xlfn.XLOOKUP(1,  ('ж.д.'!$A$6:$A$14 = $D53) * 1,  _xlfn.XLOOKUP(1,  ('ж.д.'!$B$5:$M$5 = J$2) * ('ж.д.'!$B$4:$M$4 = $S$2), 'ж.д.'!$B$6:$M$14)), "-")</f>
        <v>122400</v>
      </c>
      <c r="K53" s="151" cm="1">
        <f t="array" aca="1" ref="K53" ca="1">IFERROR(_xlfn.XLOOKUP(1,  ('ж.д.'!$A$6:$A$14 = $D53) * 1,  _xlfn.XLOOKUP(1,  ('ж.д.'!$B$5:$M$5 = K$2) * ('ж.д.'!$B$4:$M$4 = $S$2), 'ж.д.'!$B$6:$M$14)), "-")</f>
        <v>200400</v>
      </c>
      <c r="L53" s="151" cm="1">
        <f t="array" aca="1" ref="L53" ca="1">IF(ISNUMBER(SEARCH("Транс",$C53)),_xlfn.XLOOKUP(1,('Фрахт Транс'!$A$5:$A$10=$D53)*1,_xlfn.XLOOKUP(1,('Фрахт Транс'!$B$3:$M$3 = $S$2)*('Фрахт Транс'!$B$4:$M$4=L$2),'Фрахт Транс'!$B$5:$M$10)),SUM($E53, $G53, $I53, $O53))</f>
        <v>403999</v>
      </c>
      <c r="M53" s="151" cm="1">
        <f t="array" aca="1" ref="M53" ca="1">IF(ISNUMBER(SEARCH("Транс",$C53)),_xlfn.XLOOKUP(1,('Фрахт Транс'!$A$5:$A$10=$D53)*1,_xlfn.XLOOKUP(1,('Фрахт Транс'!$B$3:$M$3=$S$2)*('Фрахт Транс'!$B$4:$M$4=M$2),'Фрахт Транс'!$B$5:$M$10)),SUM($E53, $G53, $J53, $O53))</f>
        <v>417999</v>
      </c>
      <c r="N53" s="151" cm="1">
        <f t="array" aca="1" ref="N53" ca="1">IF(ISNUMBER(SEARCH("Транс",$C53)),_xlfn.XLOOKUP(1,('Фрахт Транс'!$A$5:$A$10=$D53)*1,_xlfn.XLOOKUP(1,('Фрахт Транс'!$B$3:$M$3=$S$2)*('Фрахт Транс'!$B$4:$M$4=N$2),'Фрахт Транс'!$B$5:$M$10)),SUM($F53, $H53, $K53, $P53))</f>
        <v>677659</v>
      </c>
      <c r="O53" s="151" cm="1">
        <f t="array" aca="1" ref="O53" ca="1">IFERROR(_xlfn.XLOOKUP(1,  (Охрана!$A$6:$A$14 = $D53) * 1,  _xlfn.XLOOKUP(1,  (Охрана!$B$5:$M$5 = O$2) * (Охрана!$B$4:$M$4 = $S$2), Охрана!$B$6:$M$14)), "-")</f>
        <v>2439</v>
      </c>
      <c r="P53" s="196" cm="1">
        <f t="array" aca="1" ref="P53" ca="1">IFERROR(_xlfn.XLOOKUP(1,  (Охрана!$A$6:$A$14 = $D53) * 1,  _xlfn.XLOOKUP(1,  (Охрана!$B$5:$M$5 = P$2) * (Охрана!$B$4:$M$4 = $S$2), Охрана!$B$6:$M$14)), "-")</f>
        <v>4939</v>
      </c>
      <c r="Q53" s="38"/>
      <c r="R53" s="71"/>
      <c r="AB53" s="5"/>
    </row>
    <row r="54" spans="1:28" ht="15" customHeight="1" thickBot="1" x14ac:dyDescent="0.3">
      <c r="A54" s="223" t="s">
        <v>17</v>
      </c>
      <c r="B54" s="302"/>
      <c r="C54" s="69" t="s">
        <v>50</v>
      </c>
      <c r="D54" s="70" t="s">
        <v>11</v>
      </c>
      <c r="E54" s="166" t="str" cm="1">
        <f t="array" ref="E54">IFERROR(_xlfn.XLOOKUP(1, (Фрахт!$A$5:$A$80 = $A54)* (Фрахт!$B$5:$B$80 = $C54) * (Фрахт!$C$5:$C$80 =$D54),  _xlfn.XLOOKUP(1,  (Фрахт!$D$4:$E$4 = E$2) * 1, Фрахт!$D$5:$E$80)) *  $S$1, "-")</f>
        <v>-</v>
      </c>
      <c r="F54" s="166" t="str" cm="1">
        <f t="array" ref="F54">IFERROR(_xlfn.XLOOKUP(1, (Фрахт!$A$5:$A$80 = $A54)* (Фрахт!$B$5:$B$80 = $C54) * (Фрахт!$C$5:$C$80 =$D54),  _xlfn.XLOOKUP(1,  (Фрахт!$D$4:$E$4 = F$2) * 1, Фрахт!$D$5:$E$80)) *  $S$1, "-")</f>
        <v>-</v>
      </c>
      <c r="G54" s="166" t="str" cm="1">
        <f t="array" aca="1" ref="G54" ca="1">IFERROR(_xlfn.XLOOKUP(1,  ('Drop off'!$A$6:$A$14 = $C54) * 1,  _xlfn.XLOOKUP(1,  ('Drop off'!$B$5:$I$5 = G$2) * ('Drop off'!$B$4:$I$4 = $S$2), 'Drop off'!$B$6:$I$14)) * $S$1, "-")</f>
        <v>-</v>
      </c>
      <c r="H54" s="166" t="str" cm="1">
        <f t="array" aca="1" ref="H54" ca="1">IFERROR(_xlfn.XLOOKUP(1,  ('Drop off'!$A$6:$A$14 = $C54) * 1,  _xlfn.XLOOKUP(1,  ('Drop off'!$B$5:$I$5 = H$2) * ('Drop off'!$B$4:$I$4 = $S$2), 'Drop off'!$B$6:$I$14)) * $S$1, "-")</f>
        <v>-</v>
      </c>
      <c r="I54" s="166" cm="1">
        <f t="array" aca="1" ref="I54" ca="1">IFERROR(_xlfn.XLOOKUP(1,  ('ж.д.'!$A$6:$A$14 = $D54) * 1,  _xlfn.XLOOKUP(1,  ('ж.д.'!$B$5:$M$5 = I$2) * ('ж.д.'!$B$4:$M$4 = $S$2), 'ж.д.'!$B$6:$M$14)), "-")</f>
        <v>105900</v>
      </c>
      <c r="J54" s="166" cm="1">
        <f t="array" aca="1" ref="J54" ca="1">IFERROR(_xlfn.XLOOKUP(1,  ('ж.д.'!$A$6:$A$14 = $D54) * 1,  _xlfn.XLOOKUP(1,  ('ж.д.'!$B$5:$M$5 = J$2) * ('ж.д.'!$B$4:$M$4 = $S$2), 'ж.д.'!$B$6:$M$14)), "-")</f>
        <v>122100</v>
      </c>
      <c r="K54" s="166" cm="1">
        <f t="array" aca="1" ref="K54" ca="1">IFERROR(_xlfn.XLOOKUP(1,  ('ж.д.'!$A$6:$A$14 = $D54) * 1,  _xlfn.XLOOKUP(1,  ('ж.д.'!$B$5:$M$5 = K$2) * ('ж.д.'!$B$4:$M$4 = $S$2), 'ж.д.'!$B$6:$M$14)), "-")</f>
        <v>196200</v>
      </c>
      <c r="L54" s="166" cm="1">
        <f t="array" aca="1" ref="L54" ca="1">IF(ISNUMBER(SEARCH("Транс",$C54)),_xlfn.XLOOKUP(1,('Фрахт Транс'!$A$5:$A$10=$D54)*1,_xlfn.XLOOKUP(1,('Фрахт Транс'!$B$3:$M$3 = $S$2)*('Фрахт Транс'!$B$4:$M$4=L$2),'Фрахт Транс'!$B$5:$M$10)),SUM($E54, $G54, $I54, $O54))</f>
        <v>108339</v>
      </c>
      <c r="M54" s="166" cm="1">
        <f t="array" aca="1" ref="M54" ca="1">IF(ISNUMBER(SEARCH("Транс",$C54)),_xlfn.XLOOKUP(1,('Фрахт Транс'!$A$5:$A$10=$D54)*1,_xlfn.XLOOKUP(1,('Фрахт Транс'!$B$3:$M$3=$S$2)*('Фрахт Транс'!$B$4:$M$4=M$2),'Фрахт Транс'!$B$5:$M$10)),SUM($E54, $G54, $J54, $O54))</f>
        <v>124539</v>
      </c>
      <c r="N54" s="166" cm="1">
        <f t="array" aca="1" ref="N54" ca="1">IF(ISNUMBER(SEARCH("Транс",$C54)),_xlfn.XLOOKUP(1,('Фрахт Транс'!$A$5:$A$10=$D54)*1,_xlfn.XLOOKUP(1,('Фрахт Транс'!$B$3:$M$3=$S$2)*('Фрахт Транс'!$B$4:$M$4=N$2),'Фрахт Транс'!$B$5:$M$10)),SUM($F54, $H54, $K54, $P54))</f>
        <v>201139</v>
      </c>
      <c r="O54" s="166" cm="1">
        <f t="array" aca="1" ref="O54" ca="1">IFERROR(_xlfn.XLOOKUP(1,  (Охрана!$A$6:$A$14 = $D54) * 1,  _xlfn.XLOOKUP(1,  (Охрана!$B$5:$M$5 = O$2) * (Охрана!$B$4:$M$4 = $S$2), Охрана!$B$6:$M$14)), "-")</f>
        <v>2439</v>
      </c>
      <c r="P54" s="207" cm="1">
        <f t="array" aca="1" ref="P54" ca="1">IFERROR(_xlfn.XLOOKUP(1,  (Охрана!$A$6:$A$14 = $D54) * 1,  _xlfn.XLOOKUP(1,  (Охрана!$B$5:$M$5 = P$2) * (Охрана!$B$4:$M$4 = $S$2), Охрана!$B$6:$M$14)), "-")</f>
        <v>4939</v>
      </c>
      <c r="Q54" s="38"/>
      <c r="R54" s="71"/>
      <c r="AB54" s="5"/>
    </row>
    <row r="55" spans="1:28" ht="15.75" customHeight="1" thickBot="1" x14ac:dyDescent="0.3">
      <c r="A55" s="223" t="s">
        <v>17</v>
      </c>
      <c r="B55" s="302"/>
      <c r="C55" s="58" t="s">
        <v>37</v>
      </c>
      <c r="D55" s="55" t="s">
        <v>11</v>
      </c>
      <c r="E55" s="228" cm="1">
        <f t="array" ref="E55">IFERROR(_xlfn.XLOOKUP(1, (Фрахт!$A$5:$A$80 = $A55)* (Фрахт!$B$5:$B$80 = $C55) * (Фрахт!$C$5:$C$80 =$D55),  _xlfn.XLOOKUP(1,  (Фрахт!$D$4:$E$4 = E$2) * 1, Фрахт!$D$5:$E$80)) *  $S$1, "-")</f>
        <v>216000</v>
      </c>
      <c r="F55" s="228" cm="1">
        <f t="array" ref="F55">IFERROR(_xlfn.XLOOKUP(1, (Фрахт!$A$5:$A$80 = $A55)* (Фрахт!$B$5:$B$80 = $C55) * (Фрахт!$C$5:$C$80 =$D55),  _xlfn.XLOOKUP(1,  (Фрахт!$D$4:$E$4 = F$2) * 1, Фрахт!$D$5:$E$80)) *  $S$1, "-")</f>
        <v>360000</v>
      </c>
      <c r="G55" s="228" cm="1">
        <f t="array" aca="1" ref="G55" ca="1">IFERROR(_xlfn.XLOOKUP(1,  ('Drop off'!$A$6:$A$14 = $C55) * 1,  _xlfn.XLOOKUP(1,  ('Drop off'!$B$5:$I$5 = G$2) * ('Drop off'!$B$4:$I$4 = $S$2), 'Drop off'!$B$6:$I$14)) * $S$1, "-")</f>
        <v>0</v>
      </c>
      <c r="H55" s="228" cm="1">
        <f t="array" aca="1" ref="H55" ca="1">IFERROR(_xlfn.XLOOKUP(1,  ('Drop off'!$A$6:$A$14 = $C55) * 1,  _xlfn.XLOOKUP(1,  ('Drop off'!$B$5:$I$5 = H$2) * ('Drop off'!$B$4:$I$4 = $S$2), 'Drop off'!$B$6:$I$14)) * $S$1, "-")</f>
        <v>0</v>
      </c>
      <c r="I55" s="228" cm="1">
        <f t="array" aca="1" ref="I55" ca="1">IFERROR(_xlfn.XLOOKUP(1,  ('ж.д.'!$A$6:$A$14 = $D55) * 1,  _xlfn.XLOOKUP(1,  ('ж.д.'!$B$5:$M$5 = I$2) * ('ж.д.'!$B$4:$M$4 = $S$2), 'ж.д.'!$B$6:$M$14)), "-")</f>
        <v>105900</v>
      </c>
      <c r="J55" s="228" cm="1">
        <f t="array" aca="1" ref="J55" ca="1">IFERROR(_xlfn.XLOOKUP(1,  ('ж.д.'!$A$6:$A$14 = $D55) * 1,  _xlfn.XLOOKUP(1,  ('ж.д.'!$B$5:$M$5 = J$2) * ('ж.д.'!$B$4:$M$4 = $S$2), 'ж.д.'!$B$6:$M$14)), "-")</f>
        <v>122100</v>
      </c>
      <c r="K55" s="228" cm="1">
        <f t="array" aca="1" ref="K55" ca="1">IFERROR(_xlfn.XLOOKUP(1,  ('ж.д.'!$A$6:$A$14 = $D55) * 1,  _xlfn.XLOOKUP(1,  ('ж.д.'!$B$5:$M$5 = K$2) * ('ж.д.'!$B$4:$M$4 = $S$2), 'ж.д.'!$B$6:$M$14)), "-")</f>
        <v>196200</v>
      </c>
      <c r="L55" s="228" cm="1">
        <f t="array" aca="1" ref="L55" ca="1">IF(ISNUMBER(SEARCH("Транс",$C55)),_xlfn.XLOOKUP(1,('Фрахт Транс'!$A$5:$A$10=$D55)*1,_xlfn.XLOOKUP(1,('Фрахт Транс'!$B$3:$M$3 = $S$2)*('Фрахт Транс'!$B$4:$M$4=L$2),'Фрахт Транс'!$B$5:$M$10)),SUM($E55, $G55, $I55, $O55))</f>
        <v>324339</v>
      </c>
      <c r="M55" s="228" cm="1">
        <f t="array" aca="1" ref="M55" ca="1">IF(ISNUMBER(SEARCH("Транс",$C55)),_xlfn.XLOOKUP(1,('Фрахт Транс'!$A$5:$A$10=$D55)*1,_xlfn.XLOOKUP(1,('Фрахт Транс'!$B$3:$M$3=$S$2)*('Фрахт Транс'!$B$4:$M$4=M$2),'Фрахт Транс'!$B$5:$M$10)),SUM($E55, $G55, $J55, $O55))</f>
        <v>340539</v>
      </c>
      <c r="N55" s="228" cm="1">
        <f t="array" aca="1" ref="N55" ca="1">IF(ISNUMBER(SEARCH("Транс",$C55)),_xlfn.XLOOKUP(1,('Фрахт Транс'!$A$5:$A$10=$D55)*1,_xlfn.XLOOKUP(1,('Фрахт Транс'!$B$3:$M$3=$S$2)*('Фрахт Транс'!$B$4:$M$4=N$2),'Фрахт Транс'!$B$5:$M$10)),SUM($F55, $H55, $K55, $P55))</f>
        <v>561139</v>
      </c>
      <c r="O55" s="228" cm="1">
        <f t="array" aca="1" ref="O55" ca="1">IFERROR(_xlfn.XLOOKUP(1,  (Охрана!$A$6:$A$14 = $D55) * 1,  _xlfn.XLOOKUP(1,  (Охрана!$B$5:$M$5 = O$2) * (Охрана!$B$4:$M$4 = $S$2), Охрана!$B$6:$M$14)), "-")</f>
        <v>2439</v>
      </c>
      <c r="P55" s="229" cm="1">
        <f t="array" aca="1" ref="P55" ca="1">IFERROR(_xlfn.XLOOKUP(1,  (Охрана!$A$6:$A$14 = $D55) * 1,  _xlfn.XLOOKUP(1,  (Охрана!$B$5:$M$5 = P$2) * (Охрана!$B$4:$M$4 = $S$2), Охрана!$B$6:$M$14)), "-")</f>
        <v>4939</v>
      </c>
      <c r="Q55" s="38"/>
      <c r="R55" s="71"/>
      <c r="AB55" s="5"/>
    </row>
    <row r="56" spans="1:28" ht="30.75" thickBot="1" x14ac:dyDescent="0.3">
      <c r="A56" s="224" t="s">
        <v>18</v>
      </c>
      <c r="B56" s="294" t="s">
        <v>18</v>
      </c>
      <c r="C56" s="63" t="s">
        <v>43</v>
      </c>
      <c r="D56" s="64" t="s">
        <v>49</v>
      </c>
      <c r="E56" s="148" t="str" cm="1">
        <f t="array" ref="E56">IFERROR(_xlfn.XLOOKUP(1, (Фрахт!$A$5:$A$80 = $A56)* (Фрахт!$B$5:$B$80 = $C56) * (Фрахт!$C$5:$C$80 =$D56),  _xlfn.XLOOKUP(1,  (Фрахт!$D$4:$E$4 = E$2) * 1, Фрахт!$D$5:$E$80)) *  $S$1, "-")</f>
        <v>-</v>
      </c>
      <c r="F56" s="148" t="str" cm="1">
        <f t="array" ref="F56">IFERROR(_xlfn.XLOOKUP(1, (Фрахт!$A$5:$A$80 = $A56)* (Фрахт!$B$5:$B$80 = $C56) * (Фрахт!$C$5:$C$80 =$D56),  _xlfn.XLOOKUP(1,  (Фрахт!$D$4:$E$4 = F$2) * 1, Фрахт!$D$5:$E$80)) *  $S$1, "-")</f>
        <v>-</v>
      </c>
      <c r="G56" s="148" cm="1">
        <f t="array" aca="1" ref="G56" ca="1">IFERROR(_xlfn.XLOOKUP(1,  ('Drop off'!$A$6:$A$14 = $C56) * 1,  _xlfn.XLOOKUP(1,  ('Drop off'!$B$5:$I$5 = G$2) * ('Drop off'!$B$4:$I$4 = $S$2), 'Drop off'!$B$6:$I$14)) * $S$1, "-")</f>
        <v>0</v>
      </c>
      <c r="H56" s="148" cm="1">
        <f t="array" aca="1" ref="H56" ca="1">IFERROR(_xlfn.XLOOKUP(1,  ('Drop off'!$A$6:$A$14 = $C56) * 1,  _xlfn.XLOOKUP(1,  ('Drop off'!$B$5:$I$5 = H$2) * ('Drop off'!$B$4:$I$4 = $S$2), 'Drop off'!$B$6:$I$14)) * $S$1, "-")</f>
        <v>0</v>
      </c>
      <c r="I56" s="148" t="str" cm="1">
        <f t="array" aca="1" ref="I56" ca="1">IFERROR(_xlfn.XLOOKUP(1,  ('ж.д.'!$A$6:$A$14 = $D56) * 1,  _xlfn.XLOOKUP(1,  ('ж.д.'!$B$5:$M$5 = I$2) * ('ж.д.'!$B$4:$M$4 = $S$2), 'ж.д.'!$B$6:$M$14)), "-")</f>
        <v>-</v>
      </c>
      <c r="J56" s="148" t="str" cm="1">
        <f t="array" aca="1" ref="J56" ca="1">IFERROR(_xlfn.XLOOKUP(1,  ('ж.д.'!$A$6:$A$14 = $D56) * 1,  _xlfn.XLOOKUP(1,  ('ж.д.'!$B$5:$M$5 = J$2) * ('ж.д.'!$B$4:$M$4 = $S$2), 'ж.д.'!$B$6:$M$14)), "-")</f>
        <v>-</v>
      </c>
      <c r="K56" s="148" t="str" cm="1">
        <f t="array" aca="1" ref="K56" ca="1">IFERROR(_xlfn.XLOOKUP(1,  ('ж.д.'!$A$6:$A$14 = $D56) * 1,  _xlfn.XLOOKUP(1,  ('ж.д.'!$B$5:$M$5 = K$2) * ('ж.д.'!$B$4:$M$4 = $S$2), 'ж.д.'!$B$6:$M$14)), "-")</f>
        <v>-</v>
      </c>
      <c r="L56" s="148" cm="1">
        <f t="array" aca="1" ref="L56" ca="1">IF(ISNUMBER(SEARCH("Транс",$C56)),_xlfn.XLOOKUP(1,('Фрахт Транс'!$A$5:$A$10=$D56)*1,_xlfn.XLOOKUP(1,('Фрахт Транс'!$B$3:$M$3 = $S$2)*('Фрахт Транс'!$B$4:$M$4=L$2),'Фрахт Транс'!$B$5:$M$10)),SUM($E56, $G56, $I56, $O56))</f>
        <v>380742</v>
      </c>
      <c r="M56" s="148" cm="1">
        <f t="array" aca="1" ref="M56" ca="1">IF(ISNUMBER(SEARCH("Транс",$C56)),_xlfn.XLOOKUP(1,('Фрахт Транс'!$A$5:$A$10=$D56)*1,_xlfn.XLOOKUP(1,('Фрахт Транс'!$B$3:$M$3=$S$2)*('Фрахт Транс'!$B$4:$M$4=M$2),'Фрахт Транс'!$B$5:$M$10)),SUM($E56, $G56, $J56, $O56))</f>
        <v>396236</v>
      </c>
      <c r="N56" s="148" cm="1">
        <f t="array" aca="1" ref="N56" ca="1">IF(ISNUMBER(SEARCH("Транс",$C56)),_xlfn.XLOOKUP(1,('Фрахт Транс'!$A$5:$A$10=$D56)*1,_xlfn.XLOOKUP(1,('Фрахт Транс'!$B$3:$M$3=$S$2)*('Фрахт Транс'!$B$4:$M$4=N$2),'Фрахт Транс'!$B$5:$M$10)),SUM($F56, $H56, $K56, $P56))</f>
        <v>556476</v>
      </c>
      <c r="O56" s="148" t="str" cm="1">
        <f t="array" aca="1" ref="O56" ca="1">IFERROR(_xlfn.XLOOKUP(1,  (Охрана!$A$6:$A$14 = $D56) * 1,  _xlfn.XLOOKUP(1,  (Охрана!$B$5:$M$5 = O$2) * (Охрана!$B$4:$M$4 = $S$2), Охрана!$B$6:$M$14)), "-")</f>
        <v>-</v>
      </c>
      <c r="P56" s="230" t="str" cm="1">
        <f t="array" aca="1" ref="P56" ca="1">IFERROR(_xlfn.XLOOKUP(1,  (Охрана!$A$6:$A$14 = $D56) * 1,  _xlfn.XLOOKUP(1,  (Охрана!$B$5:$M$5 = P$2) * (Охрана!$B$4:$M$4 = $S$2), Охрана!$B$6:$M$14)), "-")</f>
        <v>-</v>
      </c>
      <c r="Q56" s="38"/>
      <c r="R56" s="6"/>
      <c r="AB56" s="5"/>
    </row>
    <row r="57" spans="1:28" thickBot="1" x14ac:dyDescent="0.3">
      <c r="A57" s="224" t="s">
        <v>18</v>
      </c>
      <c r="B57" s="295"/>
      <c r="C57" s="42" t="s">
        <v>12</v>
      </c>
      <c r="D57" s="32" t="s">
        <v>30</v>
      </c>
      <c r="E57" s="149" cm="1">
        <f t="array" ref="E57">IFERROR(_xlfn.XLOOKUP(1, (Фрахт!$A$5:$A$80 = $A57)* (Фрахт!$B$5:$B$80 = $C57) * (Фрахт!$C$5:$C$80 =$D57),  _xlfn.XLOOKUP(1,  (Фрахт!$D$4:$E$4 = E$2) * 1, Фрахт!$D$5:$E$80)) *  $S$1, "-")</f>
        <v>330000</v>
      </c>
      <c r="F57" s="149" cm="1">
        <f t="array" ref="F57">IFERROR(_xlfn.XLOOKUP(1, (Фрахт!$A$5:$A$80 = $A57)* (Фрахт!$B$5:$B$80 = $C57) * (Фрахт!$C$5:$C$80 =$D57),  _xlfn.XLOOKUP(1,  (Фрахт!$D$4:$E$4 = F$2) * 1, Фрахт!$D$5:$E$80)) *  $S$1, "-")</f>
        <v>510000</v>
      </c>
      <c r="G57" s="149" cm="1">
        <f t="array" aca="1" ref="G57" ca="1">IFERROR(_xlfn.XLOOKUP(1,  ('Drop off'!$A$6:$A$14 = $C57) * 1,  _xlfn.XLOOKUP(1,  ('Drop off'!$B$5:$I$5 = G$2) * ('Drop off'!$B$4:$I$4 = $S$2), 'Drop off'!$B$6:$I$14)) * $S$1, "-")</f>
        <v>0</v>
      </c>
      <c r="H57" s="149" cm="1">
        <f t="array" aca="1" ref="H57" ca="1">IFERROR(_xlfn.XLOOKUP(1,  ('Drop off'!$A$6:$A$14 = $C57) * 1,  _xlfn.XLOOKUP(1,  ('Drop off'!$B$5:$I$5 = H$2) * ('Drop off'!$B$4:$I$4 = $S$2), 'Drop off'!$B$6:$I$14)) * $S$1, "-")</f>
        <v>0</v>
      </c>
      <c r="I57" s="149" cm="1">
        <f t="array" aca="1" ref="I57" ca="1">IFERROR(_xlfn.XLOOKUP(1,  ('ж.д.'!$A$6:$A$14 = $D57) * 1,  _xlfn.XLOOKUP(1,  ('ж.д.'!$B$5:$M$5 = I$2) * ('ж.д.'!$B$4:$M$4 = $S$2), 'ж.д.'!$B$6:$M$14)), "-")</f>
        <v>97300</v>
      </c>
      <c r="J57" s="149" cm="1">
        <f t="array" aca="1" ref="J57" ca="1">IFERROR(_xlfn.XLOOKUP(1,  ('ж.д.'!$A$6:$A$14 = $D57) * 1,  _xlfn.XLOOKUP(1,  ('ж.д.'!$B$5:$M$5 = J$2) * ('ж.д.'!$B$4:$M$4 = $S$2), 'ж.д.'!$B$6:$M$14)), "-")</f>
        <v>109595</v>
      </c>
      <c r="K57" s="149" cm="1">
        <f t="array" aca="1" ref="K57" ca="1">IFERROR(_xlfn.XLOOKUP(1,  ('ж.д.'!$A$6:$A$14 = $D57) * 1,  _xlfn.XLOOKUP(1,  ('ж.д.'!$B$5:$M$5 = K$2) * ('ж.д.'!$B$4:$M$4 = $S$2), 'ж.д.'!$B$6:$M$14)), "-")</f>
        <v>195500</v>
      </c>
      <c r="L57" s="149" cm="1">
        <f t="array" aca="1" ref="L57" ca="1">IF(ISNUMBER(SEARCH("Транс",$C57)),_xlfn.XLOOKUP(1,('Фрахт Транс'!$A$5:$A$10=$D57)*1,_xlfn.XLOOKUP(1,('Фрахт Транс'!$B$3:$M$3 = $S$2)*('Фрахт Транс'!$B$4:$M$4=L$2),'Фрахт Транс'!$B$5:$M$10)),SUM($E57, $G57, $I57, $O57))</f>
        <v>430489</v>
      </c>
      <c r="M57" s="149" cm="1">
        <f t="array" aca="1" ref="M57" ca="1">IF(ISNUMBER(SEARCH("Транс",$C57)),_xlfn.XLOOKUP(1,('Фрахт Транс'!$A$5:$A$10=$D57)*1,_xlfn.XLOOKUP(1,('Фрахт Транс'!$B$3:$M$3=$S$2)*('Фрахт Транс'!$B$4:$M$4=M$2),'Фрахт Транс'!$B$5:$M$10)),SUM($E57, $G57, $J57, $O57))</f>
        <v>442784</v>
      </c>
      <c r="N57" s="149" cm="1">
        <f t="array" aca="1" ref="N57" ca="1">IF(ISNUMBER(SEARCH("Транс",$C57)),_xlfn.XLOOKUP(1,('Фрахт Транс'!$A$5:$A$10=$D57)*1,_xlfn.XLOOKUP(1,('Фрахт Транс'!$B$3:$M$3=$S$2)*('Фрахт Транс'!$B$4:$M$4=N$2),'Фрахт Транс'!$B$5:$M$10)),SUM($F57, $H57, $K57, $P57))</f>
        <v>711189</v>
      </c>
      <c r="O57" s="149" cm="1">
        <f t="array" aca="1" ref="O57" ca="1">IFERROR(_xlfn.XLOOKUP(1,  (Охрана!$A$6:$A$14 = $D57) * 1,  _xlfn.XLOOKUP(1,  (Охрана!$B$5:$M$5 = O$2) * (Охрана!$B$4:$M$4 = $S$2), Охрана!$B$6:$M$14)), "-")</f>
        <v>3189</v>
      </c>
      <c r="P57" s="194" cm="1">
        <f t="array" aca="1" ref="P57" ca="1">IFERROR(_xlfn.XLOOKUP(1,  (Охрана!$A$6:$A$14 = $D57) * 1,  _xlfn.XLOOKUP(1,  (Охрана!$B$5:$M$5 = P$2) * (Охрана!$B$4:$M$4 = $S$2), Охрана!$B$6:$M$14)), "-")</f>
        <v>5689</v>
      </c>
      <c r="Q57" s="282"/>
      <c r="R57" s="91"/>
    </row>
    <row r="58" spans="1:28" thickBot="1" x14ac:dyDescent="0.3">
      <c r="A58" s="224" t="s">
        <v>18</v>
      </c>
      <c r="B58" s="295"/>
      <c r="C58" s="42" t="s">
        <v>12</v>
      </c>
      <c r="D58" s="32" t="s">
        <v>55</v>
      </c>
      <c r="E58" s="149" cm="1">
        <f t="array" ref="E58">IFERROR(_xlfn.XLOOKUP(1, (Фрахт!$A$5:$A$80 = $A58)* (Фрахт!$B$5:$B$80 = $C58) * (Фрахт!$C$5:$C$80 =$D58),  _xlfn.XLOOKUP(1,  (Фрахт!$D$4:$E$4 = E$2) * 1, Фрахт!$D$5:$E$80)) *  $S$1, "-")</f>
        <v>330000</v>
      </c>
      <c r="F58" s="149" cm="1">
        <f t="array" ref="F58">IFERROR(_xlfn.XLOOKUP(1, (Фрахт!$A$5:$A$80 = $A58)* (Фрахт!$B$5:$B$80 = $C58) * (Фрахт!$C$5:$C$80 =$D58),  _xlfn.XLOOKUP(1,  (Фрахт!$D$4:$E$4 = F$2) * 1, Фрахт!$D$5:$E$80)) *  $S$1, "-")</f>
        <v>510000</v>
      </c>
      <c r="G58" s="149" cm="1">
        <f t="array" aca="1" ref="G58" ca="1">IFERROR(_xlfn.XLOOKUP(1,  ('Drop off'!$A$6:$A$14 = $C58) * 1,  _xlfn.XLOOKUP(1,  ('Drop off'!$B$5:$I$5 = G$2) * ('Drop off'!$B$4:$I$4 = $S$2), 'Drop off'!$B$6:$I$14)) * $S$1, "-")</f>
        <v>0</v>
      </c>
      <c r="H58" s="149" cm="1">
        <f t="array" aca="1" ref="H58" ca="1">IFERROR(_xlfn.XLOOKUP(1,  ('Drop off'!$A$6:$A$14 = $C58) * 1,  _xlfn.XLOOKUP(1,  ('Drop off'!$B$5:$I$5 = H$2) * ('Drop off'!$B$4:$I$4 = $S$2), 'Drop off'!$B$6:$I$14)) * $S$1, "-")</f>
        <v>0</v>
      </c>
      <c r="I58" s="149" cm="1">
        <f t="array" aca="1" ref="I58" ca="1">IFERROR(_xlfn.XLOOKUP(1,  ('ж.д.'!$A$6:$A$14 = $D58) * 1,  _xlfn.XLOOKUP(1,  ('ж.д.'!$B$5:$M$5 = I$2) * ('ж.д.'!$B$4:$M$4 = $S$2), 'ж.д.'!$B$6:$M$14)), "-")</f>
        <v>102705</v>
      </c>
      <c r="J58" s="149" cm="1">
        <f t="array" aca="1" ref="J58" ca="1">IFERROR(_xlfn.XLOOKUP(1,  ('ж.д.'!$A$6:$A$14 = $D58) * 1,  _xlfn.XLOOKUP(1,  ('ж.д.'!$B$5:$M$5 = J$2) * ('ж.д.'!$B$4:$M$4 = $S$2), 'ж.д.'!$B$6:$M$14)), "-")</f>
        <v>117975</v>
      </c>
      <c r="K58" s="149" cm="1">
        <f t="array" aca="1" ref="K58" ca="1">IFERROR(_xlfn.XLOOKUP(1,  ('ж.д.'!$A$6:$A$14 = $D58) * 1,  _xlfn.XLOOKUP(1,  ('ж.д.'!$B$5:$M$5 = K$2) * ('ж.д.'!$B$4:$M$4 = $S$2), 'ж.д.'!$B$6:$M$14)), "-")</f>
        <v>205870</v>
      </c>
      <c r="L58" s="149" cm="1">
        <f t="array" aca="1" ref="L58" ca="1">IF(ISNUMBER(SEARCH("Транс",$C58)),_xlfn.XLOOKUP(1,('Фрахт Транс'!$A$5:$A$10=$D58)*1,_xlfn.XLOOKUP(1,('Фрахт Транс'!$B$3:$M$3 = $S$2)*('Фрахт Транс'!$B$4:$M$4=L$2),'Фрахт Транс'!$B$5:$M$10)),SUM($E58, $G58, $I58, $O58))</f>
        <v>435894</v>
      </c>
      <c r="M58" s="149" cm="1">
        <f t="array" aca="1" ref="M58" ca="1">IF(ISNUMBER(SEARCH("Транс",$C58)),_xlfn.XLOOKUP(1,('Фрахт Транс'!$A$5:$A$10=$D58)*1,_xlfn.XLOOKUP(1,('Фрахт Транс'!$B$3:$M$3=$S$2)*('Фрахт Транс'!$B$4:$M$4=M$2),'Фрахт Транс'!$B$5:$M$10)),SUM($E58, $G58, $J58, $O58))</f>
        <v>451164</v>
      </c>
      <c r="N58" s="149" cm="1">
        <f t="array" aca="1" ref="N58" ca="1">IF(ISNUMBER(SEARCH("Транс",$C58)),_xlfn.XLOOKUP(1,('Фрахт Транс'!$A$5:$A$10=$D58)*1,_xlfn.XLOOKUP(1,('Фрахт Транс'!$B$3:$M$3=$S$2)*('Фрахт Транс'!$B$4:$M$4=N$2),'Фрахт Транс'!$B$5:$M$10)),SUM($F58, $H58, $K58, $P58))</f>
        <v>721559</v>
      </c>
      <c r="O58" s="149" cm="1">
        <f t="array" aca="1" ref="O58" ca="1">IFERROR(_xlfn.XLOOKUP(1,  (Охрана!$A$6:$A$14 = $D58) * 1,  _xlfn.XLOOKUP(1,  (Охрана!$B$5:$M$5 = O$2) * (Охрана!$B$4:$M$4 = $S$2), Охрана!$B$6:$M$14)), "-")</f>
        <v>3189</v>
      </c>
      <c r="P58" s="194" cm="1">
        <f t="array" aca="1" ref="P58" ca="1">IFERROR(_xlfn.XLOOKUP(1,  (Охрана!$A$6:$A$14 = $D58) * 1,  _xlfn.XLOOKUP(1,  (Охрана!$B$5:$M$5 = P$2) * (Охрана!$B$4:$M$4 = $S$2), Охрана!$B$6:$M$14)), "-")</f>
        <v>5689</v>
      </c>
      <c r="Q58" s="282"/>
      <c r="R58" s="3"/>
    </row>
    <row r="59" spans="1:28" ht="15" customHeight="1" thickBot="1" x14ac:dyDescent="0.3">
      <c r="A59" s="224" t="s">
        <v>18</v>
      </c>
      <c r="B59" s="295"/>
      <c r="C59" s="41" t="s">
        <v>35</v>
      </c>
      <c r="D59" s="40" t="s">
        <v>11</v>
      </c>
      <c r="E59" s="150" cm="1">
        <f t="array" ref="E59">IFERROR(_xlfn.XLOOKUP(1, (Фрахт!$A$5:$A$80 = $A59)* (Фрахт!$B$5:$B$80 = $C59) * (Фрахт!$C$5:$C$80 =$D59),  _xlfn.XLOOKUP(1,  (Фрахт!$D$4:$E$4 = E$2) * 1, Фрахт!$D$5:$E$80)) *  $S$1, "-")</f>
        <v>346500</v>
      </c>
      <c r="F59" s="150" cm="1">
        <f t="array" ref="F59">IFERROR(_xlfn.XLOOKUP(1, (Фрахт!$A$5:$A$80 = $A59)* (Фрахт!$B$5:$B$80 = $C59) * (Фрахт!$C$5:$C$80 =$D59),  _xlfn.XLOOKUP(1,  (Фрахт!$D$4:$E$4 = F$2) * 1, Фрахт!$D$5:$E$80)) *  $S$1, "-")</f>
        <v>504000</v>
      </c>
      <c r="G59" s="150" cm="1">
        <f t="array" aca="1" ref="G59" ca="1">IFERROR(_xlfn.XLOOKUP(1,  ('Drop off'!$A$6:$A$14 = $C59) * 1,  _xlfn.XLOOKUP(1,  ('Drop off'!$B$5:$I$5 = G$2) * ('Drop off'!$B$4:$I$4 = $S$2), 'Drop off'!$B$6:$I$14)) * $S$1, "-")</f>
        <v>37800</v>
      </c>
      <c r="H59" s="150" cm="1">
        <f t="array" aca="1" ref="H59" ca="1">IFERROR(_xlfn.XLOOKUP(1,  ('Drop off'!$A$6:$A$14 = $C59) * 1,  _xlfn.XLOOKUP(1,  ('Drop off'!$B$5:$I$5 = H$2) * ('Drop off'!$B$4:$I$4 = $S$2), 'Drop off'!$B$6:$I$14)) * $S$1, "-")</f>
        <v>56700</v>
      </c>
      <c r="I59" s="150" cm="1">
        <f t="array" aca="1" ref="I59" ca="1">IFERROR(_xlfn.XLOOKUP(1,  ('ж.д.'!$A$6:$A$14 = $D59) * 1,  _xlfn.XLOOKUP(1,  ('ж.д.'!$B$5:$M$5 = I$2) * ('ж.д.'!$B$4:$M$4 = $S$2), 'ж.д.'!$B$6:$M$14)), "-")</f>
        <v>105900</v>
      </c>
      <c r="J59" s="150" cm="1">
        <f t="array" aca="1" ref="J59" ca="1">IFERROR(_xlfn.XLOOKUP(1,  ('ж.д.'!$A$6:$A$14 = $D59) * 1,  _xlfn.XLOOKUP(1,  ('ж.д.'!$B$5:$M$5 = J$2) * ('ж.д.'!$B$4:$M$4 = $S$2), 'ж.д.'!$B$6:$M$14)), "-")</f>
        <v>122100</v>
      </c>
      <c r="K59" s="150" cm="1">
        <f t="array" aca="1" ref="K59" ca="1">IFERROR(_xlfn.XLOOKUP(1,  ('ж.д.'!$A$6:$A$14 = $D59) * 1,  _xlfn.XLOOKUP(1,  ('ж.д.'!$B$5:$M$5 = K$2) * ('ж.д.'!$B$4:$M$4 = $S$2), 'ж.д.'!$B$6:$M$14)), "-")</f>
        <v>196200</v>
      </c>
      <c r="L59" s="150" cm="1">
        <f t="array" aca="1" ref="L59" ca="1">IF(ISNUMBER(SEARCH("Транс",$C59)),_xlfn.XLOOKUP(1,('Фрахт Транс'!$A$5:$A$10=$D59)*1,_xlfn.XLOOKUP(1,('Фрахт Транс'!$B$3:$M$3 = $S$2)*('Фрахт Транс'!$B$4:$M$4=L$2),'Фрахт Транс'!$B$5:$M$10)),SUM($E59, $G59, $I59, $O59))</f>
        <v>492639</v>
      </c>
      <c r="M59" s="150" cm="1">
        <f t="array" aca="1" ref="M59" ca="1">IF(ISNUMBER(SEARCH("Транс",$C59)),_xlfn.XLOOKUP(1,('Фрахт Транс'!$A$5:$A$10=$D59)*1,_xlfn.XLOOKUP(1,('Фрахт Транс'!$B$3:$M$3=$S$2)*('Фрахт Транс'!$B$4:$M$4=M$2),'Фрахт Транс'!$B$5:$M$10)),SUM($E59, $G59, $J59, $O59))</f>
        <v>508839</v>
      </c>
      <c r="N59" s="150" cm="1">
        <f t="array" aca="1" ref="N59" ca="1">IF(ISNUMBER(SEARCH("Транс",$C59)),_xlfn.XLOOKUP(1,('Фрахт Транс'!$A$5:$A$10=$D59)*1,_xlfn.XLOOKUP(1,('Фрахт Транс'!$B$3:$M$3=$S$2)*('Фрахт Транс'!$B$4:$M$4=N$2),'Фрахт Транс'!$B$5:$M$10)),SUM($F59, $H59, $K59, $P59))</f>
        <v>761839</v>
      </c>
      <c r="O59" s="150" cm="1">
        <f t="array" aca="1" ref="O59" ca="1">IFERROR(_xlfn.XLOOKUP(1,  (Охрана!$A$6:$A$14 = $D59) * 1,  _xlfn.XLOOKUP(1,  (Охрана!$B$5:$M$5 = O$2) * (Охрана!$B$4:$M$4 = $S$2), Охрана!$B$6:$M$14)), "-")</f>
        <v>2439</v>
      </c>
      <c r="P59" s="195" cm="1">
        <f t="array" aca="1" ref="P59" ca="1">IFERROR(_xlfn.XLOOKUP(1,  (Охрана!$A$6:$A$14 = $D59) * 1,  _xlfn.XLOOKUP(1,  (Охрана!$B$5:$M$5 = P$2) * (Охрана!$B$4:$M$4 = $S$2), Охрана!$B$6:$M$14)), "-")</f>
        <v>4939</v>
      </c>
      <c r="Q59" s="286"/>
      <c r="R59" s="4"/>
    </row>
    <row r="60" spans="1:28" ht="15" customHeight="1" thickBot="1" x14ac:dyDescent="0.3">
      <c r="A60" s="224" t="s">
        <v>18</v>
      </c>
      <c r="B60" s="295"/>
      <c r="C60" s="41" t="s">
        <v>35</v>
      </c>
      <c r="D60" s="40" t="s">
        <v>34</v>
      </c>
      <c r="E60" s="150" cm="1">
        <f t="array" ref="E60">IFERROR(_xlfn.XLOOKUP(1, (Фрахт!$A$5:$A$80 = $A60)* (Фрахт!$B$5:$B$80 = $C60) * (Фрахт!$C$5:$C$80 =$D60),  _xlfn.XLOOKUP(1,  (Фрахт!$D$4:$E$4 = E$2) * 1, Фрахт!$D$5:$E$80)) *  $S$1, "-")</f>
        <v>346500</v>
      </c>
      <c r="F60" s="150" cm="1">
        <f t="array" ref="F60">IFERROR(_xlfn.XLOOKUP(1, (Фрахт!$A$5:$A$80 = $A60)* (Фрахт!$B$5:$B$80 = $C60) * (Фрахт!$C$5:$C$80 =$D60),  _xlfn.XLOOKUP(1,  (Фрахт!$D$4:$E$4 = F$2) * 1, Фрахт!$D$5:$E$80)) *  $S$1, "-")</f>
        <v>504000</v>
      </c>
      <c r="G60" s="150" cm="1">
        <f t="array" aca="1" ref="G60" ca="1">IFERROR(_xlfn.XLOOKUP(1,  ('Drop off'!$A$6:$A$14 = $C60) * 1,  _xlfn.XLOOKUP(1,  ('Drop off'!$B$5:$I$5 = G$2) * ('Drop off'!$B$4:$I$4 = $S$2), 'Drop off'!$B$6:$I$14)) * $S$1, "-")</f>
        <v>37800</v>
      </c>
      <c r="H60" s="150" cm="1">
        <f t="array" aca="1" ref="H60" ca="1">IFERROR(_xlfn.XLOOKUP(1,  ('Drop off'!$A$6:$A$14 = $C60) * 1,  _xlfn.XLOOKUP(1,  ('Drop off'!$B$5:$I$5 = H$2) * ('Drop off'!$B$4:$I$4 = $S$2), 'Drop off'!$B$6:$I$14)) * $S$1, "-")</f>
        <v>56700</v>
      </c>
      <c r="I60" s="150" cm="1">
        <f t="array" aca="1" ref="I60" ca="1">IFERROR(_xlfn.XLOOKUP(1,  ('ж.д.'!$A$6:$A$14 = $D60) * 1,  _xlfn.XLOOKUP(1,  ('ж.д.'!$B$5:$M$5 = I$2) * ('ж.д.'!$B$4:$M$4 = $S$2), 'ж.д.'!$B$6:$M$14)), "-")</f>
        <v>108400</v>
      </c>
      <c r="J60" s="150" cm="1">
        <f t="array" aca="1" ref="J60" ca="1">IFERROR(_xlfn.XLOOKUP(1,  ('ж.д.'!$A$6:$A$14 = $D60) * 1,  _xlfn.XLOOKUP(1,  ('ж.д.'!$B$5:$M$5 = J$2) * ('ж.д.'!$B$4:$M$4 = $S$2), 'ж.д.'!$B$6:$M$14)), "-")</f>
        <v>122400</v>
      </c>
      <c r="K60" s="150" cm="1">
        <f t="array" aca="1" ref="K60" ca="1">IFERROR(_xlfn.XLOOKUP(1,  ('ж.д.'!$A$6:$A$14 = $D60) * 1,  _xlfn.XLOOKUP(1,  ('ж.д.'!$B$5:$M$5 = K$2) * ('ж.д.'!$B$4:$M$4 = $S$2), 'ж.д.'!$B$6:$M$14)), "-")</f>
        <v>200400</v>
      </c>
      <c r="L60" s="150" cm="1">
        <f t="array" aca="1" ref="L60" ca="1">IF(ISNUMBER(SEARCH("Транс",$C60)),_xlfn.XLOOKUP(1,('Фрахт Транс'!$A$5:$A$10=$D60)*1,_xlfn.XLOOKUP(1,('Фрахт Транс'!$B$3:$M$3 = $S$2)*('Фрахт Транс'!$B$4:$M$4=L$2),'Фрахт Транс'!$B$5:$M$10)),SUM($E60, $G60, $I60, $O60))</f>
        <v>495139</v>
      </c>
      <c r="M60" s="150" cm="1">
        <f t="array" aca="1" ref="M60" ca="1">IF(ISNUMBER(SEARCH("Транс",$C60)),_xlfn.XLOOKUP(1,('Фрахт Транс'!$A$5:$A$10=$D60)*1,_xlfn.XLOOKUP(1,('Фрахт Транс'!$B$3:$M$3=$S$2)*('Фрахт Транс'!$B$4:$M$4=M$2),'Фрахт Транс'!$B$5:$M$10)),SUM($E60, $G60, $J60, $O60))</f>
        <v>509139</v>
      </c>
      <c r="N60" s="150" cm="1">
        <f t="array" aca="1" ref="N60" ca="1">IF(ISNUMBER(SEARCH("Транс",$C60)),_xlfn.XLOOKUP(1,('Фрахт Транс'!$A$5:$A$10=$D60)*1,_xlfn.XLOOKUP(1,('Фрахт Транс'!$B$3:$M$3=$S$2)*('Фрахт Транс'!$B$4:$M$4=N$2),'Фрахт Транс'!$B$5:$M$10)),SUM($F60, $H60, $K60, $P60))</f>
        <v>766039</v>
      </c>
      <c r="O60" s="150" cm="1">
        <f t="array" aca="1" ref="O60" ca="1">IFERROR(_xlfn.XLOOKUP(1,  (Охрана!$A$6:$A$14 = $D60) * 1,  _xlfn.XLOOKUP(1,  (Охрана!$B$5:$M$5 = O$2) * (Охрана!$B$4:$M$4 = $S$2), Охрана!$B$6:$M$14)), "-")</f>
        <v>2439</v>
      </c>
      <c r="P60" s="195" cm="1">
        <f t="array" aca="1" ref="P60" ca="1">IFERROR(_xlfn.XLOOKUP(1,  (Охрана!$A$6:$A$14 = $D60) * 1,  _xlfn.XLOOKUP(1,  (Охрана!$B$5:$M$5 = P$2) * (Охрана!$B$4:$M$4 = $S$2), Охрана!$B$6:$M$14)), "-")</f>
        <v>4939</v>
      </c>
      <c r="Q60" s="286"/>
      <c r="R60" s="4"/>
    </row>
    <row r="61" spans="1:28" ht="15" customHeight="1" thickBot="1" x14ac:dyDescent="0.3">
      <c r="A61" s="224" t="s">
        <v>18</v>
      </c>
      <c r="B61" s="295"/>
      <c r="C61" s="41" t="s">
        <v>35</v>
      </c>
      <c r="D61" s="40" t="s">
        <v>10</v>
      </c>
      <c r="E61" s="150" cm="1">
        <f t="array" ref="E61">IFERROR(_xlfn.XLOOKUP(1, (Фрахт!$A$5:$A$80 = $A61)* (Фрахт!$B$5:$B$80 = $C61) * (Фрахт!$C$5:$C$80 =$D61),  _xlfn.XLOOKUP(1,  (Фрахт!$D$4:$E$4 = E$2) * 1, Фрахт!$D$5:$E$80)) *  $S$1, "-")</f>
        <v>346500</v>
      </c>
      <c r="F61" s="150" cm="1">
        <f t="array" ref="F61">IFERROR(_xlfn.XLOOKUP(1, (Фрахт!$A$5:$A$80 = $A61)* (Фрахт!$B$5:$B$80 = $C61) * (Фрахт!$C$5:$C$80 =$D61),  _xlfn.XLOOKUP(1,  (Фрахт!$D$4:$E$4 = F$2) * 1, Фрахт!$D$5:$E$80)) *  $S$1, "-")</f>
        <v>504000</v>
      </c>
      <c r="G61" s="150" cm="1">
        <f t="array" aca="1" ref="G61" ca="1">IFERROR(_xlfn.XLOOKUP(1,  ('Drop off'!$A$6:$A$14 = $C61) * 1,  _xlfn.XLOOKUP(1,  ('Drop off'!$B$5:$I$5 = G$2) * ('Drop off'!$B$4:$I$4 = $S$2), 'Drop off'!$B$6:$I$14)) * $S$1, "-")</f>
        <v>37800</v>
      </c>
      <c r="H61" s="150" cm="1">
        <f t="array" aca="1" ref="H61" ca="1">IFERROR(_xlfn.XLOOKUP(1,  ('Drop off'!$A$6:$A$14 = $C61) * 1,  _xlfn.XLOOKUP(1,  ('Drop off'!$B$5:$I$5 = H$2) * ('Drop off'!$B$4:$I$4 = $S$2), 'Drop off'!$B$6:$I$14)) * $S$1, "-")</f>
        <v>56700</v>
      </c>
      <c r="I61" s="150" cm="1">
        <f t="array" aca="1" ref="I61" ca="1">IFERROR(_xlfn.XLOOKUP(1,  ('ж.д.'!$A$6:$A$14 = $D61) * 1,  _xlfn.XLOOKUP(1,  ('ж.д.'!$B$5:$M$5 = I$2) * ('ж.д.'!$B$4:$M$4 = $S$2), 'ж.д.'!$B$6:$M$14)), "-")</f>
        <v>109000</v>
      </c>
      <c r="J61" s="150" cm="1">
        <f t="array" aca="1" ref="J61" ca="1">IFERROR(_xlfn.XLOOKUP(1,  ('ж.д.'!$A$6:$A$14 = $D61) * 1,  _xlfn.XLOOKUP(1,  ('ж.д.'!$B$5:$M$5 = J$2) * ('ж.д.'!$B$4:$M$4 = $S$2), 'ж.д.'!$B$6:$M$14)), "-")</f>
        <v>122755</v>
      </c>
      <c r="K61" s="150" cm="1">
        <f t="array" aca="1" ref="K61" ca="1">IFERROR(_xlfn.XLOOKUP(1,  ('ж.д.'!$A$6:$A$14 = $D61) * 1,  _xlfn.XLOOKUP(1,  ('ж.д.'!$B$5:$M$5 = K$2) * ('ж.д.'!$B$4:$M$4 = $S$2), 'ж.д.'!$B$6:$M$14)), "-")</f>
        <v>203500</v>
      </c>
      <c r="L61" s="150" cm="1">
        <f t="array" aca="1" ref="L61" ca="1">IF(ISNUMBER(SEARCH("Транс",$C61)),_xlfn.XLOOKUP(1,('Фрахт Транс'!$A$5:$A$10=$D61)*1,_xlfn.XLOOKUP(1,('Фрахт Транс'!$B$3:$M$3 = $S$2)*('Фрахт Транс'!$B$4:$M$4=L$2),'Фрахт Транс'!$B$5:$M$10)),SUM($E61, $G61, $I61, $O61))</f>
        <v>496489</v>
      </c>
      <c r="M61" s="150" cm="1">
        <f t="array" aca="1" ref="M61" ca="1">IF(ISNUMBER(SEARCH("Транс",$C61)),_xlfn.XLOOKUP(1,('Фрахт Транс'!$A$5:$A$10=$D61)*1,_xlfn.XLOOKUP(1,('Фрахт Транс'!$B$3:$M$3=$S$2)*('Фрахт Транс'!$B$4:$M$4=M$2),'Фрахт Транс'!$B$5:$M$10)),SUM($E61, $G61, $J61, $O61))</f>
        <v>510244</v>
      </c>
      <c r="N61" s="150" cm="1">
        <f t="array" aca="1" ref="N61" ca="1">IF(ISNUMBER(SEARCH("Транс",$C61)),_xlfn.XLOOKUP(1,('Фрахт Транс'!$A$5:$A$10=$D61)*1,_xlfn.XLOOKUP(1,('Фрахт Транс'!$B$3:$M$3=$S$2)*('Фрахт Транс'!$B$4:$M$4=N$2),'Фрахт Транс'!$B$5:$M$10)),SUM($F61, $H61, $K61, $P61))</f>
        <v>769889</v>
      </c>
      <c r="O61" s="150" cm="1">
        <f t="array" aca="1" ref="O61" ca="1">IFERROR(_xlfn.XLOOKUP(1,  (Охрана!$A$6:$A$14 = $D61) * 1,  _xlfn.XLOOKUP(1,  (Охрана!$B$5:$M$5 = O$2) * (Охрана!$B$4:$M$4 = $S$2), Охрана!$B$6:$M$14)), "-")</f>
        <v>3189</v>
      </c>
      <c r="P61" s="195" cm="1">
        <f t="array" aca="1" ref="P61" ca="1">IFERROR(_xlfn.XLOOKUP(1,  (Охрана!$A$6:$A$14 = $D61) * 1,  _xlfn.XLOOKUP(1,  (Охрана!$B$5:$M$5 = P$2) * (Охрана!$B$4:$M$4 = $S$2), Охрана!$B$6:$M$14)), "-")</f>
        <v>5689</v>
      </c>
      <c r="Q61" s="286"/>
    </row>
    <row r="62" spans="1:28" ht="15" customHeight="1" thickBot="1" x14ac:dyDescent="0.3">
      <c r="A62" s="224" t="s">
        <v>18</v>
      </c>
      <c r="B62" s="295"/>
      <c r="C62" s="41" t="s">
        <v>35</v>
      </c>
      <c r="D62" s="40" t="s">
        <v>7</v>
      </c>
      <c r="E62" s="150" cm="1">
        <f t="array" ref="E62">IFERROR(_xlfn.XLOOKUP(1, (Фрахт!$A$5:$A$80 = $A62)* (Фрахт!$B$5:$B$80 = $C62) * (Фрахт!$C$5:$C$80 =$D62),  _xlfn.XLOOKUP(1,  (Фрахт!$D$4:$E$4 = E$2) * 1, Фрахт!$D$5:$E$80)) *  $S$1, "-")</f>
        <v>346500</v>
      </c>
      <c r="F62" s="150" cm="1">
        <f t="array" ref="F62">IFERROR(_xlfn.XLOOKUP(1, (Фрахт!$A$5:$A$80 = $A62)* (Фрахт!$B$5:$B$80 = $C62) * (Фрахт!$C$5:$C$80 =$D62),  _xlfn.XLOOKUP(1,  (Фрахт!$D$4:$E$4 = F$2) * 1, Фрахт!$D$5:$E$80)) *  $S$1, "-")</f>
        <v>504000</v>
      </c>
      <c r="G62" s="150" cm="1">
        <f t="array" aca="1" ref="G62" ca="1">IFERROR(_xlfn.XLOOKUP(1,  ('Drop off'!$A$6:$A$14 = $C62) * 1,  _xlfn.XLOOKUP(1,  ('Drop off'!$B$5:$I$5 = G$2) * ('Drop off'!$B$4:$I$4 = $S$2), 'Drop off'!$B$6:$I$14)) * $S$1, "-")</f>
        <v>37800</v>
      </c>
      <c r="H62" s="150" cm="1">
        <f t="array" aca="1" ref="H62" ca="1">IFERROR(_xlfn.XLOOKUP(1,  ('Drop off'!$A$6:$A$14 = $C62) * 1,  _xlfn.XLOOKUP(1,  ('Drop off'!$B$5:$I$5 = H$2) * ('Drop off'!$B$4:$I$4 = $S$2), 'Drop off'!$B$6:$I$14)) * $S$1, "-")</f>
        <v>56700</v>
      </c>
      <c r="I62" s="150" cm="1">
        <f t="array" aca="1" ref="I62" ca="1">IFERROR(_xlfn.XLOOKUP(1,  ('ж.д.'!$A$6:$A$14 = $D62) * 1,  _xlfn.XLOOKUP(1,  ('ж.д.'!$B$5:$M$5 = I$2) * ('ж.д.'!$B$4:$M$4 = $S$2), 'ж.д.'!$B$6:$M$14)), "-")</f>
        <v>105000</v>
      </c>
      <c r="J62" s="150" cm="1">
        <f t="array" aca="1" ref="J62" ca="1">IFERROR(_xlfn.XLOOKUP(1,  ('ж.д.'!$A$6:$A$14 = $D62) * 1,  _xlfn.XLOOKUP(1,  ('ж.д.'!$B$5:$M$5 = J$2) * ('ж.д.'!$B$4:$M$4 = $S$2), 'ж.д.'!$B$6:$M$14)), "-")</f>
        <v>120000</v>
      </c>
      <c r="K62" s="150" cm="1">
        <f t="array" aca="1" ref="K62" ca="1">IFERROR(_xlfn.XLOOKUP(1,  ('ж.д.'!$A$6:$A$14 = $D62) * 1,  _xlfn.XLOOKUP(1,  ('ж.д.'!$B$5:$M$5 = K$2) * ('ж.д.'!$B$4:$M$4 = $S$2), 'ж.д.'!$B$6:$M$14)), "-")</f>
        <v>192000</v>
      </c>
      <c r="L62" s="150" cm="1">
        <f t="array" aca="1" ref="L62" ca="1">IF(ISNUMBER(SEARCH("Транс",$C62)),_xlfn.XLOOKUP(1,('Фрахт Транс'!$A$5:$A$10=$D62)*1,_xlfn.XLOOKUP(1,('Фрахт Транс'!$B$3:$M$3 = $S$2)*('Фрахт Транс'!$B$4:$M$4=L$2),'Фрахт Транс'!$B$5:$M$10)),SUM($E62, $G62, $I62, $O62))</f>
        <v>492300</v>
      </c>
      <c r="M62" s="150" cm="1">
        <f t="array" aca="1" ref="M62" ca="1">IF(ISNUMBER(SEARCH("Транс",$C62)),_xlfn.XLOOKUP(1,('Фрахт Транс'!$A$5:$A$10=$D62)*1,_xlfn.XLOOKUP(1,('Фрахт Транс'!$B$3:$M$3=$S$2)*('Фрахт Транс'!$B$4:$M$4=M$2),'Фрахт Транс'!$B$5:$M$10)),SUM($E62, $G62, $J62, $O62))</f>
        <v>507300</v>
      </c>
      <c r="N62" s="150" cm="1">
        <f t="array" aca="1" ref="N62" ca="1">IF(ISNUMBER(SEARCH("Транс",$C62)),_xlfn.XLOOKUP(1,('Фрахт Транс'!$A$5:$A$10=$D62)*1,_xlfn.XLOOKUP(1,('Фрахт Транс'!$B$3:$M$3=$S$2)*('Фрахт Транс'!$B$4:$M$4=N$2),'Фрахт Транс'!$B$5:$M$10)),SUM($F62, $H62, $K62, $P62))</f>
        <v>758700</v>
      </c>
      <c r="O62" s="150" cm="1">
        <f t="array" aca="1" ref="O62" ca="1">IFERROR(_xlfn.XLOOKUP(1,  (Охрана!$A$6:$A$14 = $D62) * 1,  _xlfn.XLOOKUP(1,  (Охрана!$B$5:$M$5 = O$2) * (Охрана!$B$4:$M$4 = $S$2), Охрана!$B$6:$M$14)), "-")</f>
        <v>3000</v>
      </c>
      <c r="P62" s="195" cm="1">
        <f t="array" aca="1" ref="P62" ca="1">IFERROR(_xlfn.XLOOKUP(1,  (Охрана!$A$6:$A$14 = $D62) * 1,  _xlfn.XLOOKUP(1,  (Охрана!$B$5:$M$5 = P$2) * (Охрана!$B$4:$M$4 = $S$2), Охрана!$B$6:$M$14)), "-")</f>
        <v>6000</v>
      </c>
      <c r="Q62" s="286"/>
      <c r="R62" s="4"/>
    </row>
    <row r="63" spans="1:28" ht="16.5" thickBot="1" x14ac:dyDescent="0.3">
      <c r="A63" s="224" t="s">
        <v>18</v>
      </c>
      <c r="B63" s="295"/>
      <c r="C63" s="50" t="s">
        <v>36</v>
      </c>
      <c r="D63" s="50" t="s">
        <v>21</v>
      </c>
      <c r="E63" s="151" cm="1">
        <f t="array" ref="E63">IFERROR(_xlfn.XLOOKUP(1, (Фрахт!$A$5:$A$80 = $A63)* (Фрахт!$B$5:$B$80 = $C63) * (Фрахт!$C$5:$C$80 =$D63),  _xlfn.XLOOKUP(1,  (Фрахт!$D$4:$E$4 = E$2) * 1, Фрахт!$D$5:$E$80)) *  $S$1, "-")</f>
        <v>275160</v>
      </c>
      <c r="F63" s="151" cm="1">
        <f t="array" ref="F63">IFERROR(_xlfn.XLOOKUP(1, (Фрахт!$A$5:$A$80 = $A63)* (Фрахт!$B$5:$B$80 = $C63) * (Фрахт!$C$5:$C$80 =$D63),  _xlfn.XLOOKUP(1,  (Фрахт!$D$4:$E$4 = F$2) * 1, Фрахт!$D$5:$E$80)) *  $S$1, "-")</f>
        <v>454320</v>
      </c>
      <c r="G63" s="151" cm="1">
        <f t="array" aca="1" ref="G63" ca="1">IFERROR(_xlfn.XLOOKUP(1,  ('Drop off'!$A$6:$A$14 = $C63) * 1,  _xlfn.XLOOKUP(1,  ('Drop off'!$B$5:$I$5 = G$2) * ('Drop off'!$B$4:$I$4 = $S$2), 'Drop off'!$B$6:$I$14)) * $S$1, "-")</f>
        <v>18000</v>
      </c>
      <c r="H63" s="151" cm="1">
        <f t="array" aca="1" ref="H63" ca="1">IFERROR(_xlfn.XLOOKUP(1,  ('Drop off'!$A$6:$A$14 = $C63) * 1,  _xlfn.XLOOKUP(1,  ('Drop off'!$B$5:$I$5 = H$2) * ('Drop off'!$B$4:$I$4 = $S$2), 'Drop off'!$B$6:$I$14)) * $S$1, "-")</f>
        <v>18000</v>
      </c>
      <c r="I63" s="151" cm="1">
        <f t="array" aca="1" ref="I63" ca="1">IFERROR(_xlfn.XLOOKUP(1,  ('ж.д.'!$A$6:$A$14 = $D63) * 1,  _xlfn.XLOOKUP(1,  ('ж.д.'!$B$5:$M$5 = I$2) * ('ж.д.'!$B$4:$M$4 = $S$2), 'ж.д.'!$B$6:$M$14)), "-")</f>
        <v>108400</v>
      </c>
      <c r="J63" s="151" cm="1">
        <f t="array" aca="1" ref="J63" ca="1">IFERROR(_xlfn.XLOOKUP(1,  ('ж.д.'!$A$6:$A$14 = $D63) * 1,  _xlfn.XLOOKUP(1,  ('ж.д.'!$B$5:$M$5 = J$2) * ('ж.д.'!$B$4:$M$4 = $S$2), 'ж.д.'!$B$6:$M$14)), "-")</f>
        <v>122400</v>
      </c>
      <c r="K63" s="151" cm="1">
        <f t="array" aca="1" ref="K63" ca="1">IFERROR(_xlfn.XLOOKUP(1,  ('ж.д.'!$A$6:$A$14 = $D63) * 1,  _xlfn.XLOOKUP(1,  ('ж.д.'!$B$5:$M$5 = K$2) * ('ж.д.'!$B$4:$M$4 = $S$2), 'ж.д.'!$B$6:$M$14)), "-")</f>
        <v>200400</v>
      </c>
      <c r="L63" s="151" cm="1">
        <f t="array" aca="1" ref="L63" ca="1">IF(ISNUMBER(SEARCH("Транс",$C63)),_xlfn.XLOOKUP(1,('Фрахт Транс'!$A$5:$A$10=$D63)*1,_xlfn.XLOOKUP(1,('Фрахт Транс'!$B$3:$M$3 = $S$2)*('Фрахт Транс'!$B$4:$M$4=L$2),'Фрахт Транс'!$B$5:$M$10)),SUM($E63, $G63, $I63, $O63))</f>
        <v>403999</v>
      </c>
      <c r="M63" s="151" cm="1">
        <f t="array" aca="1" ref="M63" ca="1">IF(ISNUMBER(SEARCH("Транс",$C63)),_xlfn.XLOOKUP(1,('Фрахт Транс'!$A$5:$A$10=$D63)*1,_xlfn.XLOOKUP(1,('Фрахт Транс'!$B$3:$M$3=$S$2)*('Фрахт Транс'!$B$4:$M$4=M$2),'Фрахт Транс'!$B$5:$M$10)),SUM($E63, $G63, $J63, $O63))</f>
        <v>417999</v>
      </c>
      <c r="N63" s="151" cm="1">
        <f t="array" aca="1" ref="N63" ca="1">IF(ISNUMBER(SEARCH("Транс",$C63)),_xlfn.XLOOKUP(1,('Фрахт Транс'!$A$5:$A$10=$D63)*1,_xlfn.XLOOKUP(1,('Фрахт Транс'!$B$3:$M$3=$S$2)*('Фрахт Транс'!$B$4:$M$4=N$2),'Фрахт Транс'!$B$5:$M$10)),SUM($F63, $H63, $K63, $P63))</f>
        <v>677659</v>
      </c>
      <c r="O63" s="151" cm="1">
        <f t="array" aca="1" ref="O63" ca="1">IFERROR(_xlfn.XLOOKUP(1,  (Охрана!$A$6:$A$14 = $D63) * 1,  _xlfn.XLOOKUP(1,  (Охрана!$B$5:$M$5 = O$2) * (Охрана!$B$4:$M$4 = $S$2), Охрана!$B$6:$M$14)), "-")</f>
        <v>2439</v>
      </c>
      <c r="P63" s="196" cm="1">
        <f t="array" aca="1" ref="P63" ca="1">IFERROR(_xlfn.XLOOKUP(1,  (Охрана!$A$6:$A$14 = $D63) * 1,  _xlfn.XLOOKUP(1,  (Охрана!$B$5:$M$5 = P$2) * (Охрана!$B$4:$M$4 = $S$2), Охрана!$B$6:$M$14)), "-")</f>
        <v>4939</v>
      </c>
      <c r="Q63" s="38"/>
      <c r="R63" s="71"/>
    </row>
    <row r="64" spans="1:28" ht="16.5" thickBot="1" x14ac:dyDescent="0.3">
      <c r="A64" s="224" t="s">
        <v>18</v>
      </c>
      <c r="B64" s="296"/>
      <c r="C64" s="56" t="s">
        <v>37</v>
      </c>
      <c r="D64" s="57" t="s">
        <v>11</v>
      </c>
      <c r="E64" s="165" t="str" cm="1">
        <f t="array" ref="E64">IFERROR(_xlfn.XLOOKUP(1, (Фрахт!$A$5:$A$80 = $A64)* (Фрахт!$B$5:$B$80 = $C64) * (Фрахт!$C$5:$C$80 =$D64),  _xlfn.XLOOKUP(1,  (Фрахт!$D$4:$E$4 = E$2) * 1, Фрахт!$D$5:$E$80)) *  $S$1, "-")</f>
        <v>-</v>
      </c>
      <c r="F64" s="165" t="str" cm="1">
        <f t="array" ref="F64">IFERROR(_xlfn.XLOOKUP(1, (Фрахт!$A$5:$A$80 = $A64)* (Фрахт!$B$5:$B$80 = $C64) * (Фрахт!$C$5:$C$80 =$D64),  _xlfn.XLOOKUP(1,  (Фрахт!$D$4:$E$4 = F$2) * 1, Фрахт!$D$5:$E$80)) *  $S$1, "-")</f>
        <v>-</v>
      </c>
      <c r="G64" s="165" cm="1">
        <f t="array" aca="1" ref="G64" ca="1">IFERROR(_xlfn.XLOOKUP(1,  ('Drop off'!$A$6:$A$14 = $C64) * 1,  _xlfn.XLOOKUP(1,  ('Drop off'!$B$5:$I$5 = G$2) * ('Drop off'!$B$4:$I$4 = $S$2), 'Drop off'!$B$6:$I$14)) * $S$1, "-")</f>
        <v>0</v>
      </c>
      <c r="H64" s="165" cm="1">
        <f t="array" aca="1" ref="H64" ca="1">IFERROR(_xlfn.XLOOKUP(1,  ('Drop off'!$A$6:$A$14 = $C64) * 1,  _xlfn.XLOOKUP(1,  ('Drop off'!$B$5:$I$5 = H$2) * ('Drop off'!$B$4:$I$4 = $S$2), 'Drop off'!$B$6:$I$14)) * $S$1, "-")</f>
        <v>0</v>
      </c>
      <c r="I64" s="165" cm="1">
        <f t="array" aca="1" ref="I64" ca="1">IFERROR(_xlfn.XLOOKUP(1,  ('ж.д.'!$A$6:$A$14 = $D64) * 1,  _xlfn.XLOOKUP(1,  ('ж.д.'!$B$5:$M$5 = I$2) * ('ж.д.'!$B$4:$M$4 = $S$2), 'ж.д.'!$B$6:$M$14)), "-")</f>
        <v>105900</v>
      </c>
      <c r="J64" s="165" cm="1">
        <f t="array" aca="1" ref="J64" ca="1">IFERROR(_xlfn.XLOOKUP(1,  ('ж.д.'!$A$6:$A$14 = $D64) * 1,  _xlfn.XLOOKUP(1,  ('ж.д.'!$B$5:$M$5 = J$2) * ('ж.д.'!$B$4:$M$4 = $S$2), 'ж.д.'!$B$6:$M$14)), "-")</f>
        <v>122100</v>
      </c>
      <c r="K64" s="165" cm="1">
        <f t="array" aca="1" ref="K64" ca="1">IFERROR(_xlfn.XLOOKUP(1,  ('ж.д.'!$A$6:$A$14 = $D64) * 1,  _xlfn.XLOOKUP(1,  ('ж.д.'!$B$5:$M$5 = K$2) * ('ж.д.'!$B$4:$M$4 = $S$2), 'ж.д.'!$B$6:$M$14)), "-")</f>
        <v>196200</v>
      </c>
      <c r="L64" s="165" cm="1">
        <f t="array" aca="1" ref="L64" ca="1">IF(ISNUMBER(SEARCH("Транс",$C64)),_xlfn.XLOOKUP(1,('Фрахт Транс'!$A$5:$A$10=$D64)*1,_xlfn.XLOOKUP(1,('Фрахт Транс'!$B$3:$M$3 = $S$2)*('Фрахт Транс'!$B$4:$M$4=L$2),'Фрахт Транс'!$B$5:$M$10)),SUM($E64, $G64, $I64, $O64))</f>
        <v>108339</v>
      </c>
      <c r="M64" s="165" cm="1">
        <f t="array" aca="1" ref="M64" ca="1">IF(ISNUMBER(SEARCH("Транс",$C64)),_xlfn.XLOOKUP(1,('Фрахт Транс'!$A$5:$A$10=$D64)*1,_xlfn.XLOOKUP(1,('Фрахт Транс'!$B$3:$M$3=$S$2)*('Фрахт Транс'!$B$4:$M$4=M$2),'Фрахт Транс'!$B$5:$M$10)),SUM($E64, $G64, $J64, $O64))</f>
        <v>124539</v>
      </c>
      <c r="N64" s="165" cm="1">
        <f t="array" aca="1" ref="N64" ca="1">IF(ISNUMBER(SEARCH("Транс",$C64)),_xlfn.XLOOKUP(1,('Фрахт Транс'!$A$5:$A$10=$D64)*1,_xlfn.XLOOKUP(1,('Фрахт Транс'!$B$3:$M$3=$S$2)*('Фрахт Транс'!$B$4:$M$4=N$2),'Фрахт Транс'!$B$5:$M$10)),SUM($F64, $H64, $K64, $P64))</f>
        <v>201139</v>
      </c>
      <c r="O64" s="165" cm="1">
        <f t="array" aca="1" ref="O64" ca="1">IFERROR(_xlfn.XLOOKUP(1,  (Охрана!$A$6:$A$14 = $D64) * 1,  _xlfn.XLOOKUP(1,  (Охрана!$B$5:$M$5 = O$2) * (Охрана!$B$4:$M$4 = $S$2), Охрана!$B$6:$M$14)), "-")</f>
        <v>2439</v>
      </c>
      <c r="P64" s="211" cm="1">
        <f t="array" aca="1" ref="P64" ca="1">IFERROR(_xlfn.XLOOKUP(1,  (Охрана!$A$6:$A$14 = $D64) * 1,  _xlfn.XLOOKUP(1,  (Охрана!$B$5:$M$5 = P$2) * (Охрана!$B$4:$M$4 = $S$2), Охрана!$B$6:$M$14)), "-")</f>
        <v>4939</v>
      </c>
      <c r="Q64" s="38"/>
      <c r="R64" s="71"/>
    </row>
  </sheetData>
  <mergeCells count="29">
    <mergeCell ref="B26:B36"/>
    <mergeCell ref="B1:B2"/>
    <mergeCell ref="C1:C2"/>
    <mergeCell ref="Q17:Q20"/>
    <mergeCell ref="Q4:Q5"/>
    <mergeCell ref="Q15:Q16"/>
    <mergeCell ref="D1:D2"/>
    <mergeCell ref="E1:F1"/>
    <mergeCell ref="G1:H1"/>
    <mergeCell ref="I1:K1"/>
    <mergeCell ref="Q6:Q9"/>
    <mergeCell ref="O1:P1"/>
    <mergeCell ref="L1:N1"/>
    <mergeCell ref="A1:A2"/>
    <mergeCell ref="R23:R24"/>
    <mergeCell ref="B56:B64"/>
    <mergeCell ref="B46:B55"/>
    <mergeCell ref="B37:B45"/>
    <mergeCell ref="Q59:Q62"/>
    <mergeCell ref="Q29:Q32"/>
    <mergeCell ref="Q40:Q43"/>
    <mergeCell ref="Q49:Q52"/>
    <mergeCell ref="Q23:Q24"/>
    <mergeCell ref="Q27:Q28"/>
    <mergeCell ref="Q38:Q39"/>
    <mergeCell ref="Q47:Q48"/>
    <mergeCell ref="Q57:Q58"/>
    <mergeCell ref="B3:B13"/>
    <mergeCell ref="B14:B2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1</vt:i4>
      </vt:variant>
    </vt:vector>
  </HeadingPairs>
  <TitlesOfParts>
    <vt:vector size="11" baseType="lpstr">
      <vt:lpstr>Инструкция к работе</vt:lpstr>
      <vt:lpstr>Фрахт</vt:lpstr>
      <vt:lpstr>Фрахт Транс</vt:lpstr>
      <vt:lpstr>Drop off</vt:lpstr>
      <vt:lpstr>ж.д.</vt:lpstr>
      <vt:lpstr>Охрана</vt:lpstr>
      <vt:lpstr>Москва</vt:lpstr>
      <vt:lpstr>СПБ</vt:lpstr>
      <vt:lpstr>Новосибирск</vt:lpstr>
      <vt:lpstr>Екатеринбург</vt:lpstr>
      <vt:lpstr>Фрахт!_FilterDatabase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Vitaliy Akchurin</dc:creator>
  <cp:lastModifiedBy>office</cp:lastModifiedBy>
  <dcterms:created xsi:type="dcterms:W3CDTF">2018-06-07T20:52:54Z</dcterms:created>
  <dcterms:modified xsi:type="dcterms:W3CDTF">2025-09-22T23:49:45Z</dcterms:modified>
</cp:coreProperties>
</file>